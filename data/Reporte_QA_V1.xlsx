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t3bazurep-my.sharepoint.com/personal/crs_tiendas3b_com/Documents/Documentos/"/>
    </mc:Choice>
  </mc:AlternateContent>
  <xr:revisionPtr revIDLastSave="0" documentId="8_{779DB36A-64B3-4B45-B465-310315C58A69}" xr6:coauthVersionLast="47" xr6:coauthVersionMax="47" xr10:uidLastSave="{00000000-0000-0000-0000-000000000000}"/>
  <bookViews>
    <workbookView xWindow="15" yWindow="1095" windowWidth="28785" windowHeight="15105" firstSheet="3" activeTab="3" xr2:uid="{4A3FA57B-3D52-469C-8AFC-DEB5BAE89D38}"/>
  </bookViews>
  <sheets>
    <sheet name="Detalle1" sheetId="15" r:id="rId1"/>
    <sheet name="Detalle2" sheetId="17" r:id="rId2"/>
    <sheet name="Tendencia" sheetId="8" r:id="rId3"/>
    <sheet name="Reporte_Gral" sheetId="2" r:id="rId4"/>
    <sheet name="Versiones" sheetId="1" r:id="rId5"/>
    <sheet name="BUGS X DESARROLLADOR" sheetId="7" r:id="rId6"/>
    <sheet name="BUG X MÓDULO" sheetId="6" r:id="rId7"/>
    <sheet name="BUGS X SPRINT" sheetId="11" r:id="rId8"/>
    <sheet name="BUGS X CATEGORÍA" sheetId="12" r:id="rId9"/>
    <sheet name="Hoja2" sheetId="16" r:id="rId10"/>
    <sheet name="Hoja1" sheetId="14" r:id="rId11"/>
  </sheets>
  <definedNames>
    <definedName name="_xlnm._FilterDatabase" localSheetId="2" hidden="1">Tendencia!$B$3:$J$3</definedName>
    <definedName name="_xlcn.WorksheetConnection_Reporte_Gral_V2.xlsxJira__321" hidden="1">Jira__32[]</definedName>
    <definedName name="DatosExternos_1" localSheetId="3" hidden="1">Reporte_Gral!$A$1:$AA$139</definedName>
  </definedNames>
  <calcPr calcId="191028"/>
  <pivotCaches>
    <pivotCache cacheId="1696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Jira__32" name="Jira__32" connection="WorksheetConnection_Reporte_Gral_V2.xlsx!Jira__3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8" l="1"/>
  <c r="E5" i="8"/>
  <c r="E6" i="8"/>
  <c r="E7" i="8"/>
  <c r="E8" i="8"/>
  <c r="E9" i="8"/>
  <c r="E4" i="8"/>
  <c r="J4" i="8"/>
  <c r="F5" i="16"/>
  <c r="C10" i="8"/>
  <c r="E10" i="8"/>
  <c r="AH3" i="2" a="1"/>
  <c r="AH3" i="2"/>
  <c r="AH4" i="2" a="1"/>
  <c r="AH4" i="2"/>
  <c r="AH5" i="2" a="1"/>
  <c r="AH5" i="2"/>
  <c r="AH6" i="2" a="1"/>
  <c r="AH6" i="2"/>
  <c r="AH7" i="2" a="1"/>
  <c r="AH7" i="2"/>
  <c r="AH8" i="2" a="1"/>
  <c r="AH8" i="2"/>
  <c r="AH9" i="2" a="1"/>
  <c r="AH9" i="2"/>
  <c r="AH10" i="2" a="1"/>
  <c r="AH10" i="2"/>
  <c r="AH11" i="2" a="1"/>
  <c r="AH11" i="2"/>
  <c r="AH12" i="2" a="1"/>
  <c r="AH12" i="2"/>
  <c r="AH13" i="2" a="1"/>
  <c r="AH13" i="2"/>
  <c r="AH14" i="2" a="1"/>
  <c r="AH14" i="2"/>
  <c r="AH15" i="2" a="1"/>
  <c r="AH15" i="2"/>
  <c r="AH16" i="2" a="1"/>
  <c r="AH16" i="2"/>
  <c r="AH17" i="2" a="1"/>
  <c r="AH17" i="2"/>
  <c r="AH18" i="2" a="1"/>
  <c r="AH18" i="2"/>
  <c r="AH19" i="2" a="1"/>
  <c r="AH19" i="2"/>
  <c r="AH20" i="2" a="1"/>
  <c r="AH20" i="2"/>
  <c r="AH21" i="2" a="1"/>
  <c r="AH21" i="2"/>
  <c r="AH22" i="2" a="1"/>
  <c r="AH22" i="2"/>
  <c r="AH23" i="2" a="1"/>
  <c r="AH23" i="2"/>
  <c r="AH24" i="2" a="1"/>
  <c r="AH24" i="2"/>
  <c r="AH25" i="2" a="1"/>
  <c r="AH25" i="2"/>
  <c r="AH26" i="2" a="1"/>
  <c r="AH26" i="2"/>
  <c r="AH27" i="2" a="1"/>
  <c r="AH27" i="2"/>
  <c r="AH28" i="2" a="1"/>
  <c r="AH28" i="2"/>
  <c r="AH29" i="2" a="1"/>
  <c r="AH29" i="2"/>
  <c r="AH30" i="2" a="1"/>
  <c r="AH30" i="2"/>
  <c r="AH31" i="2" a="1"/>
  <c r="AH31" i="2"/>
  <c r="AH32" i="2" a="1"/>
  <c r="AH32" i="2"/>
  <c r="AH33" i="2" a="1"/>
  <c r="AH33" i="2"/>
  <c r="AH34" i="2" a="1"/>
  <c r="AH34" i="2"/>
  <c r="AH35" i="2" a="1"/>
  <c r="AH35" i="2"/>
  <c r="AH36" i="2" a="1"/>
  <c r="AH36" i="2"/>
  <c r="AH37" i="2" a="1"/>
  <c r="AH37" i="2"/>
  <c r="AH38" i="2" a="1"/>
  <c r="AH38" i="2"/>
  <c r="AH39" i="2" a="1"/>
  <c r="AH39" i="2"/>
  <c r="AH40" i="2" a="1"/>
  <c r="AH40" i="2"/>
  <c r="AH41" i="2" a="1"/>
  <c r="AH41" i="2"/>
  <c r="AH42" i="2" a="1"/>
  <c r="AH42" i="2"/>
  <c r="AH43" i="2" a="1"/>
  <c r="AH43" i="2"/>
  <c r="AH44" i="2" a="1"/>
  <c r="AH44" i="2"/>
  <c r="AH45" i="2" a="1"/>
  <c r="AH45" i="2"/>
  <c r="AH46" i="2" a="1"/>
  <c r="AH46" i="2"/>
  <c r="AH47" i="2" a="1"/>
  <c r="AH47" i="2"/>
  <c r="AH48" i="2" a="1"/>
  <c r="AH48" i="2"/>
  <c r="AH49" i="2" a="1"/>
  <c r="AH49" i="2"/>
  <c r="AH50" i="2" a="1"/>
  <c r="AH50" i="2"/>
  <c r="AH51" i="2" a="1"/>
  <c r="AH51" i="2"/>
  <c r="AH52" i="2" a="1"/>
  <c r="AH52" i="2"/>
  <c r="AH53" i="2" a="1"/>
  <c r="AH53" i="2"/>
  <c r="AH54" i="2" a="1"/>
  <c r="AH54" i="2"/>
  <c r="AH55" i="2" a="1"/>
  <c r="AH55" i="2"/>
  <c r="AH56" i="2" a="1"/>
  <c r="AH56" i="2"/>
  <c r="AH57" i="2" a="1"/>
  <c r="AH57" i="2"/>
  <c r="AH58" i="2" a="1"/>
  <c r="AH58" i="2"/>
  <c r="AH59" i="2" a="1"/>
  <c r="AH59" i="2"/>
  <c r="AH60" i="2" a="1"/>
  <c r="AH60" i="2"/>
  <c r="AH61" i="2" a="1"/>
  <c r="AH61" i="2"/>
  <c r="AH62" i="2" a="1"/>
  <c r="AH62" i="2"/>
  <c r="AH63" i="2" a="1"/>
  <c r="AH63" i="2"/>
  <c r="AH64" i="2" a="1"/>
  <c r="AH64" i="2"/>
  <c r="AH65" i="2" a="1"/>
  <c r="AH65" i="2"/>
  <c r="AH66" i="2" a="1"/>
  <c r="AH66" i="2"/>
  <c r="AH67" i="2" a="1"/>
  <c r="AH67" i="2"/>
  <c r="AH68" i="2" a="1"/>
  <c r="AH68" i="2"/>
  <c r="AH69" i="2" a="1"/>
  <c r="AH69" i="2"/>
  <c r="AH70" i="2" a="1"/>
  <c r="AH70" i="2"/>
  <c r="AH71" i="2" a="1"/>
  <c r="AH71" i="2"/>
  <c r="AH72" i="2" a="1"/>
  <c r="AH72" i="2"/>
  <c r="AH73" i="2" a="1"/>
  <c r="AH73" i="2"/>
  <c r="AH74" i="2" a="1"/>
  <c r="AH74" i="2"/>
  <c r="AH75" i="2" a="1"/>
  <c r="AH75" i="2"/>
  <c r="AH76" i="2" a="1"/>
  <c r="AH76" i="2"/>
  <c r="AH77" i="2" a="1"/>
  <c r="AH77" i="2"/>
  <c r="AH78" i="2" a="1"/>
  <c r="AH78" i="2"/>
  <c r="AH79" i="2" a="1"/>
  <c r="AH79" i="2"/>
  <c r="AH80" i="2" a="1"/>
  <c r="AH80" i="2"/>
  <c r="AH81" i="2" a="1"/>
  <c r="AH81" i="2"/>
  <c r="AH82" i="2" a="1"/>
  <c r="AH82" i="2"/>
  <c r="AH83" i="2" a="1"/>
  <c r="AH83" i="2"/>
  <c r="AH84" i="2" a="1"/>
  <c r="AH84" i="2"/>
  <c r="AH85" i="2" a="1"/>
  <c r="AH85" i="2"/>
  <c r="AH86" i="2" a="1"/>
  <c r="AH86" i="2"/>
  <c r="AH87" i="2" a="1"/>
  <c r="AH87" i="2"/>
  <c r="AH88" i="2" a="1"/>
  <c r="AH88" i="2"/>
  <c r="AH89" i="2" a="1"/>
  <c r="AH89" i="2"/>
  <c r="AH90" i="2" a="1"/>
  <c r="AH90" i="2"/>
  <c r="AH91" i="2" a="1"/>
  <c r="AH91" i="2"/>
  <c r="AH92" i="2" a="1"/>
  <c r="AH92" i="2"/>
  <c r="AH93" i="2" a="1"/>
  <c r="AH93" i="2"/>
  <c r="AH94" i="2" a="1"/>
  <c r="AH94" i="2"/>
  <c r="AH95" i="2" a="1"/>
  <c r="AH95" i="2"/>
  <c r="AH96" i="2" a="1"/>
  <c r="AH96" i="2"/>
  <c r="AH97" i="2" a="1"/>
  <c r="AH97" i="2"/>
  <c r="AH98" i="2" a="1"/>
  <c r="AH98" i="2"/>
  <c r="AH99" i="2" a="1"/>
  <c r="AH99" i="2"/>
  <c r="AH100" i="2" a="1"/>
  <c r="AH100" i="2"/>
  <c r="AH101" i="2" a="1"/>
  <c r="AH101" i="2"/>
  <c r="AH102" i="2" a="1"/>
  <c r="AH102" i="2"/>
  <c r="AH103" i="2" a="1"/>
  <c r="AH103" i="2"/>
  <c r="AH104" i="2" a="1"/>
  <c r="AH104" i="2"/>
  <c r="AH105" i="2" a="1"/>
  <c r="AH105" i="2"/>
  <c r="AH106" i="2" a="1"/>
  <c r="AH106" i="2"/>
  <c r="AH107" i="2" a="1"/>
  <c r="AH107" i="2"/>
  <c r="AH108" i="2" a="1"/>
  <c r="AH108" i="2"/>
  <c r="AH109" i="2" a="1"/>
  <c r="AH109" i="2"/>
  <c r="AH110" i="2" a="1"/>
  <c r="AH110" i="2"/>
  <c r="AH111" i="2" a="1"/>
  <c r="AH111" i="2"/>
  <c r="AH112" i="2" a="1"/>
  <c r="AH112" i="2"/>
  <c r="AH113" i="2" a="1"/>
  <c r="AH113" i="2"/>
  <c r="AH114" i="2" a="1"/>
  <c r="AH114" i="2"/>
  <c r="AH115" i="2" a="1"/>
  <c r="AH115" i="2"/>
  <c r="AH116" i="2" a="1"/>
  <c r="AH116" i="2"/>
  <c r="AH117" i="2" a="1"/>
  <c r="AH117" i="2"/>
  <c r="AH118" i="2" a="1"/>
  <c r="AH118" i="2"/>
  <c r="AH119" i="2" a="1"/>
  <c r="AH119" i="2"/>
  <c r="AH120" i="2" a="1"/>
  <c r="AH120" i="2"/>
  <c r="AH121" i="2" a="1"/>
  <c r="AH121" i="2"/>
  <c r="AH122" i="2" a="1"/>
  <c r="AH122" i="2"/>
  <c r="AH123" i="2" a="1"/>
  <c r="AH123" i="2"/>
  <c r="AH124" i="2" a="1"/>
  <c r="AH124" i="2"/>
  <c r="AH125" i="2" a="1"/>
  <c r="AH125" i="2"/>
  <c r="AH126" i="2" a="1"/>
  <c r="AH126" i="2"/>
  <c r="AH127" i="2" a="1"/>
  <c r="AH127" i="2"/>
  <c r="AH128" i="2" a="1"/>
  <c r="AH128" i="2"/>
  <c r="AH129" i="2" a="1"/>
  <c r="AH129" i="2"/>
  <c r="AH130" i="2" a="1"/>
  <c r="AH130" i="2"/>
  <c r="AH131" i="2" a="1"/>
  <c r="AH131" i="2"/>
  <c r="AH132" i="2" a="1"/>
  <c r="AH132" i="2"/>
  <c r="AH133" i="2" a="1"/>
  <c r="AH133" i="2"/>
  <c r="AH134" i="2" a="1"/>
  <c r="AH134" i="2"/>
  <c r="AH135" i="2" a="1"/>
  <c r="AH135" i="2"/>
  <c r="AH136" i="2" a="1"/>
  <c r="AH136" i="2"/>
  <c r="AH137" i="2" a="1"/>
  <c r="AH137" i="2"/>
  <c r="AH138" i="2" a="1"/>
  <c r="AH138" i="2"/>
  <c r="AH139" i="2" a="1"/>
  <c r="AH139" i="2"/>
  <c r="AF2" i="2"/>
  <c r="AG2" i="2" s="1" a="1"/>
  <c r="AG2" i="2" s="1"/>
  <c r="AF3" i="2"/>
  <c r="AG3" i="2" s="1" a="1"/>
  <c r="AG3" i="2" s="1"/>
  <c r="AF4" i="2"/>
  <c r="AG4" i="2" s="1" a="1"/>
  <c r="AG4" i="2" s="1"/>
  <c r="AF5" i="2"/>
  <c r="AG5" i="2" s="1" a="1"/>
  <c r="AG5" i="2" s="1"/>
  <c r="AF6" i="2"/>
  <c r="AG6" i="2" s="1" a="1"/>
  <c r="AG6" i="2" s="1"/>
  <c r="AF7" i="2"/>
  <c r="AG7" i="2" s="1" a="1"/>
  <c r="AG7" i="2" s="1"/>
  <c r="AF8" i="2"/>
  <c r="AG8" i="2" s="1" a="1"/>
  <c r="AG8" i="2" s="1"/>
  <c r="AF9" i="2"/>
  <c r="AG9" i="2" s="1" a="1"/>
  <c r="AG9" i="2" s="1"/>
  <c r="AF10" i="2"/>
  <c r="AG10" i="2" s="1" a="1"/>
  <c r="AG10" i="2" s="1"/>
  <c r="AF11" i="2"/>
  <c r="AG11" i="2" s="1" a="1"/>
  <c r="AG11" i="2" s="1"/>
  <c r="AF12" i="2"/>
  <c r="AG12" i="2" s="1" a="1"/>
  <c r="AG12" i="2" s="1"/>
  <c r="AF13" i="2"/>
  <c r="AG13" i="2" s="1" a="1"/>
  <c r="AG13" i="2" s="1"/>
  <c r="AF14" i="2"/>
  <c r="AG14" i="2" s="1" a="1"/>
  <c r="AG14" i="2" s="1"/>
  <c r="AF15" i="2"/>
  <c r="AG15" i="2" s="1" a="1"/>
  <c r="AG15" i="2" s="1"/>
  <c r="AF16" i="2"/>
  <c r="AG16" i="2" s="1" a="1"/>
  <c r="AG16" i="2" s="1"/>
  <c r="AF17" i="2"/>
  <c r="AG17" i="2" s="1" a="1"/>
  <c r="AG17" i="2" s="1"/>
  <c r="AF18" i="2"/>
  <c r="AG18" i="2" s="1" a="1"/>
  <c r="AG18" i="2" s="1"/>
  <c r="AF19" i="2"/>
  <c r="AG19" i="2" s="1" a="1"/>
  <c r="AG19" i="2" s="1"/>
  <c r="AF20" i="2"/>
  <c r="AG20" i="2" s="1" a="1"/>
  <c r="AG20" i="2" s="1"/>
  <c r="AF21" i="2"/>
  <c r="AG21" i="2" s="1" a="1"/>
  <c r="AG21" i="2" s="1"/>
  <c r="AF22" i="2"/>
  <c r="AG22" i="2" s="1" a="1"/>
  <c r="AG22" i="2" s="1"/>
  <c r="AF23" i="2"/>
  <c r="AG23" i="2" s="1" a="1"/>
  <c r="AG23" i="2" s="1"/>
  <c r="AF24" i="2"/>
  <c r="AG24" i="2" s="1" a="1"/>
  <c r="AG24" i="2" s="1"/>
  <c r="AF25" i="2"/>
  <c r="AG25" i="2" s="1" a="1"/>
  <c r="AG25" i="2" s="1"/>
  <c r="AF26" i="2"/>
  <c r="AG26" i="2" s="1" a="1"/>
  <c r="AG26" i="2" s="1"/>
  <c r="AF27" i="2"/>
  <c r="AG27" i="2" s="1" a="1"/>
  <c r="AG27" i="2" s="1"/>
  <c r="AF28" i="2"/>
  <c r="AG28" i="2" s="1" a="1"/>
  <c r="AG28" i="2" s="1"/>
  <c r="AF29" i="2"/>
  <c r="AG29" i="2" s="1" a="1"/>
  <c r="AG29" i="2" s="1"/>
  <c r="AF30" i="2"/>
  <c r="AG30" i="2" s="1" a="1"/>
  <c r="AG30" i="2" s="1"/>
  <c r="AF31" i="2"/>
  <c r="AG31" i="2" s="1" a="1"/>
  <c r="AG31" i="2" s="1"/>
  <c r="AF32" i="2"/>
  <c r="AG32" i="2" s="1" a="1"/>
  <c r="AG32" i="2" s="1"/>
  <c r="AF33" i="2"/>
  <c r="AG33" i="2" s="1" a="1"/>
  <c r="AG33" i="2" s="1"/>
  <c r="AF34" i="2"/>
  <c r="AG34" i="2" s="1" a="1"/>
  <c r="AG34" i="2" s="1"/>
  <c r="AF35" i="2"/>
  <c r="AG35" i="2" s="1" a="1"/>
  <c r="AG35" i="2" s="1"/>
  <c r="AF36" i="2"/>
  <c r="AG36" i="2" s="1" a="1"/>
  <c r="AG36" i="2" s="1"/>
  <c r="AF37" i="2"/>
  <c r="AG37" i="2" s="1" a="1"/>
  <c r="AG37" i="2" s="1"/>
  <c r="AF38" i="2"/>
  <c r="AG38" i="2" s="1" a="1"/>
  <c r="AG38" i="2" s="1"/>
  <c r="AF39" i="2"/>
  <c r="AG39" i="2" s="1" a="1"/>
  <c r="AG39" i="2" s="1"/>
  <c r="AF40" i="2"/>
  <c r="AG40" i="2" s="1" a="1"/>
  <c r="AG40" i="2" s="1"/>
  <c r="AF41" i="2"/>
  <c r="AG41" i="2" s="1" a="1"/>
  <c r="AG41" i="2" s="1"/>
  <c r="AF42" i="2"/>
  <c r="AG42" i="2" s="1" a="1"/>
  <c r="AG42" i="2" s="1"/>
  <c r="AF43" i="2"/>
  <c r="AG43" i="2" s="1" a="1"/>
  <c r="AG43" i="2" s="1"/>
  <c r="AF44" i="2"/>
  <c r="AG44" i="2" s="1" a="1"/>
  <c r="AG44" i="2" s="1"/>
  <c r="AF45" i="2"/>
  <c r="AG45" i="2" s="1" a="1"/>
  <c r="AG45" i="2" s="1"/>
  <c r="AF46" i="2"/>
  <c r="AG46" i="2" s="1" a="1"/>
  <c r="AG46" i="2" s="1"/>
  <c r="AF47" i="2"/>
  <c r="AG47" i="2" s="1" a="1"/>
  <c r="AG47" i="2" s="1"/>
  <c r="AF48" i="2"/>
  <c r="AG48" i="2" s="1" a="1"/>
  <c r="AG48" i="2" s="1"/>
  <c r="AF49" i="2"/>
  <c r="AG49" i="2" s="1" a="1"/>
  <c r="AG49" i="2" s="1"/>
  <c r="AF50" i="2"/>
  <c r="AG50" i="2" s="1" a="1"/>
  <c r="AG50" i="2" s="1"/>
  <c r="AF51" i="2"/>
  <c r="AG51" i="2" s="1" a="1"/>
  <c r="AG51" i="2" s="1"/>
  <c r="AF52" i="2"/>
  <c r="AG52" i="2" s="1" a="1"/>
  <c r="AG52" i="2" s="1"/>
  <c r="AF53" i="2"/>
  <c r="AG53" i="2" s="1" a="1"/>
  <c r="AG53" i="2" s="1"/>
  <c r="AF54" i="2"/>
  <c r="AG54" i="2" s="1" a="1"/>
  <c r="AG54" i="2" s="1"/>
  <c r="AF55" i="2"/>
  <c r="AG55" i="2" s="1" a="1"/>
  <c r="AG55" i="2" s="1"/>
  <c r="AF56" i="2"/>
  <c r="AG56" i="2" s="1" a="1"/>
  <c r="AG56" i="2" s="1"/>
  <c r="AF57" i="2"/>
  <c r="AG57" i="2" s="1" a="1"/>
  <c r="AG57" i="2" s="1"/>
  <c r="AF58" i="2"/>
  <c r="AG58" i="2" s="1" a="1"/>
  <c r="AG58" i="2" s="1"/>
  <c r="AF59" i="2"/>
  <c r="AG59" i="2" s="1" a="1"/>
  <c r="AG59" i="2" s="1"/>
  <c r="AF60" i="2"/>
  <c r="AG60" i="2" s="1" a="1"/>
  <c r="AG60" i="2" s="1"/>
  <c r="AF61" i="2"/>
  <c r="AG61" i="2" s="1" a="1"/>
  <c r="AG61" i="2" s="1"/>
  <c r="AF62" i="2"/>
  <c r="AG62" i="2" s="1" a="1"/>
  <c r="AG62" i="2" s="1"/>
  <c r="AF63" i="2"/>
  <c r="AG63" i="2" s="1" a="1"/>
  <c r="AG63" i="2" s="1"/>
  <c r="AF64" i="2"/>
  <c r="AG64" i="2" s="1" a="1"/>
  <c r="AG64" i="2" s="1"/>
  <c r="AF65" i="2"/>
  <c r="AG65" i="2" s="1" a="1"/>
  <c r="AG65" i="2" s="1"/>
  <c r="AF66" i="2"/>
  <c r="AG66" i="2" s="1" a="1"/>
  <c r="AG66" i="2" s="1"/>
  <c r="AF67" i="2"/>
  <c r="AG67" i="2" s="1" a="1"/>
  <c r="AG67" i="2" s="1"/>
  <c r="AF68" i="2"/>
  <c r="AG68" i="2" s="1" a="1"/>
  <c r="AG68" i="2" s="1"/>
  <c r="AF70" i="2"/>
  <c r="AG70" i="2" s="1" a="1"/>
  <c r="AG70" i="2" s="1"/>
  <c r="AF71" i="2"/>
  <c r="AG71" i="2" s="1" a="1"/>
  <c r="AG71" i="2" s="1"/>
  <c r="AF73" i="2"/>
  <c r="AG73" i="2" s="1" a="1"/>
  <c r="AG73" i="2" s="1"/>
  <c r="AF74" i="2"/>
  <c r="AG74" i="2" s="1" a="1"/>
  <c r="AG74" i="2" s="1"/>
  <c r="AF75" i="2"/>
  <c r="AG75" i="2" s="1" a="1"/>
  <c r="AG75" i="2" s="1"/>
  <c r="AF76" i="2"/>
  <c r="AG76" i="2" s="1" a="1"/>
  <c r="AG76" i="2" s="1"/>
  <c r="AF77" i="2"/>
  <c r="AG77" i="2" s="1" a="1"/>
  <c r="AG77" i="2" s="1"/>
  <c r="AF78" i="2"/>
  <c r="AG78" i="2" s="1" a="1"/>
  <c r="AG78" i="2" s="1"/>
  <c r="AF79" i="2"/>
  <c r="AG79" i="2" s="1" a="1"/>
  <c r="AG79" i="2" s="1"/>
  <c r="AF80" i="2"/>
  <c r="AG80" i="2" s="1" a="1"/>
  <c r="AG80" i="2" s="1"/>
  <c r="AF81" i="2"/>
  <c r="AG81" i="2" s="1" a="1"/>
  <c r="AG81" i="2" s="1"/>
  <c r="AF82" i="2"/>
  <c r="AG82" i="2" s="1" a="1"/>
  <c r="AG82" i="2" s="1"/>
  <c r="AF83" i="2"/>
  <c r="AG83" i="2" s="1" a="1"/>
  <c r="AG83" i="2" s="1"/>
  <c r="AF84" i="2"/>
  <c r="AG84" i="2" s="1" a="1"/>
  <c r="AG84" i="2" s="1"/>
  <c r="AF85" i="2"/>
  <c r="AG85" i="2" s="1" a="1"/>
  <c r="AG85" i="2" s="1"/>
  <c r="AF86" i="2"/>
  <c r="AG86" i="2" s="1" a="1"/>
  <c r="AG86" i="2" s="1"/>
  <c r="AF87" i="2"/>
  <c r="AG87" i="2" s="1" a="1"/>
  <c r="AG87" i="2" s="1"/>
  <c r="AF88" i="2"/>
  <c r="AG88" i="2" s="1" a="1"/>
  <c r="AG88" i="2" s="1"/>
  <c r="AF90" i="2"/>
  <c r="AG90" i="2" s="1" a="1"/>
  <c r="AG90" i="2" s="1"/>
  <c r="AF91" i="2"/>
  <c r="AG91" i="2" s="1" a="1"/>
  <c r="AG91" i="2" s="1"/>
  <c r="AF92" i="2"/>
  <c r="AG92" i="2" s="1" a="1"/>
  <c r="AG92" i="2" s="1"/>
  <c r="AF93" i="2"/>
  <c r="AG93" i="2" s="1" a="1"/>
  <c r="AG93" i="2" s="1"/>
  <c r="AF94" i="2"/>
  <c r="AG94" i="2" s="1" a="1"/>
  <c r="AG94" i="2" s="1"/>
  <c r="AF95" i="2"/>
  <c r="AG95" i="2" s="1" a="1"/>
  <c r="AG95" i="2" s="1"/>
  <c r="AF96" i="2"/>
  <c r="AG96" i="2" s="1" a="1"/>
  <c r="AG96" i="2" s="1"/>
  <c r="AF97" i="2"/>
  <c r="AG97" i="2" s="1" a="1"/>
  <c r="AG97" i="2" s="1"/>
  <c r="AF98" i="2"/>
  <c r="AG98" i="2" s="1" a="1"/>
  <c r="AG98" i="2" s="1"/>
  <c r="AF99" i="2"/>
  <c r="AG99" i="2" s="1" a="1"/>
  <c r="AG99" i="2" s="1"/>
  <c r="AF100" i="2"/>
  <c r="AG100" i="2" s="1" a="1"/>
  <c r="AG100" i="2" s="1"/>
  <c r="AF101" i="2"/>
  <c r="AG101" i="2" s="1" a="1"/>
  <c r="AG101" i="2" s="1"/>
  <c r="AF102" i="2"/>
  <c r="AG102" i="2" s="1" a="1"/>
  <c r="AG102" i="2" s="1"/>
  <c r="AF103" i="2"/>
  <c r="AG103" i="2" s="1" a="1"/>
  <c r="AG103" i="2" s="1"/>
  <c r="AF104" i="2"/>
  <c r="AG104" i="2" s="1" a="1"/>
  <c r="AG104" i="2" s="1"/>
  <c r="AF105" i="2"/>
  <c r="AG105" i="2" s="1" a="1"/>
  <c r="AG105" i="2" s="1"/>
  <c r="AF106" i="2"/>
  <c r="AG106" i="2" s="1" a="1"/>
  <c r="AG106" i="2" s="1"/>
  <c r="AF107" i="2"/>
  <c r="AG107" i="2" s="1" a="1"/>
  <c r="AG107" i="2" s="1"/>
  <c r="AF108" i="2"/>
  <c r="AG108" i="2" s="1" a="1"/>
  <c r="AG108" i="2" s="1"/>
  <c r="AF109" i="2"/>
  <c r="AG109" i="2" s="1" a="1"/>
  <c r="AG109" i="2" s="1"/>
  <c r="AF110" i="2"/>
  <c r="AG110" i="2" s="1" a="1"/>
  <c r="AG110" i="2" s="1"/>
  <c r="AF111" i="2"/>
  <c r="AG111" i="2" s="1" a="1"/>
  <c r="AG111" i="2" s="1"/>
  <c r="AF112" i="2"/>
  <c r="AG112" i="2" s="1" a="1"/>
  <c r="AG112" i="2" s="1"/>
  <c r="AF113" i="2"/>
  <c r="AG113" i="2" s="1" a="1"/>
  <c r="AG113" i="2" s="1"/>
  <c r="AF114" i="2"/>
  <c r="AG114" i="2" s="1" a="1"/>
  <c r="AG114" i="2" s="1"/>
  <c r="AF115" i="2"/>
  <c r="AG115" i="2" s="1" a="1"/>
  <c r="AG115" i="2" s="1"/>
  <c r="AF116" i="2"/>
  <c r="AG116" i="2" s="1" a="1"/>
  <c r="AG116" i="2" s="1"/>
  <c r="AF117" i="2"/>
  <c r="AG117" i="2" s="1" a="1"/>
  <c r="AG117" i="2" s="1"/>
  <c r="AF118" i="2"/>
  <c r="AG118" i="2" s="1" a="1"/>
  <c r="AG118" i="2" s="1"/>
  <c r="AF119" i="2"/>
  <c r="AG119" i="2" s="1" a="1"/>
  <c r="AG119" i="2" s="1"/>
  <c r="AF120" i="2"/>
  <c r="AG120" i="2" s="1" a="1"/>
  <c r="AG120" i="2" s="1"/>
  <c r="AF121" i="2"/>
  <c r="AG121" i="2" s="1" a="1"/>
  <c r="AG121" i="2" s="1"/>
  <c r="AF122" i="2"/>
  <c r="AG122" i="2" s="1" a="1"/>
  <c r="AG122" i="2" s="1"/>
  <c r="AF123" i="2"/>
  <c r="AG123" i="2" s="1" a="1"/>
  <c r="AG123" i="2" s="1"/>
  <c r="AF124" i="2"/>
  <c r="AG124" i="2" s="1" a="1"/>
  <c r="AG124" i="2" s="1"/>
  <c r="AF125" i="2"/>
  <c r="AG125" i="2" s="1" a="1"/>
  <c r="AG125" i="2" s="1"/>
  <c r="AF126" i="2"/>
  <c r="AG126" i="2" s="1" a="1"/>
  <c r="AG126" i="2" s="1"/>
  <c r="AF127" i="2"/>
  <c r="AG127" i="2" s="1" a="1"/>
  <c r="AG127" i="2" s="1"/>
  <c r="AF128" i="2"/>
  <c r="AG128" i="2" s="1" a="1"/>
  <c r="AG128" i="2" s="1"/>
  <c r="AF129" i="2"/>
  <c r="AG129" i="2" s="1" a="1"/>
  <c r="AG129" i="2" s="1"/>
  <c r="AF130" i="2"/>
  <c r="AG130" i="2" s="1" a="1"/>
  <c r="AG130" i="2" s="1"/>
  <c r="AF131" i="2"/>
  <c r="AG131" i="2" s="1" a="1"/>
  <c r="AG131" i="2" s="1"/>
  <c r="AF132" i="2"/>
  <c r="AG132" i="2" s="1" a="1"/>
  <c r="AG132" i="2" s="1"/>
  <c r="AF133" i="2"/>
  <c r="AG133" i="2" s="1" a="1"/>
  <c r="AG133" i="2" s="1"/>
  <c r="AF134" i="2"/>
  <c r="AG134" i="2" s="1" a="1"/>
  <c r="AG134" i="2" s="1"/>
  <c r="AF135" i="2"/>
  <c r="AG135" i="2" s="1" a="1"/>
  <c r="AG135" i="2" s="1"/>
  <c r="AF136" i="2"/>
  <c r="AG136" i="2" s="1" a="1"/>
  <c r="AG136" i="2" s="1"/>
  <c r="AF137" i="2"/>
  <c r="AG137" i="2" s="1" a="1"/>
  <c r="AG137" i="2" s="1"/>
  <c r="AF138" i="2"/>
  <c r="AG138" i="2" s="1" a="1"/>
  <c r="AG138" i="2" s="1"/>
  <c r="AF139" i="2"/>
  <c r="AG139" i="2" s="1" a="1"/>
  <c r="AG139" i="2" s="1"/>
  <c r="AE3" i="2" a="1"/>
  <c r="AE3" i="2"/>
  <c r="AE4" i="2" a="1"/>
  <c r="AE4" i="2"/>
  <c r="AE5" i="2" a="1"/>
  <c r="AE5" i="2"/>
  <c r="AE6" i="2" a="1"/>
  <c r="AE6" i="2"/>
  <c r="AE7" i="2" a="1"/>
  <c r="AE7" i="2"/>
  <c r="AE8" i="2" a="1"/>
  <c r="AE8" i="2"/>
  <c r="AE9" i="2" a="1"/>
  <c r="AE9" i="2"/>
  <c r="AE10" i="2" a="1"/>
  <c r="AE10" i="2"/>
  <c r="AE11" i="2" a="1"/>
  <c r="AE11" i="2"/>
  <c r="AE12" i="2" a="1"/>
  <c r="AE12" i="2"/>
  <c r="AE13" i="2" a="1"/>
  <c r="AE13" i="2"/>
  <c r="AE14" i="2" a="1"/>
  <c r="AE14" i="2"/>
  <c r="AE15" i="2" a="1"/>
  <c r="AE15" i="2"/>
  <c r="AE16" i="2" a="1"/>
  <c r="AE16" i="2"/>
  <c r="AE17" i="2" a="1"/>
  <c r="AE17" i="2"/>
  <c r="AE18" i="2" a="1"/>
  <c r="AE18" i="2"/>
  <c r="AE19" i="2" a="1"/>
  <c r="AE19" i="2"/>
  <c r="AE20" i="2" a="1"/>
  <c r="AE20" i="2"/>
  <c r="AE21" i="2" a="1"/>
  <c r="AE21" i="2"/>
  <c r="AE22" i="2" a="1"/>
  <c r="AE22" i="2"/>
  <c r="AE23" i="2" a="1"/>
  <c r="AE23" i="2"/>
  <c r="AE24" i="2" a="1"/>
  <c r="AE24" i="2"/>
  <c r="AE25" i="2" a="1"/>
  <c r="AE25" i="2"/>
  <c r="AE26" i="2" a="1"/>
  <c r="AE26" i="2"/>
  <c r="AE27" i="2" a="1"/>
  <c r="AE27" i="2"/>
  <c r="AE28" i="2" a="1"/>
  <c r="AE28" i="2"/>
  <c r="AE29" i="2" a="1"/>
  <c r="AE29" i="2"/>
  <c r="AE30" i="2" a="1"/>
  <c r="AE30" i="2"/>
  <c r="AE31" i="2" a="1"/>
  <c r="AE31" i="2"/>
  <c r="AE32" i="2" a="1"/>
  <c r="AE32" i="2"/>
  <c r="AE33" i="2" a="1"/>
  <c r="AE33" i="2"/>
  <c r="AE34" i="2" a="1"/>
  <c r="AE34" i="2"/>
  <c r="AE35" i="2" a="1"/>
  <c r="AE35" i="2"/>
  <c r="AE36" i="2" a="1"/>
  <c r="AE36" i="2"/>
  <c r="AE37" i="2" a="1"/>
  <c r="AE37" i="2"/>
  <c r="AE38" i="2" a="1"/>
  <c r="AE38" i="2"/>
  <c r="AE39" i="2" a="1"/>
  <c r="AE39" i="2"/>
  <c r="AE40" i="2" a="1"/>
  <c r="AE40" i="2"/>
  <c r="AE41" i="2" a="1"/>
  <c r="AE41" i="2"/>
  <c r="AE42" i="2" a="1"/>
  <c r="AE42" i="2"/>
  <c r="AE43" i="2" a="1"/>
  <c r="AE43" i="2"/>
  <c r="AE44" i="2" a="1"/>
  <c r="AE44" i="2"/>
  <c r="AE45" i="2" a="1"/>
  <c r="AE45" i="2"/>
  <c r="AE46" i="2" a="1"/>
  <c r="AE46" i="2"/>
  <c r="AE47" i="2" a="1"/>
  <c r="AE47" i="2"/>
  <c r="AE48" i="2" a="1"/>
  <c r="AE48" i="2"/>
  <c r="AE49" i="2" a="1"/>
  <c r="AE49" i="2"/>
  <c r="AE50" i="2" a="1"/>
  <c r="AE50" i="2"/>
  <c r="AE51" i="2" a="1"/>
  <c r="AE51" i="2"/>
  <c r="AE52" i="2" a="1"/>
  <c r="AE52" i="2"/>
  <c r="AE53" i="2" a="1"/>
  <c r="AE53" i="2"/>
  <c r="AE54" i="2" a="1"/>
  <c r="AE54" i="2"/>
  <c r="AE55" i="2" a="1"/>
  <c r="AE55" i="2"/>
  <c r="AE56" i="2" a="1"/>
  <c r="AE56" i="2"/>
  <c r="AE57" i="2" a="1"/>
  <c r="AE57" i="2"/>
  <c r="AE58" i="2" a="1"/>
  <c r="AE58" i="2"/>
  <c r="AE59" i="2" a="1"/>
  <c r="AE59" i="2"/>
  <c r="AE60" i="2" a="1"/>
  <c r="AE60" i="2"/>
  <c r="AE61" i="2" a="1"/>
  <c r="AE61" i="2"/>
  <c r="AE62" i="2" a="1"/>
  <c r="AE62" i="2"/>
  <c r="AE63" i="2" a="1"/>
  <c r="AE63" i="2"/>
  <c r="AE64" i="2" a="1"/>
  <c r="AE64" i="2"/>
  <c r="AE65" i="2" a="1"/>
  <c r="AE65" i="2"/>
  <c r="AE66" i="2" a="1"/>
  <c r="AE66" i="2"/>
  <c r="AE67" i="2" a="1"/>
  <c r="AE67" i="2"/>
  <c r="AE68" i="2" a="1"/>
  <c r="AE68" i="2"/>
  <c r="AE69" i="2" a="1"/>
  <c r="AE69" i="2"/>
  <c r="AE70" i="2" a="1"/>
  <c r="AE70" i="2"/>
  <c r="AE71" i="2" a="1"/>
  <c r="AE71" i="2"/>
  <c r="AE72" i="2" a="1"/>
  <c r="AE72" i="2"/>
  <c r="AE73" i="2" a="1"/>
  <c r="AE73" i="2"/>
  <c r="AE74" i="2" a="1"/>
  <c r="AE74" i="2"/>
  <c r="AE75" i="2" a="1"/>
  <c r="AE75" i="2"/>
  <c r="AE76" i="2" a="1"/>
  <c r="AE76" i="2"/>
  <c r="AE77" i="2" a="1"/>
  <c r="AE77" i="2"/>
  <c r="AE78" i="2" a="1"/>
  <c r="AE78" i="2"/>
  <c r="AE79" i="2" a="1"/>
  <c r="AE79" i="2"/>
  <c r="AE80" i="2" a="1"/>
  <c r="AE80" i="2"/>
  <c r="AE81" i="2" a="1"/>
  <c r="AE81" i="2"/>
  <c r="AE82" i="2" a="1"/>
  <c r="AE82" i="2"/>
  <c r="AE83" i="2" a="1"/>
  <c r="AE83" i="2"/>
  <c r="AE84" i="2" a="1"/>
  <c r="AE84" i="2"/>
  <c r="AE85" i="2" a="1"/>
  <c r="AE85" i="2"/>
  <c r="AE86" i="2" a="1"/>
  <c r="AE86" i="2"/>
  <c r="AE87" i="2" a="1"/>
  <c r="AE87" i="2"/>
  <c r="AE88" i="2" a="1"/>
  <c r="AE88" i="2"/>
  <c r="AE89" i="2" a="1"/>
  <c r="AE89" i="2"/>
  <c r="AE90" i="2" a="1"/>
  <c r="AE90" i="2"/>
  <c r="AE91" i="2" a="1"/>
  <c r="AE91" i="2"/>
  <c r="AE92" i="2" a="1"/>
  <c r="AE92" i="2"/>
  <c r="AE93" i="2" a="1"/>
  <c r="AE93" i="2"/>
  <c r="AE94" i="2" a="1"/>
  <c r="AE94" i="2"/>
  <c r="AE95" i="2" a="1"/>
  <c r="AE95" i="2"/>
  <c r="AE96" i="2" a="1"/>
  <c r="AE96" i="2"/>
  <c r="AE97" i="2" a="1"/>
  <c r="AE97" i="2"/>
  <c r="AE98" i="2" a="1"/>
  <c r="AE98" i="2"/>
  <c r="AE99" i="2" a="1"/>
  <c r="AE99" i="2"/>
  <c r="AE100" i="2" a="1"/>
  <c r="AE100" i="2"/>
  <c r="AE101" i="2" a="1"/>
  <c r="AE101" i="2"/>
  <c r="AE102" i="2" a="1"/>
  <c r="AE102" i="2"/>
  <c r="AE103" i="2" a="1"/>
  <c r="AE103" i="2"/>
  <c r="AE104" i="2" a="1"/>
  <c r="AE104" i="2"/>
  <c r="AE105" i="2" a="1"/>
  <c r="AE105" i="2"/>
  <c r="AE106" i="2" a="1"/>
  <c r="AE106" i="2"/>
  <c r="AE107" i="2" a="1"/>
  <c r="AE107" i="2"/>
  <c r="AE108" i="2" a="1"/>
  <c r="AE108" i="2"/>
  <c r="AE109" i="2" a="1"/>
  <c r="AE109" i="2"/>
  <c r="AE110" i="2" a="1"/>
  <c r="AE110" i="2"/>
  <c r="AE111" i="2" a="1"/>
  <c r="AE111" i="2"/>
  <c r="AE112" i="2" a="1"/>
  <c r="AE112" i="2"/>
  <c r="AE113" i="2" a="1"/>
  <c r="AE113" i="2"/>
  <c r="AE114" i="2" a="1"/>
  <c r="AE114" i="2"/>
  <c r="AE115" i="2" a="1"/>
  <c r="AE115" i="2"/>
  <c r="AE116" i="2" a="1"/>
  <c r="AE116" i="2"/>
  <c r="AE117" i="2" a="1"/>
  <c r="AE117" i="2"/>
  <c r="AE118" i="2" a="1"/>
  <c r="AE118" i="2"/>
  <c r="AE119" i="2" a="1"/>
  <c r="AE119" i="2"/>
  <c r="AE120" i="2" a="1"/>
  <c r="AE120" i="2"/>
  <c r="AE121" i="2" a="1"/>
  <c r="AE121" i="2"/>
  <c r="AE122" i="2" a="1"/>
  <c r="AE122" i="2"/>
  <c r="AE123" i="2" a="1"/>
  <c r="AE123" i="2"/>
  <c r="AE124" i="2" a="1"/>
  <c r="AE124" i="2"/>
  <c r="AE125" i="2" a="1"/>
  <c r="AE125" i="2"/>
  <c r="AE126" i="2" a="1"/>
  <c r="AE126" i="2"/>
  <c r="AE127" i="2" a="1"/>
  <c r="AE127" i="2"/>
  <c r="AE128" i="2" a="1"/>
  <c r="AE128" i="2"/>
  <c r="AE129" i="2" a="1"/>
  <c r="AE129" i="2"/>
  <c r="AE130" i="2" a="1"/>
  <c r="AE130" i="2"/>
  <c r="AE131" i="2" a="1"/>
  <c r="AE131" i="2"/>
  <c r="AE132" i="2" a="1"/>
  <c r="AE132" i="2"/>
  <c r="AE133" i="2" a="1"/>
  <c r="AE133" i="2"/>
  <c r="AE134" i="2" a="1"/>
  <c r="AE134" i="2"/>
  <c r="AE135" i="2" a="1"/>
  <c r="AE135" i="2"/>
  <c r="AE136" i="2" a="1"/>
  <c r="AE136" i="2"/>
  <c r="AE137" i="2" a="1"/>
  <c r="AE137" i="2"/>
  <c r="AE138" i="2" a="1"/>
  <c r="AE138" i="2"/>
  <c r="AE139" i="2" a="1"/>
  <c r="AE139" i="2"/>
  <c r="AE2" i="2" a="1"/>
  <c r="AE2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J6" i="8"/>
  <c r="F8" i="8"/>
  <c r="F4" i="8"/>
  <c r="F7" i="8"/>
  <c r="F6" i="8"/>
  <c r="F5" i="8"/>
  <c r="AH2" i="2" a="1"/>
  <c r="AH2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G8" i="8"/>
  <c r="G7" i="8"/>
  <c r="G6" i="8"/>
  <c r="G5" i="8"/>
  <c r="G10" i="8" l="1"/>
  <c r="I10" i="8"/>
  <c r="F9" i="8"/>
  <c r="J9" i="8"/>
  <c r="J5" i="8"/>
  <c r="J7" i="8"/>
  <c r="J8" i="8"/>
  <c r="F10" i="8"/>
  <c r="H10" i="8" l="1"/>
  <c r="J1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6609D-C2FE-457F-A5F2-3E9CEC2C7F49}" keepAlive="1" name="Consulta - Jira (32)" description="Conexión a la consulta 'Jira (32)' en el libro." type="5" refreshedVersion="8" background="1" saveData="1">
    <dbPr connection="Provider=Microsoft.Mashup.OleDb.1;Data Source=$Workbook$;Location=&quot;Jira (32)&quot;;Extended Properties=&quot;&quot;" command="SELECT * FROM [Jira (32)]"/>
  </connection>
  <connection id="2" xr16:uid="{F42C47AB-EBFD-429B-80DB-14DF4342E77F}" name="WorksheetConnection_Reporte_Gral_V2.xlsx!Jira__32" type="102" refreshedVersion="8" minRefreshableVersion="5">
    <extLst>
      <ext xmlns:x15="http://schemas.microsoft.com/office/spreadsheetml/2010/11/main" uri="{DE250136-89BD-433C-8126-D09CA5730AF9}">
        <x15:connection id="Jira__32" autoDelete="1">
          <x15:rangePr sourceName="_xlcn.WorksheetConnection_Reporte_Gral_V2.xlsxJira__3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<sst xmlns="http://schemas.openxmlformats.org/spreadsheetml/2006/main" count="2587" uniqueCount="470">
  <si>
    <t>Detalles de BUGS     X - Prioridad: Alta, ¿En que Sprint fue encontrado?: Sprint 21, Estado: Tareas por hacer</t>
  </si>
  <si>
    <t>Tipo de Incidencia</t>
  </si>
  <si>
    <t>Clave de incidencia</t>
  </si>
  <si>
    <t>ID de la incidencia</t>
  </si>
  <si>
    <t>Resumen</t>
  </si>
  <si>
    <t>Principal</t>
  </si>
  <si>
    <t>Clave principal</t>
  </si>
  <si>
    <t>Parent summary</t>
  </si>
  <si>
    <t>Prioridad</t>
  </si>
  <si>
    <t>Estado</t>
  </si>
  <si>
    <t>Sprint</t>
  </si>
  <si>
    <t>Sprint_1</t>
  </si>
  <si>
    <t>Sprint_2</t>
  </si>
  <si>
    <t>Sprint_3</t>
  </si>
  <si>
    <t>Sprint_4</t>
  </si>
  <si>
    <t>Sprint_5</t>
  </si>
  <si>
    <t>Etiquetas</t>
  </si>
  <si>
    <t>Etiquetas_5</t>
  </si>
  <si>
    <t>Etiquetas_6</t>
  </si>
  <si>
    <t>Etiquetas_7</t>
  </si>
  <si>
    <t>Etiquetas_8</t>
  </si>
  <si>
    <t>Etiquetas_9</t>
  </si>
  <si>
    <t>Etiquetas_10</t>
  </si>
  <si>
    <t>Informador</t>
  </si>
  <si>
    <t>Creada</t>
  </si>
  <si>
    <t>Versiones corregidas</t>
  </si>
  <si>
    <t>Versiones corregidas_13</t>
  </si>
  <si>
    <t>Versiones corregidas_14</t>
  </si>
  <si>
    <t>Módulo</t>
  </si>
  <si>
    <t>Desarrollador</t>
  </si>
  <si>
    <t>Desarrollador_Bug_Cancelado</t>
  </si>
  <si>
    <t>¿En que Sprint fue encontrado?</t>
  </si>
  <si>
    <t>¿En qué versión fue corregido?</t>
  </si>
  <si>
    <t>¿En que Sprint fue corregido?</t>
  </si>
  <si>
    <t>Categoría</t>
  </si>
  <si>
    <t>Error</t>
  </si>
  <si>
    <t>T20-2093</t>
  </si>
  <si>
    <t>BOT - Panel Productos no se actualiza</t>
  </si>
  <si>
    <t>T20-1091</t>
  </si>
  <si>
    <t xml:space="preserve">4.- QA </t>
  </si>
  <si>
    <t>Alta</t>
  </si>
  <si>
    <t>Tareas por hacer</t>
  </si>
  <si>
    <t>T20 Sprint 21 2025</t>
  </si>
  <si>
    <t>Funcional</t>
  </si>
  <si>
    <t>QA-IntegraciónV0.9</t>
  </si>
  <si>
    <t>Daniela Soto</t>
  </si>
  <si>
    <t>BOT</t>
  </si>
  <si>
    <t>Juan Munoz</t>
  </si>
  <si>
    <t>Sprint 21</t>
  </si>
  <si>
    <t>v0</t>
  </si>
  <si>
    <t>N/A</t>
  </si>
  <si>
    <t>Detalles de BUGS     X - ¿En que Sprint fue encontrado?: Sprint 21</t>
  </si>
  <si>
    <t>T20-2066</t>
  </si>
  <si>
    <t>BOT - Modal pie de camión en inglés</t>
  </si>
  <si>
    <t>Medio</t>
  </si>
  <si>
    <t>Look&amp;Feel</t>
  </si>
  <si>
    <t>T20-2088</t>
  </si>
  <si>
    <t>POS - Checar precio - Info en Inglés</t>
  </si>
  <si>
    <t>POS</t>
  </si>
  <si>
    <t>Andres Vergara</t>
  </si>
  <si>
    <t>T20-2089</t>
  </si>
  <si>
    <t>POS - Pantalla principal - Info en inglés</t>
  </si>
  <si>
    <t>T20-2094</t>
  </si>
  <si>
    <t>Diferencias en tickets de venta - TC/Efectivo y Pago Mix</t>
  </si>
  <si>
    <t>Contenido/Datos</t>
  </si>
  <si>
    <t>Carolina Rodríguez Soriano</t>
  </si>
  <si>
    <t/>
  </si>
  <si>
    <t>Incidentes Totales X Estatus X Sprint</t>
  </si>
  <si>
    <t>Casos de Prueba Ejecutados</t>
  </si>
  <si>
    <t>Casos de prueba Pendientes</t>
  </si>
  <si>
    <t>Bugs Encontrados</t>
  </si>
  <si>
    <t>% Casos de Prueba Fallidos</t>
  </si>
  <si>
    <t>BUGS Cancelados</t>
  </si>
  <si>
    <t>Bugs Solucionados</t>
  </si>
  <si>
    <t>BUGS Pendientes por Resolver</t>
  </si>
  <si>
    <t>% Bugs Pendientes por resolver</t>
  </si>
  <si>
    <t>BUGS     X</t>
  </si>
  <si>
    <t>ESTADO</t>
  </si>
  <si>
    <t>Sprint 16</t>
  </si>
  <si>
    <t>SPRINT</t>
  </si>
  <si>
    <t>Cancelado</t>
  </si>
  <si>
    <t>Code Review</t>
  </si>
  <si>
    <t>IN SIT</t>
  </si>
  <si>
    <t>READY FOR TESTING</t>
  </si>
  <si>
    <t>READY FOR UAT</t>
  </si>
  <si>
    <t>Blocked</t>
  </si>
  <si>
    <t>En curso</t>
  </si>
  <si>
    <t>TO BE DEPLOYED-SIT</t>
  </si>
  <si>
    <t xml:space="preserve">Total </t>
  </si>
  <si>
    <t>Sprint 17</t>
  </si>
  <si>
    <t>Sprint 18</t>
  </si>
  <si>
    <t>Sprint 19</t>
  </si>
  <si>
    <t>Sprint 20</t>
  </si>
  <si>
    <t>*</t>
  </si>
  <si>
    <t>Total</t>
  </si>
  <si>
    <t>T20-958</t>
  </si>
  <si>
    <t>BOT - Se valida el usuario con Entra ID</t>
  </si>
  <si>
    <t>Backlog BUGS</t>
  </si>
  <si>
    <t>doc_ludo</t>
  </si>
  <si>
    <t>QA-SmokeV0.4</t>
  </si>
  <si>
    <t>T3B20_BOT</t>
  </si>
  <si>
    <t>T3B20_POS</t>
  </si>
  <si>
    <t>Tested_In_DEV</t>
  </si>
  <si>
    <t>Tienda2.0</t>
  </si>
  <si>
    <t>Ludo</t>
  </si>
  <si>
    <t>v0.5</t>
  </si>
  <si>
    <t>T20-957</t>
  </si>
  <si>
    <t>POS - Inicio de turno: corregir pantallas de monto de fondeo inicial</t>
  </si>
  <si>
    <t>T20 Sprint 19 2025</t>
  </si>
  <si>
    <t>v0.7</t>
  </si>
  <si>
    <t>Ludovic Hern</t>
  </si>
  <si>
    <t>T20-956</t>
  </si>
  <si>
    <t>POS - Cierre de turno: permite ingresar monto para último alivio</t>
  </si>
  <si>
    <t>T20-955</t>
  </si>
  <si>
    <t>POS - Cierre de turno: autenticación del encargado de turno</t>
  </si>
  <si>
    <t>T20-954</t>
  </si>
  <si>
    <t>BOT - Modal de confirmación de cierre de día no aparece</t>
  </si>
  <si>
    <t>T20 Sprint 17 2025</t>
  </si>
  <si>
    <t>T20 Sprint 18 2025</t>
  </si>
  <si>
    <t>QA</t>
  </si>
  <si>
    <t>Maria Pilar Albacete Occhi</t>
  </si>
  <si>
    <t>v0.6</t>
  </si>
  <si>
    <t>T20-953</t>
  </si>
  <si>
    <t>BOT -  Inicio+Cierre de día: correcciones en el flujo</t>
  </si>
  <si>
    <t>T20-623</t>
  </si>
  <si>
    <t>3.-Desarrollo POS/BOT /CDM</t>
  </si>
  <si>
    <t>T20 Sprint 16 2025</t>
  </si>
  <si>
    <t>T20-951</t>
  </si>
  <si>
    <t>POS - Generar evento de devolución (= ticket) (blocked)</t>
  </si>
  <si>
    <t>Eventos_iOT</t>
  </si>
  <si>
    <t>Integración</t>
  </si>
  <si>
    <t>T20-949</t>
  </si>
  <si>
    <t>BOT  - Validar una declaración de merma: guardar en DB + generar evento</t>
  </si>
  <si>
    <t>PENDIENTES</t>
  </si>
  <si>
    <t>T20-948</t>
  </si>
  <si>
    <t>BOT  - Ingresar cantidad a mermar</t>
  </si>
  <si>
    <t>T20-947</t>
  </si>
  <si>
    <t>BOT - Dropdown de motivo de merma</t>
  </si>
  <si>
    <t>T20-945</t>
  </si>
  <si>
    <t>POS - Buscar y agregar producto</t>
  </si>
  <si>
    <t>T20-943</t>
  </si>
  <si>
    <t>POS - Eliminar articulo de venta: corrección del flujo</t>
  </si>
  <si>
    <t>T20-942</t>
  </si>
  <si>
    <t>POS - Indicar el cambio a dar al cliente cuando paga con efectivo</t>
  </si>
  <si>
    <t>T20-940</t>
  </si>
  <si>
    <t>POS - Shortcuts ya no funcionan en flujo de pago</t>
  </si>
  <si>
    <t>T20-939</t>
  </si>
  <si>
    <t>POS - Shortcuts invertidos para opciones de pago</t>
  </si>
  <si>
    <t>T20-937</t>
  </si>
  <si>
    <t>POS- Los modals de autenticación validan las credenciales</t>
  </si>
  <si>
    <t>CANCELADO</t>
  </si>
  <si>
    <t>T20-936</t>
  </si>
  <si>
    <t>POS - No se pueden realizar multiples devoluciones</t>
  </si>
  <si>
    <t>T20-935</t>
  </si>
  <si>
    <t>POS - El shortcut F7 inicia el flujo de devoluciones</t>
  </si>
  <si>
    <t>T20-933</t>
  </si>
  <si>
    <t>POS - Shortcut F9 inicia flujo de pago de servicio</t>
  </si>
  <si>
    <t>T20-931</t>
  </si>
  <si>
    <t xml:space="preserve">POS - Tamaño de los modals de autenticación </t>
  </si>
  <si>
    <t>T20-930</t>
  </si>
  <si>
    <t>POS - Cierre de turno: se cierra y se termina el cierre de turno al dar clic en el botón "Aceptar"</t>
  </si>
  <si>
    <t>T20-929</t>
  </si>
  <si>
    <t>POS - Cierre de turno: con shortcut F11</t>
  </si>
  <si>
    <t>T20-927</t>
  </si>
  <si>
    <t>POS - Inicio de turno con shortcut CTRL-A</t>
  </si>
  <si>
    <t>T20-926</t>
  </si>
  <si>
    <t>POS - El formato de fecha en el header del POS es DD/MM/YYYY</t>
  </si>
  <si>
    <t>T20-924</t>
  </si>
  <si>
    <t>POS -  Inicio+Cierre de turno: correcciones en el flujo</t>
  </si>
  <si>
    <t>T20-920</t>
  </si>
  <si>
    <t>POS - Escanear producto</t>
  </si>
  <si>
    <t>T20-916</t>
  </si>
  <si>
    <t>POS - Login BOT+POS: no se muestra el nombre del usuario conectado</t>
  </si>
  <si>
    <t>Sergio Ordaz Romero</t>
  </si>
  <si>
    <t>T20-882</t>
  </si>
  <si>
    <t xml:space="preserve">BOT - [B+P] Navegación y menús: correcciones </t>
  </si>
  <si>
    <t>Juan Camilo Collantes Tovar</t>
  </si>
  <si>
    <t>T20-879</t>
  </si>
  <si>
    <t>BOT - Inicio de día: correcciones en el flujo</t>
  </si>
  <si>
    <t>T20 Sprint 15 2025</t>
  </si>
  <si>
    <t>T20-1994</t>
  </si>
  <si>
    <t>BOT - Ctrl+N - No cierra sesión</t>
  </si>
  <si>
    <t>QA-IntegraciónV0.8</t>
  </si>
  <si>
    <t>T20-1993</t>
  </si>
  <si>
    <t>POS_Evento POS_Pago con Tarjeta de débito llega a Iothub sin tipo de pago</t>
  </si>
  <si>
    <t>Yubisleinys Mora Vega</t>
  </si>
  <si>
    <t>v0.8</t>
  </si>
  <si>
    <t>Emiliano Fraile</t>
  </si>
  <si>
    <t>T20-1992</t>
  </si>
  <si>
    <t xml:space="preserve">POS_Evento POS_Pago con Efectivo llega a Iothub sin tipo de pago </t>
  </si>
  <si>
    <t>T20-1981</t>
  </si>
  <si>
    <t>BOT - Error en modal "Entrada a Pie de camión"</t>
  </si>
  <si>
    <t>Más alta</t>
  </si>
  <si>
    <t>T20-1976</t>
  </si>
  <si>
    <t>BOT - Productos - Columnas sin filtros</t>
  </si>
  <si>
    <t>T20-1973</t>
  </si>
  <si>
    <t>BOT - Dashboard Efectivo - Error en Panel Movimientos</t>
  </si>
  <si>
    <t>915- Por definir</t>
  </si>
  <si>
    <t>T20-1970</t>
  </si>
  <si>
    <t>BOT_No se muestra el modal al seleccionar “Bloqueo de sesión”</t>
  </si>
  <si>
    <t>T20 Sprint 20 2025</t>
  </si>
  <si>
    <t>T20-1967</t>
  </si>
  <si>
    <t xml:space="preserve">POS - Errores modal Tiempo Aire </t>
  </si>
  <si>
    <t>T20-1966</t>
  </si>
  <si>
    <t>POS - Shortcut F10 no funciona</t>
  </si>
  <si>
    <t>T20-1963</t>
  </si>
  <si>
    <t>POS - Servicios - Error en modal Pago de Servicios</t>
  </si>
  <si>
    <t>T20-1950</t>
  </si>
  <si>
    <t>BOT - Registrar merma - Errores en columnas</t>
  </si>
  <si>
    <t> </t>
  </si>
  <si>
    <t>T20-1947</t>
  </si>
  <si>
    <t>POS - BOT - Al seleccionar botones de la izquierda, se dehabilitan las funcionalidades seleccionadas y no se pueden volver a seleccionar.</t>
  </si>
  <si>
    <t>T20-1946</t>
  </si>
  <si>
    <t>POS - Errores en módulo "Devolución"</t>
  </si>
  <si>
    <t>T20-1944</t>
  </si>
  <si>
    <t>POS - Menú BBB con opciones erradas</t>
  </si>
  <si>
    <t>T20-1943</t>
  </si>
  <si>
    <t>POS - No figura opción "Cerrar Turno y Cerrar Sesión"</t>
  </si>
  <si>
    <t>T20-1930</t>
  </si>
  <si>
    <t>POS - Login con usuario inválido no permite corregir.</t>
  </si>
  <si>
    <t>Nicolas Dubiansky</t>
  </si>
  <si>
    <t>T20-1927</t>
  </si>
  <si>
    <t>BOT - Modal inventario no se visualiza</t>
  </si>
  <si>
    <t>T20-1924</t>
  </si>
  <si>
    <t>BOT_Evento BOT_Logout llega a Iothub con datos incorrectos</t>
  </si>
  <si>
    <t>T20-1915</t>
  </si>
  <si>
    <t>BOT - Aceptar mensaje entrante falla, se debe de forzar el cierre.</t>
  </si>
  <si>
    <t>T20-1800</t>
  </si>
  <si>
    <t>BOT - Toast de "trasnsferencia de productos" reaparece al seleccionar otros productos</t>
  </si>
  <si>
    <t>QA-IntegraciónV0.7</t>
  </si>
  <si>
    <t>T20-1797</t>
  </si>
  <si>
    <t>POS -  opción "Realizar alivio"  abre modal de  "Cerrar Turno"</t>
  </si>
  <si>
    <t>T20-1794</t>
  </si>
  <si>
    <t>POS - Confirmar Realizar alivio falla</t>
  </si>
  <si>
    <t>T20-1791</t>
  </si>
  <si>
    <t>POS - No coincide el boton "Aceptar" versión de la aplicación VS Figma</t>
  </si>
  <si>
    <t>QA-EquipoMV0.7</t>
  </si>
  <si>
    <t>Josue Jesus Espindola Velasco</t>
  </si>
  <si>
    <t>T20-1755</t>
  </si>
  <si>
    <t>POS_Solicitud fondeo adicional - No se visualiza evento</t>
  </si>
  <si>
    <t>T20-1754</t>
  </si>
  <si>
    <t>POS_Realizar alivio - No se visualiza evento</t>
  </si>
  <si>
    <t>T20-1753</t>
  </si>
  <si>
    <t xml:space="preserve">BOT - No apareció el botón de Inicio de Día después de hacer log in </t>
  </si>
  <si>
    <t>Daniela Rodríguez</t>
  </si>
  <si>
    <t>T20-1752</t>
  </si>
  <si>
    <t xml:space="preserve">BOT – Confirmar fondeo adicional - No se visualiza evento </t>
  </si>
  <si>
    <t>T20-1751</t>
  </si>
  <si>
    <t>BOT - Imagen de Inicio de sesión no concuerda para BOT</t>
  </si>
  <si>
    <t>Baja</t>
  </si>
  <si>
    <t>T20-1750</t>
  </si>
  <si>
    <t>BOT - Inputs de log in no muestran el label de Usuario y contraseña</t>
  </si>
  <si>
    <t>Bug_Devuelto_v0.8</t>
  </si>
  <si>
    <t>T20-1749</t>
  </si>
  <si>
    <t>POS - El campo buscador y botón cancelar no coincide con el FIGMA</t>
  </si>
  <si>
    <t>T20-1722</t>
  </si>
  <si>
    <t xml:space="preserve">POS - Texto de Botón incorrecto </t>
  </si>
  <si>
    <t>Rocio Gallegos</t>
  </si>
  <si>
    <t>T20-1721</t>
  </si>
  <si>
    <t>POS - Las credenciales aparecen pre-cargadas</t>
  </si>
  <si>
    <t>Configuración</t>
  </si>
  <si>
    <t>T20-1685</t>
  </si>
  <si>
    <t>POS - Nombre incorrecto de modal</t>
  </si>
  <si>
    <t>Roberto Gomez Hernandez</t>
  </si>
  <si>
    <t>T20-1684</t>
  </si>
  <si>
    <t>BOT_Registro de gasto - No se visualiza evento en Iothub</t>
  </si>
  <si>
    <t>v0.10</t>
  </si>
  <si>
    <t>T20-1675</t>
  </si>
  <si>
    <t>BOT - Toast de Transferencia de productos reaparece al seleccionar otros productos</t>
  </si>
  <si>
    <t>T20-1599</t>
  </si>
  <si>
    <t>BOT - Tipo de gasto no se despliega correctamente ni coincide</t>
  </si>
  <si>
    <t>T20-1598</t>
  </si>
  <si>
    <t>BOT - Registrar gastos no registra el valor ingresado</t>
  </si>
  <si>
    <t>T20-1596</t>
  </si>
  <si>
    <t>BOT - Dashboard no refleja valores en modal "Efectivo"</t>
  </si>
  <si>
    <t>T20-1591</t>
  </si>
  <si>
    <t>BOT - No se muestran mensajes entrantes</t>
  </si>
  <si>
    <t>T20-1585</t>
  </si>
  <si>
    <t>POS - Artículo buscado permanece fijo en la barra de búsqueda</t>
  </si>
  <si>
    <t>T20-1533</t>
  </si>
  <si>
    <t>POS - El error se origina en el evento POS_Login capturado en OITHUB, y se mantiene en RowData y Cosmos, afectando la consistencia de la información.</t>
  </si>
  <si>
    <t>QA-IntegraciónV0.6</t>
  </si>
  <si>
    <t>T20-1508</t>
  </si>
  <si>
    <t>POS_INICIO DE TURNO - No se visualiza evento</t>
  </si>
  <si>
    <t>T20-1506</t>
  </si>
  <si>
    <t>T20-1497</t>
  </si>
  <si>
    <t>BOT_End Store-Day - No se visualiza evento</t>
  </si>
  <si>
    <t>T20-1496</t>
  </si>
  <si>
    <t>POS Close Shift - No se visualiza evento</t>
  </si>
  <si>
    <t>T20-1495</t>
  </si>
  <si>
    <t xml:space="preserve">POS – Logout - No se visualiza evento </t>
  </si>
  <si>
    <t>T20-1494</t>
  </si>
  <si>
    <t xml:space="preserve">BOT – Logout - No se visualiza evento </t>
  </si>
  <si>
    <t>T20-1471</t>
  </si>
  <si>
    <t>BOT - Error en tabla de Productos - Nombre de columnas no son legibles</t>
  </si>
  <si>
    <t>T20-1469</t>
  </si>
  <si>
    <t>POS - Checar precio se cierra fuera del modal</t>
  </si>
  <si>
    <t>T20-1465</t>
  </si>
  <si>
    <t xml:space="preserve">BOT - Pantalla Efectivo muestra otras opciones </t>
  </si>
  <si>
    <t>T20-1453</t>
  </si>
  <si>
    <t>POS - Se puede bloquear sesión (Ctrl X) Sin haber iniciado sesión</t>
  </si>
  <si>
    <t>T20-1451</t>
  </si>
  <si>
    <t>BOT - Error en en menú desplegable desde el nombre de usuario</t>
  </si>
  <si>
    <t>T20-1450</t>
  </si>
  <si>
    <t>BOT - Falta info en modal "Cierre de turno"</t>
  </si>
  <si>
    <t>T20-1431</t>
  </si>
  <si>
    <t>BOT - La fecha de inicio de día esta "hardcodeada"</t>
  </si>
  <si>
    <t>QA-SmokeV0.6</t>
  </si>
  <si>
    <t>T20-1430</t>
  </si>
  <si>
    <t>BOT - No hay funcionalidad de cierre de día</t>
  </si>
  <si>
    <t>T20-1429</t>
  </si>
  <si>
    <t>BOT - Se ve dos veces el botón "Cierre de día"</t>
  </si>
  <si>
    <t>T20-1428</t>
  </si>
  <si>
    <t>BOT - Error en botón "Aceptar" Cierre de día</t>
  </si>
  <si>
    <t>T20-1418</t>
  </si>
  <si>
    <t xml:space="preserve">POS - No se visualiza evento: POS_Close_Shift </t>
  </si>
  <si>
    <t>T20-1417</t>
  </si>
  <si>
    <t>POS - En el evento POS_SALES_TICKET viene siempre como user: alejandra.ortega@t3b.com</t>
  </si>
  <si>
    <t>T20-1415</t>
  </si>
  <si>
    <t>POS - Botones habilitados con pantalla vacía</t>
  </si>
  <si>
    <t>T20-1414</t>
  </si>
  <si>
    <t>POS - No se deben de cerrar las ventanas emergentes si se da clic fuera de ellas.</t>
  </si>
  <si>
    <t>T20-1413</t>
  </si>
  <si>
    <t>POS - Modal "Cancelar artículos" abre con credenciales cargadas</t>
  </si>
  <si>
    <t>T20-1411</t>
  </si>
  <si>
    <t>POS - El botón "Iniciar Sesión" no se habilita después de que sale un error y este fue corregido.</t>
  </si>
  <si>
    <t>T20-1410</t>
  </si>
  <si>
    <t>POS - Modal de Pago Mix - Cerrar venta - tiene diferencias contra el  diseño propuesto</t>
  </si>
  <si>
    <t>T20-1406</t>
  </si>
  <si>
    <t>POS - El evento no trae el valor de "pos_id"</t>
  </si>
  <si>
    <t>T20-1389</t>
  </si>
  <si>
    <t>POS - Fondo de caja - Aceptar en lugar de Confirmar</t>
  </si>
  <si>
    <t>T20-1388</t>
  </si>
  <si>
    <t>POS - Error en el modal de Sesión Bloqueada</t>
  </si>
  <si>
    <t>T20-1387</t>
  </si>
  <si>
    <t>POS - Error de idoma - Cancel Art</t>
  </si>
  <si>
    <t>T20-1316</t>
  </si>
  <si>
    <t>BOT - Error en tablero de Merma</t>
  </si>
  <si>
    <t>QA-IntegraciónV0.6i</t>
  </si>
  <si>
    <t>T3B20_Kotlin</t>
  </si>
  <si>
    <t>T20-1310</t>
  </si>
  <si>
    <t>POS - Ctrl X no bloquea sesión</t>
  </si>
  <si>
    <t>T20-1300</t>
  </si>
  <si>
    <t>POS - Aparece la pantalla de Devolución sin seleccionar un producto y por default se coloca "pasta dental" para devolución</t>
  </si>
  <si>
    <t>QA-SmokeV0.6i</t>
  </si>
  <si>
    <t>T20-1298</t>
  </si>
  <si>
    <t>POS - Error en cálculo de Total - Cancelar Artículo</t>
  </si>
  <si>
    <t>T20-1296</t>
  </si>
  <si>
    <t xml:space="preserve">POS - F5 abre Checar precio </t>
  </si>
  <si>
    <t>T20-1294</t>
  </si>
  <si>
    <t xml:space="preserve">POS - No funciona tecla (Esc) </t>
  </si>
  <si>
    <t>T20-1289</t>
  </si>
  <si>
    <t>BOT - Monto de Fondeo adicional viene con un formato incorrecto.</t>
  </si>
  <si>
    <t>T20-1287</t>
  </si>
  <si>
    <t>BOT - Error gramatical en toast de Alivio y Toast se queda de manera indefinida.</t>
  </si>
  <si>
    <t>T20-1286</t>
  </si>
  <si>
    <t>BOT - Toast de confirmación de fondeo inicial/adicional no desaparece.</t>
  </si>
  <si>
    <t>T20-1266</t>
  </si>
  <si>
    <t>BOT - Evento Json no se puede probar aun</t>
  </si>
  <si>
    <t>QA-IntegraciónV0.5</t>
  </si>
  <si>
    <t>T20-1265</t>
  </si>
  <si>
    <t>BOT - Salir/Cerrar Sesion</t>
  </si>
  <si>
    <t>T20-1263</t>
  </si>
  <si>
    <t>POS - Error en modal Pago de servicio - Catálogo</t>
  </si>
  <si>
    <t>T20-1260</t>
  </si>
  <si>
    <t>POS - Error en modal Pago de servicio referenciado</t>
  </si>
  <si>
    <t>T20-1249</t>
  </si>
  <si>
    <t>BOT - El toast se queda de manera indefinida y tapa la funcionalidad de Merma</t>
  </si>
  <si>
    <t>QA-SmokeV0.5</t>
  </si>
  <si>
    <t>T20-1248</t>
  </si>
  <si>
    <t>POS - No se puede ingresar el monto del alivio</t>
  </si>
  <si>
    <t>T20-1247</t>
  </si>
  <si>
    <t>POS - Shortcut Ctrl+N no cierra sesión.</t>
  </si>
  <si>
    <t>T20-1226</t>
  </si>
  <si>
    <t>BOT - El toast de Cierre de día permanece en la pantalla de manera indefinida.</t>
  </si>
  <si>
    <t>T20-1222</t>
  </si>
  <si>
    <t>POS - Error de idioma en modal "Sesión Bloqueada"</t>
  </si>
  <si>
    <t>T20-1217</t>
  </si>
  <si>
    <t>POS - Error en modal Cerrar Venta - Tarjeta Bono</t>
  </si>
  <si>
    <t>T20-1085</t>
  </si>
  <si>
    <t>POS - Error de idioma en botones en modal Cerrar Venta</t>
  </si>
  <si>
    <t>QA-IntegraciónV0.5i</t>
  </si>
  <si>
    <t>T20-1084</t>
  </si>
  <si>
    <t xml:space="preserve">POS - Error de idioma en "Cancelar" en Modal Pago directo electrónico </t>
  </si>
  <si>
    <t>T20-1083</t>
  </si>
  <si>
    <t>POS - No se vacía la pantalla al cancelar venta</t>
  </si>
  <si>
    <t>T20-1082</t>
  </si>
  <si>
    <t xml:space="preserve">POS - No se cancela Venta con shortcut </t>
  </si>
  <si>
    <t>T20-1079</t>
  </si>
  <si>
    <t>POS - No funciona tecla "Enter" para agregar producto después de la búsqueda.</t>
  </si>
  <si>
    <t>QA-SmokeV0.5i</t>
  </si>
  <si>
    <t>T20-1078</t>
  </si>
  <si>
    <t>POS - No funciona la opción Ctrl + B</t>
  </si>
  <si>
    <t>T20-1075</t>
  </si>
  <si>
    <t>POS - Botón dice "Cancelar" en lugar de "Salir"</t>
  </si>
  <si>
    <t>T20-1070</t>
  </si>
  <si>
    <t>POS - No funciona el shortcut F4</t>
  </si>
  <si>
    <t>T20-1069</t>
  </si>
  <si>
    <t>POS - La ventana emergente no muestra los campos según el diseño</t>
  </si>
  <si>
    <t>T20-1068</t>
  </si>
  <si>
    <t>POS - Inconsistencia con los campos y datos mostrados dentro de la pantalla principal de POS</t>
  </si>
  <si>
    <t>T20-1051</t>
  </si>
  <si>
    <t>BOT - Error en Pie de camión</t>
  </si>
  <si>
    <t>QA-IntegraciónV0.4</t>
  </si>
  <si>
    <t>T20-1048</t>
  </si>
  <si>
    <t>BOT - Error en Modal Alivio</t>
  </si>
  <si>
    <t>T20-1039</t>
  </si>
  <si>
    <t xml:space="preserve">POS - Error de idioma en botones </t>
  </si>
  <si>
    <t>T20-1036</t>
  </si>
  <si>
    <t>BOT - Error en botones Cancelar/Aceptar modal Fondeo Inicial</t>
  </si>
  <si>
    <t>T20-1035</t>
  </si>
  <si>
    <t xml:space="preserve">POS - Error al cerrar turno </t>
  </si>
  <si>
    <t>T20-1029</t>
  </si>
  <si>
    <t>POS - Error en Venta Artículo. No se completa.</t>
  </si>
  <si>
    <t>T20-1023</t>
  </si>
  <si>
    <t>POS - Error en texto de pantalla "Validar Cancelación"</t>
  </si>
  <si>
    <t>Versión</t>
  </si>
  <si>
    <t>Fecha</t>
  </si>
  <si>
    <t>Environment</t>
  </si>
  <si>
    <t>Test Plan</t>
  </si>
  <si>
    <t>V0.4</t>
  </si>
  <si>
    <t>4-12 Agosto</t>
  </si>
  <si>
    <t>DEV</t>
  </si>
  <si>
    <t>V0.5 - intermedia</t>
  </si>
  <si>
    <t>11-14 Agosto</t>
  </si>
  <si>
    <t>V0.5</t>
  </si>
  <si>
    <t>18-22 Agosto</t>
  </si>
  <si>
    <t>V0.6 int</t>
  </si>
  <si>
    <t>26-29 Agosto</t>
  </si>
  <si>
    <t>V0.6</t>
  </si>
  <si>
    <t>1-12 Sept</t>
  </si>
  <si>
    <t>SIT</t>
  </si>
  <si>
    <t>q</t>
  </si>
  <si>
    <t>V0.7</t>
  </si>
  <si>
    <t>15-26 -Sept</t>
  </si>
  <si>
    <t>1612,1536,1498</t>
  </si>
  <si>
    <t>QA-SmokeV0.7</t>
  </si>
  <si>
    <t>V0.8</t>
  </si>
  <si>
    <t>29 - 13 - Oct</t>
  </si>
  <si>
    <t>QA-SmokeV0.8</t>
  </si>
  <si>
    <t>V0.9</t>
  </si>
  <si>
    <t>14-21-oCT</t>
  </si>
  <si>
    <t>QA-SmokeV0.9</t>
  </si>
  <si>
    <t>V0.10</t>
  </si>
  <si>
    <t>Categorías</t>
  </si>
  <si>
    <t>Eventos_Cosmos</t>
  </si>
  <si>
    <t>Eventos_Fabric</t>
  </si>
  <si>
    <t>Reporte por DESARROLLADOR</t>
  </si>
  <si>
    <t>Bugs  por</t>
  </si>
  <si>
    <t>Total general</t>
  </si>
  <si>
    <t xml:space="preserve">Bugs por </t>
  </si>
  <si>
    <t>Reporte por Módulo: POS, BOT, CDM</t>
  </si>
  <si>
    <t>Bugs</t>
  </si>
  <si>
    <t xml:space="preserve">BUGS X </t>
  </si>
  <si>
    <t>Reporte por VERSIÓN/SPRINT</t>
  </si>
  <si>
    <t>TOTAL DE BUGS ENCONTRADOS POR SPRINT</t>
  </si>
  <si>
    <r>
      <rPr>
        <b/>
        <sz val="11"/>
        <color theme="1"/>
        <rFont val="Aptos Narrow"/>
        <family val="2"/>
        <scheme val="minor"/>
      </rPr>
      <t>BUGS SOLUCIONADOS POR SPRINT con prioridad</t>
    </r>
    <r>
      <rPr>
        <sz val="11"/>
        <color theme="1"/>
        <rFont val="Aptos Narrow"/>
        <family val="2"/>
        <scheme val="minor"/>
      </rPr>
      <t xml:space="preserve"> - Estos son los bugs que se han ido cerrando en cada sprint, es decir se solucionaron 11 Bugs en el sprint 17, 20 en el sprint 18, etc.</t>
    </r>
  </si>
  <si>
    <t>BUGS PENDIENTES POR SPRINT con su prioridad</t>
  </si>
  <si>
    <t>Recuento de Estado</t>
  </si>
  <si>
    <t>Bugs X Sprint - Pendientes</t>
  </si>
  <si>
    <t>Estatus</t>
  </si>
  <si>
    <t>Cuenta de Prioridad</t>
  </si>
  <si>
    <t>Etiquetas de fila</t>
  </si>
  <si>
    <t>Cuenta de Estado</t>
  </si>
  <si>
    <t>Etiquetas de columna</t>
  </si>
  <si>
    <t>CP Fallados</t>
  </si>
  <si>
    <t>CP Bloqueados</t>
  </si>
  <si>
    <t>CP Pendientes</t>
  </si>
  <si>
    <t>Total de CP ejecutados</t>
  </si>
  <si>
    <t xml:space="preserve">Bugs 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</si>
</sst>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92A2E"/>
      <name val="Atlassian Sans"/>
      <charset val="1"/>
    </font>
    <font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2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E2841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4141"/>
        <bgColor indexed="64"/>
      </patternFill>
    </fill>
    <fill>
      <patternFill patternType="solid">
        <fgColor rgb="FFE880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1" fillId="3" borderId="1" xfId="0" applyFont="1" applyFill="1" applyBorder="1"/>
    <xf numFmtId="0" fontId="2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/>
    <xf numFmtId="0" fontId="5" fillId="5" borderId="0" xfId="0" applyFont="1" applyFill="1"/>
    <xf numFmtId="0" fontId="6" fillId="0" borderId="2" xfId="0" applyFont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1" fillId="7" borderId="0" xfId="0" applyFont="1" applyFill="1"/>
    <xf numFmtId="0" fontId="8" fillId="5" borderId="2" xfId="0" applyFont="1" applyFill="1" applyBorder="1"/>
    <xf numFmtId="0" fontId="1" fillId="7" borderId="2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0" fillId="8" borderId="0" xfId="0" applyFill="1"/>
    <xf numFmtId="0" fontId="1" fillId="5" borderId="1" xfId="0" applyFont="1" applyFill="1" applyBorder="1"/>
    <xf numFmtId="0" fontId="0" fillId="9" borderId="0" xfId="0" applyFill="1"/>
    <xf numFmtId="0" fontId="0" fillId="0" borderId="0" xfId="0" applyAlignment="1">
      <alignment horizontal="center"/>
    </xf>
    <xf numFmtId="0" fontId="12" fillId="0" borderId="0" xfId="0" applyFont="1"/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14" fillId="0" borderId="0" xfId="0" applyNumberFormat="1" applyFont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22" borderId="4" xfId="0" applyFill="1" applyBorder="1"/>
    <xf numFmtId="0" fontId="0" fillId="22" borderId="5" xfId="0" applyFill="1" applyBorder="1"/>
    <xf numFmtId="0" fontId="0" fillId="22" borderId="5" xfId="0" applyFill="1" applyBorder="1" applyAlignment="1">
      <alignment wrapText="1"/>
    </xf>
    <xf numFmtId="0" fontId="14" fillId="9" borderId="6" xfId="0" applyFont="1" applyFill="1" applyBorder="1" applyAlignment="1">
      <alignment horizontal="center" vertical="center"/>
    </xf>
    <xf numFmtId="9" fontId="14" fillId="9" borderId="7" xfId="0" applyNumberFormat="1" applyFont="1" applyFill="1" applyBorder="1" applyAlignment="1">
      <alignment horizontal="center" vertical="center"/>
    </xf>
    <xf numFmtId="0" fontId="15" fillId="0" borderId="0" xfId="0" applyFont="1"/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22" fontId="0" fillId="0" borderId="0" xfId="0" applyNumberFormat="1"/>
    <xf numFmtId="0" fontId="10" fillId="0" borderId="0" xfId="0" applyFont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6" fillId="5" borderId="0" xfId="0" applyFont="1" applyFill="1"/>
    <xf numFmtId="0" fontId="0" fillId="19" borderId="2" xfId="0" applyFill="1" applyBorder="1" applyAlignment="1">
      <alignment horizontal="center" vertical="center"/>
    </xf>
    <xf numFmtId="0" fontId="16" fillId="5" borderId="0" xfId="0" applyFont="1" applyFill="1" applyAlignment="1">
      <alignment horizontal="center"/>
    </xf>
    <xf numFmtId="0" fontId="0" fillId="23" borderId="2" xfId="0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0" fillId="25" borderId="2" xfId="0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22" fontId="15" fillId="0" borderId="0" xfId="0" applyNumberFormat="1" applyFont="1"/>
    <xf numFmtId="0" fontId="3" fillId="4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0" xfId="0" pivotButton="1"/>
    <xf numFmtId="0" fontId="0" fillId="0" borderId="1" xfId="0" applyBorder="1" applyAlignment="1">
      <alignment horizontal="left" indent="1"/>
    </xf>
    <xf numFmtId="0" fontId="1" fillId="3" borderId="0" xfId="0" applyFont="1" applyFill="1"/>
    <xf numFmtId="0" fontId="0" fillId="0" borderId="0" xfId="0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10" fillId="15" borderId="11" xfId="0" applyFont="1" applyFill="1" applyBorder="1" applyAlignment="1">
      <alignment horizontal="center" vertical="center" wrapText="1"/>
    </xf>
    <xf numFmtId="0" fontId="10" fillId="18" borderId="12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27" borderId="12" xfId="0" applyFont="1" applyFill="1" applyBorder="1" applyAlignment="1">
      <alignment horizontal="center" vertical="center" wrapText="1"/>
    </xf>
    <xf numFmtId="0" fontId="10" fillId="17" borderId="12" xfId="0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 wrapText="1"/>
    </xf>
    <xf numFmtId="0" fontId="10" fillId="15" borderId="14" xfId="0" applyFont="1" applyFill="1" applyBorder="1" applyAlignment="1">
      <alignment horizontal="center" vertical="center" wrapText="1"/>
    </xf>
    <xf numFmtId="0" fontId="10" fillId="15" borderId="15" xfId="0" applyFont="1" applyFill="1" applyBorder="1" applyAlignment="1">
      <alignment horizontal="center" vertical="center" wrapText="1"/>
    </xf>
    <xf numFmtId="0" fontId="0" fillId="28" borderId="6" xfId="0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1" fontId="1" fillId="27" borderId="6" xfId="1" applyNumberFormat="1" applyFont="1" applyFill="1" applyBorder="1" applyAlignment="1">
      <alignment horizontal="center" vertical="center"/>
    </xf>
    <xf numFmtId="0" fontId="10" fillId="17" borderId="17" xfId="0" applyFont="1" applyFill="1" applyBorder="1" applyAlignment="1">
      <alignment horizontal="center" vertical="center" wrapText="1"/>
    </xf>
    <xf numFmtId="0" fontId="10" fillId="8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9" xfId="0" applyBorder="1"/>
    <xf numFmtId="0" fontId="0" fillId="0" borderId="10" xfId="0" applyBorder="1"/>
    <xf numFmtId="9" fontId="0" fillId="16" borderId="2" xfId="1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 wrapText="1"/>
    </xf>
    <xf numFmtId="0" fontId="10" fillId="20" borderId="12" xfId="0" applyFont="1" applyFill="1" applyBorder="1" applyAlignment="1">
      <alignment horizontal="center" vertical="center" wrapText="1"/>
    </xf>
    <xf numFmtId="0" fontId="10" fillId="19" borderId="12" xfId="0" applyFont="1" applyFill="1" applyBorder="1" applyAlignment="1">
      <alignment horizontal="center" vertical="center" wrapText="1"/>
    </xf>
    <xf numFmtId="0" fontId="10" fillId="21" borderId="12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9" fontId="0" fillId="16" borderId="16" xfId="0" applyNumberFormat="1" applyFill="1" applyBorder="1" applyAlignment="1">
      <alignment horizontal="center" vertical="center"/>
    </xf>
    <xf numFmtId="0" fontId="10" fillId="16" borderId="6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9" fontId="10" fillId="19" borderId="6" xfId="1" applyFont="1" applyFill="1" applyBorder="1" applyAlignment="1">
      <alignment horizontal="center" vertical="center" wrapText="1"/>
    </xf>
    <xf numFmtId="0" fontId="10" fillId="17" borderId="6" xfId="0" applyFont="1" applyFill="1" applyBorder="1" applyAlignment="1">
      <alignment horizontal="center" vertical="center"/>
    </xf>
    <xf numFmtId="0" fontId="10" fillId="18" borderId="6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9" borderId="0" xfId="0" applyFill="1" applyAlignment="1">
      <alignment horizontal="center" wrapText="1"/>
    </xf>
    <xf numFmtId="0" fontId="11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1" fillId="9" borderId="0" xfId="0" applyFont="1" applyFill="1" applyAlignment="1">
      <alignment horizontal="center" wrapText="1"/>
    </xf>
  </cellXfs>
  <cellStyles count="2">
    <cellStyle name="Normal" xfId="0" builtinId="0"/>
    <cellStyle name="Porcentaje" xfId="1" builtinId="5"/>
  </cellStyles>
  <dxfs count="4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h:mm"/>
    </dxf>
    <dxf>
      <numFmt numFmtId="164" formatCode="dd/mm/yyyy\ hh:mm"/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5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E04141"/>
        </patternFill>
      </fill>
    </dxf>
    <dxf>
      <fill>
        <patternFill patternType="solid">
          <fgColor indexed="64"/>
          <bgColor rgb="FFE04141"/>
        </patternFill>
      </fill>
    </dxf>
    <dxf>
      <fill>
        <patternFill patternType="solid">
          <fgColor indexed="64"/>
          <bgColor rgb="FFE88080"/>
        </patternFill>
      </fill>
    </dxf>
    <dxf>
      <fill>
        <patternFill patternType="solid">
          <fgColor indexed="64"/>
          <bgColor rgb="FFE88080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ont>
        <color rgb="FFFF0000"/>
      </font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theme="3" tint="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3" tint="0.24997711111789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</dxf>
    <dxf>
      <font>
        <color theme="1"/>
      </font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ont>
        <color theme="0"/>
      </font>
    </dxf>
    <dxf>
      <font>
        <color theme="0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</dxf>
    <dxf>
      <font>
        <color theme="1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ont>
        <color rgb="FFFF0000"/>
      </font>
    </dxf>
    <dxf>
      <alignment horizontal="center"/>
    </dxf>
    <dxf>
      <alignment vertic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  <fill>
        <patternFill patternType="solid">
          <fgColor indexed="64"/>
          <bgColor theme="4" tint="-0.249977111117893"/>
        </patternFill>
      </fill>
    </dxf>
    <dxf>
      <alignment horizontal="center"/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vertical="center"/>
    </dxf>
    <dxf>
      <font>
        <sz val="12"/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3" tint="9.9978637043366805E-2"/>
        </patternFill>
      </fill>
    </dxf>
    <dxf>
      <font>
        <color theme="0"/>
      </font>
      <fill>
        <patternFill patternType="solid">
          <fgColor indexed="64"/>
          <bgColor theme="3" tint="9.9978637043366805E-2"/>
        </patternFill>
      </fill>
    </dxf>
    <dxf>
      <font>
        <color theme="0"/>
      </font>
      <fill>
        <patternFill patternType="solid">
          <fgColor indexed="64"/>
          <bgColor theme="3" tint="9.9978637043366805E-2"/>
        </patternFill>
      </fill>
    </dxf>
    <dxf>
      <font>
        <color theme="0"/>
      </font>
      <fill>
        <patternFill patternType="solid">
          <fgColor indexed="64"/>
          <bgColor theme="3" tint="9.9978637043366805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fill>
        <patternFill patternType="solid">
          <fgColor indexed="64"/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alignment horizontal="left"/>
    </dxf>
    <dxf>
      <fill>
        <patternFill patternType="solid">
          <fgColor indexed="64"/>
          <bgColor theme="2" tint="-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ill>
        <patternFill patternType="solid">
          <bgColor theme="3" tint="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rgb="FFFFFF00"/>
        </patternFill>
      </fill>
    </dxf>
    <dxf>
      <font>
        <color rgb="FF00000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E88080"/>
      <color rgb="FFD95B5B"/>
      <color rgb="FFE041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Tendencia de Bugs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Tendencia!$E$3</c:f>
              <c:strCache>
                <c:ptCount val="1"/>
                <c:pt idx="0">
                  <c:v>Bugs Encontrados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cat>
            <c:strRef>
              <c:f>Tendencia!$B$4:$B$9</c:f>
              <c:strCache>
                <c:ptCount val="6"/>
                <c:pt idx="0">
                  <c:v>Sprint 16</c:v>
                </c:pt>
                <c:pt idx="1">
                  <c:v>Sprint 17</c:v>
                </c:pt>
                <c:pt idx="2">
                  <c:v>Sprint 18</c:v>
                </c:pt>
                <c:pt idx="3">
                  <c:v>Sprint 19</c:v>
                </c:pt>
                <c:pt idx="4">
                  <c:v>Sprint 20</c:v>
                </c:pt>
                <c:pt idx="5">
                  <c:v>Sprint 21</c:v>
                </c:pt>
              </c:strCache>
            </c:strRef>
          </c:cat>
          <c:val>
            <c:numRef>
              <c:f>Tendencia!$E$4:$E$9</c:f>
              <c:numCache>
                <c:formatCode>General</c:formatCode>
                <c:ptCount val="6"/>
                <c:pt idx="0">
                  <c:v>46</c:v>
                </c:pt>
                <c:pt idx="1">
                  <c:v>19</c:v>
                </c:pt>
                <c:pt idx="2">
                  <c:v>28</c:v>
                </c:pt>
                <c:pt idx="3">
                  <c:v>21</c:v>
                </c:pt>
                <c:pt idx="4">
                  <c:v>19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55-440B-9D40-45A6A879565C}"/>
            </c:ext>
          </c:extLst>
        </c:ser>
        <c:ser>
          <c:idx val="5"/>
          <c:order val="4"/>
          <c:tx>
            <c:strRef>
              <c:f>Tendencia!$H$3</c:f>
              <c:strCache>
                <c:ptCount val="1"/>
                <c:pt idx="0">
                  <c:v>Bugs Solucionados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Tendencia!$B$4:$B$8</c:f>
              <c:strCache>
                <c:ptCount val="5"/>
                <c:pt idx="0">
                  <c:v>Sprint 16</c:v>
                </c:pt>
                <c:pt idx="1">
                  <c:v>Sprint 17</c:v>
                </c:pt>
                <c:pt idx="2">
                  <c:v>Sprint 18</c:v>
                </c:pt>
                <c:pt idx="3">
                  <c:v>Sprint 19</c:v>
                </c:pt>
                <c:pt idx="4">
                  <c:v>Sprint 20</c:v>
                </c:pt>
              </c:strCache>
            </c:strRef>
          </c:cat>
          <c:val>
            <c:numRef>
              <c:f>Tendencia!$H$4:$H$9</c:f>
              <c:numCache>
                <c:formatCode>General</c:formatCode>
                <c:ptCount val="6"/>
                <c:pt idx="0">
                  <c:v>25</c:v>
                </c:pt>
                <c:pt idx="1">
                  <c:v>13</c:v>
                </c:pt>
                <c:pt idx="2">
                  <c:v>12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55-440B-9D40-45A6A879565C}"/>
            </c:ext>
          </c:extLst>
        </c:ser>
        <c:ser>
          <c:idx val="6"/>
          <c:order val="5"/>
          <c:tx>
            <c:strRef>
              <c:f>Tendencia!$I$3</c:f>
              <c:strCache>
                <c:ptCount val="1"/>
                <c:pt idx="0">
                  <c:v>BUGS Pendientes por Resolver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Tendencia!$B$4:$B$8</c:f>
              <c:strCache>
                <c:ptCount val="5"/>
                <c:pt idx="0">
                  <c:v>Sprint 16</c:v>
                </c:pt>
                <c:pt idx="1">
                  <c:v>Sprint 17</c:v>
                </c:pt>
                <c:pt idx="2">
                  <c:v>Sprint 18</c:v>
                </c:pt>
                <c:pt idx="3">
                  <c:v>Sprint 19</c:v>
                </c:pt>
                <c:pt idx="4">
                  <c:v>Sprint 20</c:v>
                </c:pt>
              </c:strCache>
            </c:strRef>
          </c:cat>
          <c:val>
            <c:numRef>
              <c:f>Tendencia!$I$4:$I$9</c:f>
              <c:numCache>
                <c:formatCode>General</c:formatCode>
                <c:ptCount val="6"/>
                <c:pt idx="0">
                  <c:v>14</c:v>
                </c:pt>
                <c:pt idx="1">
                  <c:v>4</c:v>
                </c:pt>
                <c:pt idx="2">
                  <c:v>15</c:v>
                </c:pt>
                <c:pt idx="3">
                  <c:v>17</c:v>
                </c:pt>
                <c:pt idx="4">
                  <c:v>15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55-440B-9D40-45A6A879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317216"/>
        <c:axId val="15583076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Tendencia!$C$3</c15:sqref>
                        </c15:formulaRef>
                      </c:ext>
                    </c:extLst>
                    <c:strCache>
                      <c:ptCount val="1"/>
                      <c:pt idx="0">
                        <c:v>Casos de Prueba Ejecutados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Tendencia!$B$4:$B$9</c15:sqref>
                        </c15:formulaRef>
                      </c:ext>
                    </c:extLst>
                    <c:strCache>
                      <c:ptCount val="6"/>
                      <c:pt idx="0">
                        <c:v>Sprint 16</c:v>
                      </c:pt>
                      <c:pt idx="1">
                        <c:v>Sprint 17</c:v>
                      </c:pt>
                      <c:pt idx="2">
                        <c:v>Sprint 18</c:v>
                      </c:pt>
                      <c:pt idx="3">
                        <c:v>Sprint 19</c:v>
                      </c:pt>
                      <c:pt idx="4">
                        <c:v>Sprint 20</c:v>
                      </c:pt>
                      <c:pt idx="5">
                        <c:v>Sprint 21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Tendencia!$C$4:$C$8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135</c:v>
                      </c:pt>
                      <c:pt idx="1">
                        <c:v>139</c:v>
                      </c:pt>
                      <c:pt idx="2">
                        <c:v>105</c:v>
                      </c:pt>
                      <c:pt idx="3">
                        <c:v>142</c:v>
                      </c:pt>
                      <c:pt idx="4">
                        <c:v>136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355-440B-9D40-45A6A879565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Tendencia!$D$3</c15:sqref>
                        </c15:formulaRef>
                      </c:ext>
                    </c:extLst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Tendencia!$B$4:$B$9</c15:sqref>
                        </c15:formulaRef>
                      </c:ext>
                    </c:extLst>
                    <c:strCache>
                      <c:ptCount val="6"/>
                      <c:pt idx="0">
                        <c:v>Sprint 16</c:v>
                      </c:pt>
                      <c:pt idx="1">
                        <c:v>Sprint 17</c:v>
                      </c:pt>
                      <c:pt idx="2">
                        <c:v>Sprint 18</c:v>
                      </c:pt>
                      <c:pt idx="3">
                        <c:v>Sprint 19</c:v>
                      </c:pt>
                      <c:pt idx="4">
                        <c:v>Sprint 20</c:v>
                      </c:pt>
                      <c:pt idx="5">
                        <c:v>Sprint 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Tendencia!$D$4:$D$10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355-440B-9D40-45A6A879565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Tendencia!$F$3</c15:sqref>
                        </c15:formulaRef>
                      </c:ext>
                    </c:extLst>
                    <c:strCache>
                      <c:ptCount val="1"/>
                      <c:pt idx="0">
                        <c:v>% Casos de Prueba Fallidos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Tendencia!$B$4:$B$9</c15:sqref>
                        </c15:formulaRef>
                      </c:ext>
                    </c:extLst>
                    <c:strCache>
                      <c:ptCount val="6"/>
                      <c:pt idx="0">
                        <c:v>Sprint 16</c:v>
                      </c:pt>
                      <c:pt idx="1">
                        <c:v>Sprint 17</c:v>
                      </c:pt>
                      <c:pt idx="2">
                        <c:v>Sprint 18</c:v>
                      </c:pt>
                      <c:pt idx="3">
                        <c:v>Sprint 19</c:v>
                      </c:pt>
                      <c:pt idx="4">
                        <c:v>Sprint 20</c:v>
                      </c:pt>
                      <c:pt idx="5">
                        <c:v>Sprint 21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Tendencia!$F$4:$F$10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0.34074074074074073</c:v>
                      </c:pt>
                      <c:pt idx="1">
                        <c:v>0.1366906474820144</c:v>
                      </c:pt>
                      <c:pt idx="2">
                        <c:v>0.26666666666666666</c:v>
                      </c:pt>
                      <c:pt idx="3">
                        <c:v>0.14788732394366197</c:v>
                      </c:pt>
                      <c:pt idx="4">
                        <c:v>0.13970588235294118</c:v>
                      </c:pt>
                      <c:pt idx="5">
                        <c:v>0.14285714285714285</c:v>
                      </c:pt>
                      <c:pt idx="6">
                        <c:v>0.19942196531791909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55-440B-9D40-45A6A879565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7"/>
          <c:order val="6"/>
          <c:tx>
            <c:strRef>
              <c:f>Tendencia!$J$3</c:f>
              <c:strCache>
                <c:ptCount val="1"/>
                <c:pt idx="0">
                  <c:v>% Bugs Pendientes por resolver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Tendencia!$B$4:$B$8</c:f>
              <c:strCache>
                <c:ptCount val="5"/>
                <c:pt idx="0">
                  <c:v>Sprint 16</c:v>
                </c:pt>
                <c:pt idx="1">
                  <c:v>Sprint 17</c:v>
                </c:pt>
                <c:pt idx="2">
                  <c:v>Sprint 18</c:v>
                </c:pt>
                <c:pt idx="3">
                  <c:v>Sprint 19</c:v>
                </c:pt>
                <c:pt idx="4">
                  <c:v>Sprint 20</c:v>
                </c:pt>
              </c:strCache>
            </c:strRef>
          </c:cat>
          <c:val>
            <c:numRef>
              <c:f>Tendencia!$J$4:$J$9</c:f>
              <c:numCache>
                <c:formatCode>0%</c:formatCode>
                <c:ptCount val="6"/>
                <c:pt idx="0">
                  <c:v>0.30434782608695654</c:v>
                </c:pt>
                <c:pt idx="1">
                  <c:v>0.21052631578947367</c:v>
                </c:pt>
                <c:pt idx="2">
                  <c:v>0.5357142857142857</c:v>
                </c:pt>
                <c:pt idx="3">
                  <c:v>0.80952380952380953</c:v>
                </c:pt>
                <c:pt idx="4">
                  <c:v>0.78947368421052633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55-440B-9D40-45A6A879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327296"/>
        <c:axId val="1558323456"/>
      </c:lineChart>
      <c:catAx>
        <c:axId val="155831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8307616"/>
        <c:crosses val="autoZero"/>
        <c:auto val="1"/>
        <c:lblAlgn val="ctr"/>
        <c:lblOffset val="100"/>
        <c:noMultiLvlLbl val="0"/>
      </c:catAx>
      <c:valAx>
        <c:axId val="155830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8317216"/>
        <c:crosses val="autoZero"/>
        <c:crossBetween val="between"/>
      </c:valAx>
      <c:valAx>
        <c:axId val="155832345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8327296"/>
        <c:crosses val="max"/>
        <c:crossBetween val="between"/>
      </c:valAx>
      <c:catAx>
        <c:axId val="1558327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8323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13</xdr:row>
      <xdr:rowOff>176211</xdr:rowOff>
    </xdr:from>
    <xdr:to>
      <xdr:col>8</xdr:col>
      <xdr:colOff>723900</xdr:colOff>
      <xdr:row>29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2AD9BB9-ABE6-E49A-108E-997E53E35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0.556991898149" createdVersion="8" refreshedVersion="8" minRefreshableVersion="3" recordCount="138" xr:uid="{329D5152-B3FA-4E69-B8CD-0ACAD6F600A8}">
  <cacheSource type="worksheet">
    <worksheetSource name="Jira__32"/>
  </cacheSource>
  <cacheFields count="34">
    <cacheField name="Tipo de Incidencia" numFmtId="0">
      <sharedItems/>
    </cacheField>
    <cacheField name="Clave de incidencia" numFmtId="0">
      <sharedItems/>
    </cacheField>
    <cacheField name="ID de la incidencia" numFmtId="0">
      <sharedItems containsSemiMixedTypes="0" containsString="0" containsNumber="1" containsInteger="1" minValue="82873" maxValue="102710"/>
    </cacheField>
    <cacheField name="Resumen" numFmtId="0">
      <sharedItems/>
    </cacheField>
    <cacheField name="Principal" numFmtId="0">
      <sharedItems containsBlank="1" containsMixedTypes="1" containsNumber="1" containsInteger="1" minValue="79941" maxValue="87100"/>
    </cacheField>
    <cacheField name="Clave principal" numFmtId="0">
      <sharedItems containsBlank="1"/>
    </cacheField>
    <cacheField name="Parent summary" numFmtId="0">
      <sharedItems containsBlank="1"/>
    </cacheField>
    <cacheField name="Prioridad" numFmtId="0">
      <sharedItems containsBlank="1" count="5">
        <s v="Medio"/>
        <s v="Alta"/>
        <s v="Más alta"/>
        <s v="Baja"/>
        <m u="1"/>
      </sharedItems>
    </cacheField>
    <cacheField name="Estado" numFmtId="0">
      <sharedItems containsBlank="1" count="11">
        <s v="READY FOR UAT"/>
        <s v="Code Review"/>
        <s v="Blocked"/>
        <s v="Tareas por hacer"/>
        <s v="IN SIT"/>
        <s v="Cancelado"/>
        <s v="En curso"/>
        <s v="TO BE DEPLOYED-SIT"/>
        <s v="READY FOR TESTING"/>
        <s v="Finalizada" u="1"/>
        <m u="1"/>
      </sharedItems>
    </cacheField>
    <cacheField name="Sprint" numFmtId="0">
      <sharedItems containsBlank="1"/>
    </cacheField>
    <cacheField name="Sprint_1" numFmtId="0">
      <sharedItems containsBlank="1"/>
    </cacheField>
    <cacheField name="Sprint_2" numFmtId="0">
      <sharedItems containsBlank="1"/>
    </cacheField>
    <cacheField name="Sprint_3" numFmtId="0">
      <sharedItems containsBlank="1"/>
    </cacheField>
    <cacheField name="Sprint_4" numFmtId="0">
      <sharedItems containsBlank="1"/>
    </cacheField>
    <cacheField name="Sprint_5" numFmtId="0">
      <sharedItems containsBlank="1"/>
    </cacheField>
    <cacheField name="Etiquetas" numFmtId="0">
      <sharedItems/>
    </cacheField>
    <cacheField name="Etiquetas_5" numFmtId="0">
      <sharedItems/>
    </cacheField>
    <cacheField name="Etiquetas_6" numFmtId="0">
      <sharedItems containsBlank="1"/>
    </cacheField>
    <cacheField name="Etiquetas_7" numFmtId="0">
      <sharedItems containsBlank="1"/>
    </cacheField>
    <cacheField name="Etiquetas_8" numFmtId="0">
      <sharedItems containsBlank="1"/>
    </cacheField>
    <cacheField name="Etiquetas_9" numFmtId="0">
      <sharedItems containsBlank="1"/>
    </cacheField>
    <cacheField name="Etiquetas_10" numFmtId="0">
      <sharedItems containsBlank="1"/>
    </cacheField>
    <cacheField name="Informador" numFmtId="0">
      <sharedItems/>
    </cacheField>
    <cacheField name="Creada" numFmtId="22">
      <sharedItems containsSemiMixedTypes="0" containsNonDate="0" containsDate="1" containsString="0" minDate="2025-08-03T12:16:00" maxDate="2025-10-17T17:01:00"/>
    </cacheField>
    <cacheField name="Versiones corregidas" numFmtId="0">
      <sharedItems containsBlank="1"/>
    </cacheField>
    <cacheField name="Versiones corregidas_13" numFmtId="0">
      <sharedItems containsBlank="1"/>
    </cacheField>
    <cacheField name="Versiones corregidas_14" numFmtId="0">
      <sharedItems containsBlank="1"/>
    </cacheField>
    <cacheField name="Módulo" numFmtId="0">
      <sharedItems containsBlank="1" count="4">
        <s v="BOT"/>
        <s v="POS"/>
        <s v=""/>
        <m u="1"/>
      </sharedItems>
    </cacheField>
    <cacheField name="Desarrollador" numFmtId="0">
      <sharedItems containsBlank="1" count="14">
        <s v="Andres Vergara"/>
        <s v="Ludovic Hern"/>
        <s v="Juan Munoz"/>
        <s v="PENDIENTES"/>
        <s v="CANCELADO"/>
        <s v="Sergio Ordaz Romero"/>
        <s v="Juan Camilo Collantes Tovar"/>
        <s v="Emiliano Fraile"/>
        <s v="915- Por definir"/>
        <s v="Nicolas Dubiansky"/>
        <m/>
        <s v="Sergio Ordaz Romero_x000a_" u="1"/>
        <s v="_x000a_Andres Vergara" u="1"/>
        <s v="_x000a_Emiliano Fraile" u="1"/>
      </sharedItems>
    </cacheField>
    <cacheField name="Desarrollador_Bug_Cancelado" numFmtId="0">
      <sharedItems containsBlank="1"/>
    </cacheField>
    <cacheField name="¿En que Sprint fue encontrado?" numFmtId="0">
      <sharedItems containsBlank="1" count="7">
        <s v="Sprint 16"/>
        <s v="Sprint 21"/>
        <s v="Sprint 20"/>
        <s v="Sprint 19"/>
        <s v="Sprint 18"/>
        <s v="Sprint 17"/>
        <m u="1"/>
      </sharedItems>
    </cacheField>
    <cacheField name="¿En qué versión fue corregido?" numFmtId="0">
      <sharedItems count="6">
        <s v="v0.5"/>
        <s v="v0.7"/>
        <s v="v0"/>
        <s v="v0.6"/>
        <s v="v0.8"/>
        <s v="v0.10"/>
      </sharedItems>
    </cacheField>
    <cacheField name="¿En que Sprint fue corregido?" numFmtId="0">
      <sharedItems/>
    </cacheField>
    <cacheField name="Categoría" numFmtId="0">
      <sharedItems containsBlank="1" count="9">
        <s v="Funcional"/>
        <s v="Look&amp;Feel"/>
        <s v="Integración"/>
        <s v="Contenido/Datos"/>
        <s v="Eventos_iOT"/>
        <s v="Configuración"/>
        <m u="1"/>
        <s v="No encontrado" u="1"/>
        <s v="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Error"/>
    <s v="T20-958"/>
    <n v="83062"/>
    <s v="BOT - Se valida el usuario con Entra ID"/>
    <n v="87100"/>
    <s v="T20-1091"/>
    <s v="4.- QA "/>
    <x v="0"/>
    <x v="0"/>
    <s v="Backlog BUGS"/>
    <m/>
    <m/>
    <m/>
    <m/>
    <m/>
    <s v="doc_ludo"/>
    <s v="Funcional"/>
    <s v="QA-SmokeV0.4"/>
    <s v="T3B20_BOT"/>
    <s v="T3B20_POS"/>
    <s v="Tested_In_DEV"/>
    <s v="Tienda2.0"/>
    <s v="Ludo"/>
    <d v="2025-08-04T05:28:00"/>
    <s v="v0.5"/>
    <m/>
    <m/>
    <x v="0"/>
    <x v="0"/>
    <m/>
    <x v="0"/>
    <x v="0"/>
    <s v="Sprint 17"/>
    <x v="0"/>
  </r>
  <r>
    <s v="Error"/>
    <s v="T20-957"/>
    <n v="83060"/>
    <s v="POS - Inicio de turno: corregir pantallas de monto de fondeo inicial"/>
    <n v="87100"/>
    <s v="T20-1091"/>
    <s v="4.- QA "/>
    <x v="0"/>
    <x v="0"/>
    <s v="T20 Sprint 19 2025"/>
    <s v="Backlog BUGS"/>
    <m/>
    <m/>
    <m/>
    <m/>
    <s v="doc_ludo"/>
    <s v="Look&amp;Feel"/>
    <s v="QA-SmokeV0.4"/>
    <s v="T3B20_POS"/>
    <s v="Tienda2.0"/>
    <m/>
    <m/>
    <s v="Ludo"/>
    <d v="2025-08-04T05:16:00"/>
    <s v="v0.7"/>
    <m/>
    <m/>
    <x v="1"/>
    <x v="1"/>
    <m/>
    <x v="0"/>
    <x v="1"/>
    <s v="Sprint 19"/>
    <x v="1"/>
  </r>
  <r>
    <s v="Error"/>
    <s v="T20-956"/>
    <n v="83058"/>
    <s v="POS - Cierre de turno: permite ingresar monto para último alivio"/>
    <n v="87100"/>
    <s v="T20-1091"/>
    <s v="4.- QA "/>
    <x v="0"/>
    <x v="1"/>
    <s v="Backlog BUGS"/>
    <m/>
    <m/>
    <m/>
    <m/>
    <m/>
    <s v="doc_ludo"/>
    <s v="Funcional"/>
    <s v="QA-SmokeV0.4"/>
    <s v="T3B20_POS"/>
    <s v="Tienda2.0"/>
    <m/>
    <m/>
    <s v="Ludo"/>
    <d v="2025-08-04T04:43:00"/>
    <m/>
    <m/>
    <m/>
    <x v="1"/>
    <x v="1"/>
    <m/>
    <x v="0"/>
    <x v="2"/>
    <s v="N/A"/>
    <x v="0"/>
  </r>
  <r>
    <s v="Error"/>
    <s v="T20-955"/>
    <n v="83056"/>
    <s v="POS - Cierre de turno: autenticación del encargado de turno"/>
    <n v="87100"/>
    <s v="T20-1091"/>
    <s v="4.- QA "/>
    <x v="0"/>
    <x v="1"/>
    <s v="Backlog BUGS"/>
    <m/>
    <m/>
    <m/>
    <m/>
    <m/>
    <s v="doc_ludo"/>
    <s v="Funcional"/>
    <s v="QA-SmokeV0.4"/>
    <s v="T3B20_POS"/>
    <s v="Tienda2.0"/>
    <m/>
    <m/>
    <s v="Ludo"/>
    <d v="2025-08-04T04:39:00"/>
    <m/>
    <m/>
    <m/>
    <x v="1"/>
    <x v="1"/>
    <m/>
    <x v="0"/>
    <x v="2"/>
    <s v="N/A"/>
    <x v="0"/>
  </r>
  <r>
    <s v="Error"/>
    <s v="T20-954"/>
    <n v="83054"/>
    <s v="BOT - Modal de confirmación de cierre de día no aparece"/>
    <n v="87100"/>
    <s v="T20-1091"/>
    <s v="4.- QA "/>
    <x v="1"/>
    <x v="2"/>
    <s v="T20 Sprint 17 2025"/>
    <s v="T20 Sprint 18 2025"/>
    <s v="T20 Sprint 21 2025"/>
    <m/>
    <m/>
    <m/>
    <s v="doc_ludo"/>
    <s v="Look&amp;Feel"/>
    <s v="QA"/>
    <s v="QA-SmokeV0.4"/>
    <s v="T3B20_BOT"/>
    <s v="Tienda2.0"/>
    <m/>
    <s v="Maria Pilar Albacete Occhi"/>
    <d v="2025-08-04T04:07:00"/>
    <s v="v0.5"/>
    <s v="v0.6"/>
    <s v="v0.7"/>
    <x v="0"/>
    <x v="1"/>
    <m/>
    <x v="0"/>
    <x v="1"/>
    <s v="Sprint 19"/>
    <x v="1"/>
  </r>
  <r>
    <s v="Error"/>
    <s v="T20-953"/>
    <n v="83052"/>
    <s v="BOT -  Inicio+Cierre de día: correcciones en el flujo"/>
    <n v="79941"/>
    <s v="T20-623"/>
    <s v="3.-Desarrollo POS/BOT /CDM"/>
    <x v="0"/>
    <x v="3"/>
    <s v="T20 Sprint 16 2025"/>
    <s v="T20 Sprint 17 2025"/>
    <s v="T20 Sprint 18 2025"/>
    <s v="Backlog BUGS"/>
    <m/>
    <m/>
    <s v="Funcional"/>
    <s v="QA"/>
    <s v="QA-SmokeV0.4"/>
    <s v="T3B20_BOT"/>
    <s v="Tienda2.0"/>
    <m/>
    <m/>
    <s v="Ludo"/>
    <d v="2025-08-04T04:03:00"/>
    <s v="v0.6"/>
    <s v="v0.7"/>
    <m/>
    <x v="0"/>
    <x v="1"/>
    <m/>
    <x v="0"/>
    <x v="1"/>
    <s v="Sprint 19"/>
    <x v="0"/>
  </r>
  <r>
    <s v="Error"/>
    <s v="T20-951"/>
    <n v="83049"/>
    <s v="POS - Generar evento de devolución (= ticket) (blocked)"/>
    <n v="87100"/>
    <s v="T20-1091"/>
    <s v="4.- QA "/>
    <x v="0"/>
    <x v="0"/>
    <s v="T20 Sprint 18 2025"/>
    <s v="Backlog BUGS"/>
    <m/>
    <m/>
    <m/>
    <m/>
    <s v="Eventos_iOT"/>
    <s v="Integración"/>
    <s v="QA"/>
    <s v="QA-SmokeV0.4"/>
    <s v="T3B20_POS"/>
    <s v="Tienda2.0"/>
    <m/>
    <s v="Ludo"/>
    <d v="2025-08-04T03:34:00"/>
    <s v="v0.7"/>
    <m/>
    <m/>
    <x v="1"/>
    <x v="2"/>
    <m/>
    <x v="0"/>
    <x v="1"/>
    <s v="Sprint 19"/>
    <x v="2"/>
  </r>
  <r>
    <s v="Error"/>
    <s v="T20-949"/>
    <n v="83046"/>
    <s v="BOT  - Validar una declaración de merma: guardar en DB + generar evento"/>
    <n v="87100"/>
    <s v="T20-1091"/>
    <s v="4.- QA "/>
    <x v="0"/>
    <x v="3"/>
    <s v="Backlog BUGS"/>
    <m/>
    <m/>
    <m/>
    <m/>
    <m/>
    <s v="doc_ludo"/>
    <s v="Integración"/>
    <s v="QA-SmokeV0.4"/>
    <s v="T3B20_BOT"/>
    <s v="Tienda2.0"/>
    <m/>
    <m/>
    <s v="Ludo"/>
    <d v="2025-08-04T03:08:00"/>
    <s v="v0.5"/>
    <m/>
    <m/>
    <x v="0"/>
    <x v="3"/>
    <m/>
    <x v="0"/>
    <x v="0"/>
    <s v="Sprint 17"/>
    <x v="2"/>
  </r>
  <r>
    <s v="Error"/>
    <s v="T20-948"/>
    <n v="83044"/>
    <s v="BOT  - Ingresar cantidad a mermar"/>
    <n v="87100"/>
    <s v="T20-1091"/>
    <s v="4.- QA "/>
    <x v="0"/>
    <x v="0"/>
    <s v="Backlog BUGS"/>
    <m/>
    <m/>
    <m/>
    <m/>
    <m/>
    <s v="doc_ludo"/>
    <s v="Funcional"/>
    <s v="QA-SmokeV0.4"/>
    <s v="T3B20_BOT"/>
    <s v="Tienda2.0"/>
    <m/>
    <m/>
    <s v="Ludo"/>
    <d v="2025-08-04T03:06:00"/>
    <s v="v0.5"/>
    <m/>
    <m/>
    <x v="0"/>
    <x v="2"/>
    <m/>
    <x v="0"/>
    <x v="0"/>
    <s v="Sprint 17"/>
    <x v="0"/>
  </r>
  <r>
    <s v="Error"/>
    <s v="T20-947"/>
    <n v="83042"/>
    <s v="BOT - Dropdown de motivo de merma"/>
    <n v="87100"/>
    <s v="T20-1091"/>
    <s v="4.- QA "/>
    <x v="0"/>
    <x v="3"/>
    <s v="Backlog BUGS"/>
    <m/>
    <m/>
    <m/>
    <m/>
    <m/>
    <s v="doc_ludo"/>
    <s v="Funcional"/>
    <s v="QA-SmokeV0.4"/>
    <s v="T3B20_BOT"/>
    <s v="Tienda2.0"/>
    <m/>
    <m/>
    <s v="Ludo"/>
    <d v="2025-08-04T03:05:00"/>
    <s v="v0.5"/>
    <m/>
    <m/>
    <x v="0"/>
    <x v="3"/>
    <m/>
    <x v="0"/>
    <x v="0"/>
    <s v="Sprint 17"/>
    <x v="0"/>
  </r>
  <r>
    <s v="Error"/>
    <s v="T20-945"/>
    <n v="83039"/>
    <s v="POS - Buscar y agregar producto"/>
    <n v="87100"/>
    <s v="T20-1091"/>
    <s v="4.- QA "/>
    <x v="0"/>
    <x v="0"/>
    <m/>
    <m/>
    <m/>
    <m/>
    <m/>
    <m/>
    <s v="doc_ludo"/>
    <s v="Funcional"/>
    <s v="QA-SmokeV0.4"/>
    <s v="T3B20_POS"/>
    <s v="Tested_In_DEV"/>
    <s v="Tienda2.0"/>
    <m/>
    <s v="Ludo"/>
    <d v="2025-08-04T02:34:00"/>
    <s v="v0.5"/>
    <m/>
    <m/>
    <x v="1"/>
    <x v="2"/>
    <m/>
    <x v="0"/>
    <x v="0"/>
    <s v="Sprint 17"/>
    <x v="0"/>
  </r>
  <r>
    <s v="Error"/>
    <s v="T20-943"/>
    <n v="83035"/>
    <s v="POS - Eliminar articulo de venta: corrección del flujo"/>
    <n v="87100"/>
    <s v="T20-1091"/>
    <s v="4.- QA "/>
    <x v="0"/>
    <x v="4"/>
    <s v="Backlog BUGS"/>
    <m/>
    <m/>
    <m/>
    <m/>
    <m/>
    <s v="doc_ludo"/>
    <s v="Funcional"/>
    <s v="QA-SmokeV0.4"/>
    <s v="T3B20_POS"/>
    <s v="Tested_In_DEV"/>
    <s v="Tienda2.0"/>
    <m/>
    <s v="Ludo"/>
    <d v="2025-08-04T02:17:00"/>
    <s v="v0.5"/>
    <m/>
    <m/>
    <x v="1"/>
    <x v="0"/>
    <m/>
    <x v="0"/>
    <x v="0"/>
    <s v="Sprint 17"/>
    <x v="0"/>
  </r>
  <r>
    <s v="Error"/>
    <s v="T20-942"/>
    <n v="83033"/>
    <s v="POS - Indicar el cambio a dar al cliente cuando paga con efectivo"/>
    <n v="87100"/>
    <s v="T20-1091"/>
    <s v="4.- QA "/>
    <x v="0"/>
    <x v="0"/>
    <s v="T20 Sprint 18 2025"/>
    <s v="Backlog BUGS"/>
    <m/>
    <m/>
    <m/>
    <m/>
    <s v="doc_ludo"/>
    <s v="Funcional"/>
    <s v="QA-SmokeV0.4"/>
    <s v="T3B20_POS"/>
    <s v="Tienda2.0"/>
    <m/>
    <m/>
    <s v="Ludo"/>
    <d v="2025-08-04T01:29:00"/>
    <s v="v0.6"/>
    <m/>
    <m/>
    <x v="1"/>
    <x v="2"/>
    <m/>
    <x v="0"/>
    <x v="3"/>
    <s v="Sprint 18"/>
    <x v="0"/>
  </r>
  <r>
    <s v="Error"/>
    <s v="T20-940"/>
    <n v="83030"/>
    <s v="POS - Shortcuts ya no funcionan en flujo de pago"/>
    <n v="87100"/>
    <s v="T20-1091"/>
    <s v="4.- QA "/>
    <x v="0"/>
    <x v="3"/>
    <s v="Backlog BUGS"/>
    <m/>
    <m/>
    <m/>
    <m/>
    <m/>
    <s v="doc_ludo"/>
    <s v="Funcional"/>
    <s v="QA-SmokeV0.4"/>
    <s v="T3B20_POS"/>
    <s v="Tienda2.0"/>
    <m/>
    <m/>
    <s v="Ludo"/>
    <d v="2025-08-04T01:16:00"/>
    <s v="v0.5"/>
    <m/>
    <m/>
    <x v="1"/>
    <x v="3"/>
    <m/>
    <x v="0"/>
    <x v="0"/>
    <s v="Sprint 17"/>
    <x v="0"/>
  </r>
  <r>
    <s v="Error"/>
    <s v="T20-939"/>
    <n v="83028"/>
    <s v="POS - Shortcuts invertidos para opciones de pago"/>
    <n v="87100"/>
    <s v="T20-1091"/>
    <s v="4.- QA "/>
    <x v="0"/>
    <x v="0"/>
    <s v="Backlog BUGS"/>
    <m/>
    <m/>
    <m/>
    <m/>
    <m/>
    <s v="doc_ludo"/>
    <s v="Funcional"/>
    <s v="QA-SmokeV0.4"/>
    <s v="T3B20_POS"/>
    <s v="Tested_In_DEV"/>
    <s v="Tienda2.0"/>
    <m/>
    <s v="Ludo"/>
    <d v="2025-08-04T01:14:00"/>
    <s v="v0.5"/>
    <m/>
    <m/>
    <x v="1"/>
    <x v="0"/>
    <m/>
    <x v="0"/>
    <x v="0"/>
    <s v="Sprint 17"/>
    <x v="0"/>
  </r>
  <r>
    <s v="Error"/>
    <s v="T20-937"/>
    <n v="83024"/>
    <s v="POS- Los modals de autenticación validan las credenciales"/>
    <n v="87100"/>
    <s v="T20-1091"/>
    <s v="4.- QA "/>
    <x v="0"/>
    <x v="5"/>
    <m/>
    <m/>
    <m/>
    <m/>
    <m/>
    <m/>
    <s v="doc_ludo"/>
    <s v="Funcional"/>
    <s v="QA-SmokeV0.4"/>
    <s v="T3B20_BOT"/>
    <s v="T3B20_POS"/>
    <s v="Tested_In_DEV"/>
    <s v="Tienda2.0"/>
    <s v="Ludo"/>
    <d v="2025-08-04T00:54:00"/>
    <s v="v0.5"/>
    <m/>
    <m/>
    <x v="1"/>
    <x v="4"/>
    <m/>
    <x v="0"/>
    <x v="0"/>
    <s v="Sprint 17"/>
    <x v="0"/>
  </r>
  <r>
    <s v="Error"/>
    <s v="T20-936"/>
    <n v="83022"/>
    <s v="POS - No se pueden realizar multiples devoluciones"/>
    <n v="87100"/>
    <s v="T20-1091"/>
    <s v="4.- QA "/>
    <x v="1"/>
    <x v="3"/>
    <s v="T20 Sprint 21 2025"/>
    <m/>
    <m/>
    <m/>
    <m/>
    <m/>
    <s v="Funcional"/>
    <s v="QA-SmokeV0.4"/>
    <m/>
    <m/>
    <m/>
    <m/>
    <m/>
    <s v="Ludo"/>
    <d v="2025-08-04T00:49:00"/>
    <s v="v0.5"/>
    <m/>
    <m/>
    <x v="1"/>
    <x v="3"/>
    <m/>
    <x v="0"/>
    <x v="0"/>
    <s v="Sprint 17"/>
    <x v="0"/>
  </r>
  <r>
    <s v="Error"/>
    <s v="T20-935"/>
    <n v="83020"/>
    <s v="POS - El shortcut F7 inicia el flujo de devoluciones"/>
    <n v="87100"/>
    <s v="T20-1091"/>
    <s v="4.- QA "/>
    <x v="0"/>
    <x v="0"/>
    <s v="T20 Sprint 17 2025"/>
    <s v="T20 Sprint 18 2025"/>
    <s v="Backlog BUGS"/>
    <m/>
    <m/>
    <m/>
    <s v="Funcional"/>
    <s v="QA-SmokeV0.4"/>
    <m/>
    <m/>
    <m/>
    <m/>
    <m/>
    <s v="Ludo"/>
    <d v="2025-08-04T00:47:00"/>
    <s v="v0.5"/>
    <m/>
    <m/>
    <x v="1"/>
    <x v="1"/>
    <m/>
    <x v="0"/>
    <x v="0"/>
    <s v="Sprint 17"/>
    <x v="0"/>
  </r>
  <r>
    <s v="Error"/>
    <s v="T20-933"/>
    <n v="83017"/>
    <s v="POS - Shortcut F9 inicia flujo de pago de servicio"/>
    <n v="87100"/>
    <s v="T20-1091"/>
    <s v="4.- QA "/>
    <x v="0"/>
    <x v="0"/>
    <s v="T20 Sprint 19 2025"/>
    <s v="Backlog BUGS"/>
    <m/>
    <m/>
    <m/>
    <m/>
    <s v="Funcional"/>
    <s v="QA-SmokeV0.4"/>
    <s v="T3B20_POS"/>
    <s v="Tienda2.0"/>
    <m/>
    <m/>
    <m/>
    <s v="Ludo"/>
    <d v="2025-08-04T00:38:00"/>
    <s v="v0.7"/>
    <m/>
    <m/>
    <x v="1"/>
    <x v="3"/>
    <m/>
    <x v="0"/>
    <x v="1"/>
    <s v="Sprint 19"/>
    <x v="0"/>
  </r>
  <r>
    <s v="Error"/>
    <s v="T20-931"/>
    <n v="83014"/>
    <s v="POS - Tamaño de los modals de autenticación "/>
    <n v="87100"/>
    <s v="T20-1091"/>
    <s v="4.- QA "/>
    <x v="0"/>
    <x v="0"/>
    <s v="Backlog BUGS"/>
    <m/>
    <m/>
    <m/>
    <m/>
    <m/>
    <s v="doc_ludo"/>
    <s v="Look&amp;Feel"/>
    <s v="QA-SmokeV0.4"/>
    <s v="T3B20_POS"/>
    <s v="Tested_In_DEV"/>
    <s v="Tienda2.0"/>
    <m/>
    <s v="Ludo"/>
    <d v="2025-08-04T00:24:00"/>
    <s v="v0.5"/>
    <m/>
    <m/>
    <x v="1"/>
    <x v="3"/>
    <m/>
    <x v="0"/>
    <x v="0"/>
    <s v="Sprint 17"/>
    <x v="1"/>
  </r>
  <r>
    <s v="Error"/>
    <s v="T20-930"/>
    <n v="83012"/>
    <s v="POS - Cierre de turno: se cierra y se termina el cierre de turno al dar clic en el botón &quot;Aceptar&quot;"/>
    <n v="87100"/>
    <s v="T20-1091"/>
    <s v="4.- QA "/>
    <x v="0"/>
    <x v="1"/>
    <s v="Backlog BUGS"/>
    <m/>
    <m/>
    <m/>
    <m/>
    <m/>
    <s v="doc_ludo"/>
    <s v="Funcional"/>
    <s v="QA-SmokeV0.4"/>
    <s v="T3B20_POS"/>
    <s v="Tienda2.0"/>
    <m/>
    <m/>
    <s v="Ludo"/>
    <d v="2025-08-04T00:21:00"/>
    <m/>
    <m/>
    <m/>
    <x v="1"/>
    <x v="3"/>
    <m/>
    <x v="0"/>
    <x v="2"/>
    <s v="N/A"/>
    <x v="0"/>
  </r>
  <r>
    <s v="Error"/>
    <s v="T20-929"/>
    <n v="83010"/>
    <s v="POS - Cierre de turno: con shortcut F11"/>
    <n v="87100"/>
    <s v="T20-1091"/>
    <s v="4.- QA "/>
    <x v="0"/>
    <x v="0"/>
    <s v="T20 Sprint 19 2025"/>
    <s v="Backlog BUGS"/>
    <m/>
    <m/>
    <m/>
    <m/>
    <s v="doc_ludo"/>
    <s v="Funcional"/>
    <s v="QA-SmokeV0.4"/>
    <s v="T3B20_POS"/>
    <s v="Tienda2.0"/>
    <m/>
    <m/>
    <s v="Ludo"/>
    <d v="2025-08-04T00:18:00"/>
    <s v="v0.7"/>
    <m/>
    <m/>
    <x v="1"/>
    <x v="3"/>
    <m/>
    <x v="0"/>
    <x v="1"/>
    <s v="Sprint 19"/>
    <x v="0"/>
  </r>
  <r>
    <s v="Error"/>
    <s v="T20-927"/>
    <n v="83006"/>
    <s v="POS - Inicio de turno con shortcut CTRL-A"/>
    <n v="87100"/>
    <s v="T20-1091"/>
    <s v="4.- QA "/>
    <x v="0"/>
    <x v="0"/>
    <s v="T20 Sprint 17 2025"/>
    <s v="T20 Sprint 18 2025"/>
    <s v="Backlog BUGS"/>
    <m/>
    <m/>
    <m/>
    <s v="doc_ludo"/>
    <s v="Funcional"/>
    <s v="QA-SmokeV0.4"/>
    <s v="T3B20_POS"/>
    <s v="Tienda2.0"/>
    <m/>
    <m/>
    <s v="Ludo"/>
    <d v="2025-08-03T23:48:00"/>
    <s v="v0.6"/>
    <m/>
    <m/>
    <x v="1"/>
    <x v="3"/>
    <m/>
    <x v="0"/>
    <x v="3"/>
    <s v="Sprint 18"/>
    <x v="0"/>
  </r>
  <r>
    <s v="Error"/>
    <s v="T20-926"/>
    <n v="82992"/>
    <s v="POS - El formato de fecha en el header del POS es DD/MM/YYYY"/>
    <n v="87100"/>
    <s v="T20-1091"/>
    <s v="4.- QA "/>
    <x v="0"/>
    <x v="0"/>
    <s v="Backlog BUGS"/>
    <m/>
    <m/>
    <m/>
    <m/>
    <m/>
    <s v="doc_ludo"/>
    <s v="Look&amp;Feel"/>
    <s v="QA-SmokeV0.4"/>
    <s v="T3B20_POS"/>
    <s v="Tienda2.0"/>
    <m/>
    <m/>
    <s v="Ludo"/>
    <d v="2025-08-03T23:23:00"/>
    <s v="v0.5"/>
    <m/>
    <m/>
    <x v="1"/>
    <x v="3"/>
    <m/>
    <x v="0"/>
    <x v="0"/>
    <s v="Sprint 17"/>
    <x v="1"/>
  </r>
  <r>
    <s v="Error"/>
    <s v="T20-924"/>
    <n v="82987"/>
    <s v="POS -  Inicio+Cierre de turno: correcciones en el flujo"/>
    <n v="87100"/>
    <s v="T20-1091"/>
    <s v="4.- QA "/>
    <x v="0"/>
    <x v="0"/>
    <s v="T20 Sprint 16 2025"/>
    <s v="T20 Sprint 17 2025"/>
    <s v="T20 Sprint 18 2025"/>
    <s v="Backlog BUGS"/>
    <m/>
    <m/>
    <s v="Funcional"/>
    <s v="QA"/>
    <s v="QA-SmokeV0.4"/>
    <s v="T3B20_POS"/>
    <s v="Tienda2.0"/>
    <m/>
    <m/>
    <s v="Ludo"/>
    <d v="2025-08-03T23:16:00"/>
    <s v="v0.7"/>
    <m/>
    <m/>
    <x v="1"/>
    <x v="3"/>
    <m/>
    <x v="0"/>
    <x v="1"/>
    <s v="Sprint 19"/>
    <x v="0"/>
  </r>
  <r>
    <s v="Error"/>
    <s v="T20-920"/>
    <n v="82982"/>
    <s v="POS - Escanear producto"/>
    <n v="87100"/>
    <s v="T20-1091"/>
    <s v="4.- QA "/>
    <x v="0"/>
    <x v="5"/>
    <m/>
    <m/>
    <m/>
    <m/>
    <m/>
    <m/>
    <s v="doc_ludo"/>
    <s v="Funcional"/>
    <s v="QA-SmokeV0.4"/>
    <s v="T3B20_POS"/>
    <s v="Tienda2.0"/>
    <m/>
    <m/>
    <s v="Ludo"/>
    <d v="2025-08-03T22:51:00"/>
    <s v="v0.6"/>
    <m/>
    <m/>
    <x v="1"/>
    <x v="4"/>
    <m/>
    <x v="0"/>
    <x v="3"/>
    <s v="Sprint 18"/>
    <x v="0"/>
  </r>
  <r>
    <s v="Error"/>
    <s v="T20-916"/>
    <n v="82968"/>
    <s v="POS - Login BOT+POS: no se muestra el nombre del usuario conectado"/>
    <n v="87100"/>
    <s v="T20-1091"/>
    <s v="4.- QA "/>
    <x v="0"/>
    <x v="3"/>
    <s v="Backlog BUGS"/>
    <m/>
    <m/>
    <m/>
    <m/>
    <m/>
    <s v="doc_ludo"/>
    <s v="Look&amp;Feel"/>
    <s v="QA-SmokeV0.4"/>
    <s v="T3B20_BOT"/>
    <s v="Tienda2.0"/>
    <m/>
    <m/>
    <s v="Ludo"/>
    <d v="2025-08-03T21:58:00"/>
    <s v="v0.5"/>
    <m/>
    <m/>
    <x v="1"/>
    <x v="5"/>
    <m/>
    <x v="0"/>
    <x v="0"/>
    <s v="Sprint 17"/>
    <x v="1"/>
  </r>
  <r>
    <s v="Error"/>
    <s v="T20-882"/>
    <n v="82878"/>
    <s v="BOT - [B+P] Navegación y menús: correcciones "/>
    <n v="87100"/>
    <s v="T20-1091"/>
    <s v="4.- QA "/>
    <x v="0"/>
    <x v="0"/>
    <s v="T20 Sprint 16 2025"/>
    <s v="T20 Sprint 17 2025"/>
    <s v="T20 Sprint 18 2025"/>
    <s v="Backlog BUGS"/>
    <m/>
    <m/>
    <s v="Funcional"/>
    <s v="QA-SmokeV0.4"/>
    <s v="T3B20_BOT"/>
    <s v="Tested_In_DEV"/>
    <s v="Tienda2.0"/>
    <m/>
    <m/>
    <s v="Ludo"/>
    <d v="2025-08-03T12:24:00"/>
    <s v="v0.5"/>
    <s v="v0.6"/>
    <m/>
    <x v="0"/>
    <x v="6"/>
    <m/>
    <x v="0"/>
    <x v="3"/>
    <s v="Sprint 18"/>
    <x v="0"/>
  </r>
  <r>
    <s v="Error"/>
    <s v="T20-879"/>
    <n v="82873"/>
    <s v="BOT - Inicio de día: correcciones en el flujo"/>
    <n v="87100"/>
    <s v="T20-1091"/>
    <s v="4.- QA "/>
    <x v="0"/>
    <x v="0"/>
    <s v="T20 Sprint 15 2025"/>
    <s v="T20 Sprint 16 2025"/>
    <s v="T20 Sprint 17 2025"/>
    <s v="T20 Sprint 18 2025"/>
    <s v="Backlog BUGS"/>
    <m/>
    <s v="Funcional"/>
    <s v="QA-SmokeV0.4"/>
    <s v="T3B20_BOT"/>
    <s v="Tienda2.0"/>
    <m/>
    <m/>
    <m/>
    <s v="Ludo"/>
    <d v="2025-08-03T12:16:00"/>
    <s v="v0.5"/>
    <m/>
    <m/>
    <x v="0"/>
    <x v="6"/>
    <m/>
    <x v="0"/>
    <x v="0"/>
    <s v="Sprint 17"/>
    <x v="0"/>
  </r>
  <r>
    <s v="Error"/>
    <s v="T20-2094"/>
    <n v="102710"/>
    <s v="Diferencias en tickets de venta - TC/Efectivo y Pago Mix"/>
    <n v="87100"/>
    <s v="T20-1091"/>
    <s v="4.- QA "/>
    <x v="0"/>
    <x v="3"/>
    <s v="T20 Sprint 21 2025"/>
    <m/>
    <m/>
    <m/>
    <m/>
    <m/>
    <s v="Contenido/Datos"/>
    <s v="QA-IntegraciónV0.9"/>
    <m/>
    <m/>
    <m/>
    <m/>
    <m/>
    <s v="Carolina Rodríguez Soriano"/>
    <d v="2025-10-17T17:01:00"/>
    <m/>
    <m/>
    <m/>
    <x v="2"/>
    <x v="2"/>
    <m/>
    <x v="1"/>
    <x v="2"/>
    <s v="N/A"/>
    <x v="3"/>
  </r>
  <r>
    <s v="Error"/>
    <s v="T20-2093"/>
    <n v="102674"/>
    <s v="BOT - Panel Productos no se actualiza"/>
    <n v="87100"/>
    <s v="T20-1091"/>
    <s v="4.- QA "/>
    <x v="1"/>
    <x v="3"/>
    <s v="T20 Sprint 21 2025"/>
    <m/>
    <m/>
    <m/>
    <m/>
    <m/>
    <s v="Funcional"/>
    <s v="QA-IntegraciónV0.9"/>
    <m/>
    <m/>
    <m/>
    <m/>
    <m/>
    <s v="Daniela Soto"/>
    <d v="2025-10-17T15:05:00"/>
    <m/>
    <m/>
    <m/>
    <x v="0"/>
    <x v="2"/>
    <m/>
    <x v="1"/>
    <x v="2"/>
    <s v="N/A"/>
    <x v="0"/>
  </r>
  <r>
    <s v="Error"/>
    <s v="T20-2089"/>
    <n v="102586"/>
    <s v="POS - Pantalla principal - Info en inglés"/>
    <n v="87100"/>
    <s v="T20-1091"/>
    <s v="4.- QA "/>
    <x v="0"/>
    <x v="3"/>
    <m/>
    <m/>
    <m/>
    <m/>
    <m/>
    <m/>
    <s v="Look&amp;Feel"/>
    <s v="QA-IntegraciónV0.9"/>
    <m/>
    <m/>
    <m/>
    <m/>
    <m/>
    <s v="Daniela Soto"/>
    <d v="2025-10-17T09:34:00"/>
    <m/>
    <m/>
    <m/>
    <x v="1"/>
    <x v="2"/>
    <m/>
    <x v="1"/>
    <x v="2"/>
    <s v="N/A"/>
    <x v="1"/>
  </r>
  <r>
    <s v="Error"/>
    <s v="T20-2088"/>
    <n v="102584"/>
    <s v="POS - Checar precio - Info en Inglés"/>
    <n v="87100"/>
    <s v="T20-1091"/>
    <s v="4.- QA "/>
    <x v="0"/>
    <x v="3"/>
    <m/>
    <m/>
    <m/>
    <m/>
    <m/>
    <m/>
    <s v="Look&amp;Feel"/>
    <s v="QA-IntegraciónV0.9"/>
    <m/>
    <m/>
    <m/>
    <m/>
    <m/>
    <s v="Daniela Soto"/>
    <d v="2025-10-17T09:11:00"/>
    <m/>
    <m/>
    <m/>
    <x v="1"/>
    <x v="0"/>
    <m/>
    <x v="1"/>
    <x v="2"/>
    <s v="N/A"/>
    <x v="1"/>
  </r>
  <r>
    <s v="Error"/>
    <s v="T20-2066"/>
    <n v="102295"/>
    <s v="BOT - Modal pie de camión en inglés"/>
    <n v="87100"/>
    <s v="T20-1091"/>
    <s v="4.- QA "/>
    <x v="0"/>
    <x v="3"/>
    <m/>
    <m/>
    <m/>
    <m/>
    <m/>
    <m/>
    <s v="Look&amp;Feel"/>
    <s v="QA-IntegraciónV0.9"/>
    <m/>
    <m/>
    <m/>
    <m/>
    <m/>
    <s v="Daniela Soto"/>
    <d v="2025-10-16T13:22:00"/>
    <m/>
    <m/>
    <m/>
    <x v="0"/>
    <x v="2"/>
    <m/>
    <x v="1"/>
    <x v="2"/>
    <s v="N/A"/>
    <x v="1"/>
  </r>
  <r>
    <s v="Error"/>
    <s v="T20-1994"/>
    <n v="99976"/>
    <s v="BOT - Ctrl+N - No cierra sesión"/>
    <n v="87100"/>
    <s v="T20-1091"/>
    <s v="4.- QA "/>
    <x v="0"/>
    <x v="3"/>
    <s v="Backlog BUGS"/>
    <m/>
    <m/>
    <m/>
    <m/>
    <m/>
    <s v="Funcional"/>
    <s v="QA-IntegraciónV0.8"/>
    <m/>
    <m/>
    <m/>
    <m/>
    <m/>
    <s v="Daniela Soto"/>
    <d v="2025-10-07T16:03:00"/>
    <m/>
    <m/>
    <m/>
    <x v="0"/>
    <x v="0"/>
    <m/>
    <x v="2"/>
    <x v="2"/>
    <s v="N/A"/>
    <x v="0"/>
  </r>
  <r>
    <s v="Error"/>
    <s v="T20-1993"/>
    <n v="99972"/>
    <s v="POS_Evento POS_Pago con Tarjeta de débito llega a Iothub sin tipo de pago"/>
    <n v="87100"/>
    <s v="T20-1091"/>
    <s v="4.- QA "/>
    <x v="1"/>
    <x v="3"/>
    <s v="T20 Sprint 21 2025"/>
    <m/>
    <m/>
    <m/>
    <m/>
    <m/>
    <s v="Eventos_iOT"/>
    <s v="Look&amp;Feel"/>
    <s v="QA-IntegraciónV0.8"/>
    <m/>
    <m/>
    <m/>
    <m/>
    <s v="Yubisleinys Mora Vega"/>
    <d v="2025-10-07T15:58:00"/>
    <s v="v0.8"/>
    <m/>
    <m/>
    <x v="1"/>
    <x v="7"/>
    <m/>
    <x v="2"/>
    <x v="4"/>
    <s v="Sprint 20"/>
    <x v="1"/>
  </r>
  <r>
    <s v="Error"/>
    <s v="T20-1992"/>
    <n v="99963"/>
    <s v="POS_Evento POS_Pago con Efectivo llega a Iothub sin tipo de pago "/>
    <n v="87100"/>
    <s v="T20-1091"/>
    <s v="4.- QA "/>
    <x v="1"/>
    <x v="3"/>
    <s v="T20 Sprint 21 2025"/>
    <m/>
    <m/>
    <m/>
    <m/>
    <m/>
    <s v="Eventos_iOT"/>
    <s v="Look&amp;Feel"/>
    <s v="QA-IntegraciónV0.8"/>
    <m/>
    <m/>
    <m/>
    <m/>
    <s v="Yubisleinys Mora Vega"/>
    <d v="2025-10-07T15:42:00"/>
    <s v="v0.8"/>
    <m/>
    <m/>
    <x v="1"/>
    <x v="2"/>
    <m/>
    <x v="2"/>
    <x v="4"/>
    <s v="Sprint 20"/>
    <x v="1"/>
  </r>
  <r>
    <s v="Error"/>
    <s v="T20-1981"/>
    <n v="99800"/>
    <s v="BOT - Error en modal &quot;Entrada a Pie de camión&quot;"/>
    <n v="87100"/>
    <s v="T20-1091"/>
    <s v="4.- QA "/>
    <x v="2"/>
    <x v="3"/>
    <s v="T20 Sprint 21 2025"/>
    <m/>
    <m/>
    <m/>
    <m/>
    <m/>
    <s v="Funcional"/>
    <s v="QA-IntegraciónV0.8"/>
    <m/>
    <m/>
    <m/>
    <m/>
    <m/>
    <s v="Daniela Soto"/>
    <d v="2025-10-07T08:57:00"/>
    <m/>
    <m/>
    <m/>
    <x v="0"/>
    <x v="5"/>
    <m/>
    <x v="2"/>
    <x v="2"/>
    <s v="N/A"/>
    <x v="0"/>
  </r>
  <r>
    <s v="Error"/>
    <s v="T20-1976"/>
    <n v="99744"/>
    <s v="BOT - Productos - Columnas sin filtros"/>
    <n v="87100"/>
    <s v="T20-1091"/>
    <s v="4.- QA "/>
    <x v="1"/>
    <x v="5"/>
    <s v="T20 Sprint 21 2025"/>
    <m/>
    <m/>
    <m/>
    <m/>
    <m/>
    <s v="Funcional"/>
    <s v="QA-IntegraciónV0.8"/>
    <m/>
    <m/>
    <m/>
    <m/>
    <m/>
    <s v="Daniela Soto"/>
    <d v="2025-10-06T16:46:00"/>
    <m/>
    <m/>
    <m/>
    <x v="0"/>
    <x v="4"/>
    <s v="Emiliano Fraile"/>
    <x v="2"/>
    <x v="2"/>
    <s v="N/A"/>
    <x v="0"/>
  </r>
  <r>
    <s v="Error"/>
    <s v="T20-1973"/>
    <n v="99727"/>
    <s v="BOT - Dashboard Efectivo - Error en Panel Movimientos"/>
    <n v="87100"/>
    <s v="T20-1091"/>
    <s v="4.- QA "/>
    <x v="0"/>
    <x v="3"/>
    <s v="Backlog BUGS"/>
    <m/>
    <m/>
    <m/>
    <m/>
    <m/>
    <s v="Look&amp;Feel"/>
    <s v="QA-IntegraciónV0.8"/>
    <m/>
    <m/>
    <m/>
    <m/>
    <m/>
    <s v="Daniela Soto"/>
    <d v="2025-10-06T16:03:00"/>
    <m/>
    <m/>
    <m/>
    <x v="0"/>
    <x v="8"/>
    <m/>
    <x v="2"/>
    <x v="2"/>
    <s v="N/A"/>
    <x v="1"/>
  </r>
  <r>
    <s v="Error"/>
    <s v="T20-1970"/>
    <n v="99706"/>
    <s v="BOT_No se muestra el modal al seleccionar “Bloqueo de sesión”"/>
    <n v="87100"/>
    <s v="T20-1091"/>
    <s v="4.- QA "/>
    <x v="1"/>
    <x v="5"/>
    <s v="T20 Sprint 20 2025"/>
    <s v="T20 Sprint 21 2025"/>
    <m/>
    <m/>
    <m/>
    <m/>
    <s v="Funcional"/>
    <s v="QA-IntegraciónV0.8"/>
    <m/>
    <m/>
    <m/>
    <m/>
    <m/>
    <s v="Yubisleinys Mora Vega"/>
    <d v="2025-10-06T14:39:00"/>
    <m/>
    <m/>
    <m/>
    <x v="0"/>
    <x v="0"/>
    <m/>
    <x v="2"/>
    <x v="2"/>
    <s v="N/A"/>
    <x v="0"/>
  </r>
  <r>
    <s v="Error"/>
    <s v="T20-1967"/>
    <n v="99292"/>
    <s v="POS - Errores modal Tiempo Aire "/>
    <n v="87100"/>
    <s v="T20-1091"/>
    <s v="4.- QA "/>
    <x v="1"/>
    <x v="3"/>
    <s v="T20 Sprint 21 2025"/>
    <m/>
    <m/>
    <m/>
    <m/>
    <m/>
    <s v="Funcional"/>
    <s v="QA-IntegraciónV0.8"/>
    <m/>
    <m/>
    <m/>
    <m/>
    <m/>
    <s v="Daniela Soto"/>
    <d v="2025-10-03T15:20:00"/>
    <m/>
    <m/>
    <m/>
    <x v="1"/>
    <x v="2"/>
    <m/>
    <x v="2"/>
    <x v="2"/>
    <s v="N/A"/>
    <x v="0"/>
  </r>
  <r>
    <s v="Error"/>
    <s v="T20-1966"/>
    <n v="99290"/>
    <s v="POS - Shortcut F10 no funciona"/>
    <n v="87100"/>
    <s v="T20-1091"/>
    <s v="4.- QA "/>
    <x v="0"/>
    <x v="3"/>
    <s v="Backlog BUGS"/>
    <m/>
    <m/>
    <m/>
    <m/>
    <m/>
    <s v="Funcional"/>
    <s v="QA-IntegraciónV0.8"/>
    <m/>
    <m/>
    <m/>
    <m/>
    <m/>
    <s v="Daniela Soto"/>
    <d v="2025-10-03T15:07:00"/>
    <m/>
    <m/>
    <m/>
    <x v="1"/>
    <x v="7"/>
    <m/>
    <x v="2"/>
    <x v="2"/>
    <s v="N/A"/>
    <x v="0"/>
  </r>
  <r>
    <s v="Error"/>
    <s v="T20-1963"/>
    <n v="99283"/>
    <s v="POS - Servicios - Error en modal Pago de Servicios"/>
    <n v="87100"/>
    <s v="T20-1091"/>
    <s v="4.- QA "/>
    <x v="0"/>
    <x v="3"/>
    <s v="Backlog BUGS"/>
    <m/>
    <m/>
    <m/>
    <m/>
    <m/>
    <s v="Look&amp;Feel"/>
    <s v="QA-IntegraciónV0.8"/>
    <m/>
    <m/>
    <m/>
    <m/>
    <m/>
    <s v="Daniela Soto"/>
    <d v="2025-10-03T14:33:00"/>
    <m/>
    <m/>
    <m/>
    <x v="1"/>
    <x v="7"/>
    <m/>
    <x v="2"/>
    <x v="2"/>
    <s v="N/A"/>
    <x v="1"/>
  </r>
  <r>
    <s v="Error"/>
    <s v="T20-1950"/>
    <n v="99159"/>
    <s v="BOT - Registrar merma - Errores en columnas"/>
    <s v=" "/>
    <s v=" "/>
    <s v=" "/>
    <x v="0"/>
    <x v="3"/>
    <s v="Backlog BUGS"/>
    <m/>
    <m/>
    <m/>
    <m/>
    <m/>
    <s v="Look&amp;Feel"/>
    <s v="QA-IntegraciónV0.8"/>
    <m/>
    <m/>
    <m/>
    <m/>
    <m/>
    <s v="Daniela Soto"/>
    <d v="2025-10-03T08:57:00"/>
    <m/>
    <m/>
    <m/>
    <x v="0"/>
    <x v="7"/>
    <m/>
    <x v="2"/>
    <x v="2"/>
    <s v="N/A"/>
    <x v="1"/>
  </r>
  <r>
    <s v="Error"/>
    <s v="T20-1947"/>
    <n v="99086"/>
    <s v="POS - BOT - Al seleccionar botones de la izquierda, se dehabilitan las funcionalidades seleccionadas y no se pueden volver a seleccionar."/>
    <s v=" "/>
    <s v=" "/>
    <s v=" "/>
    <x v="1"/>
    <x v="6"/>
    <s v="T20 Sprint 21 2025"/>
    <m/>
    <m/>
    <m/>
    <m/>
    <m/>
    <s v="Funcional"/>
    <s v="QA-IntegraciónV0.8"/>
    <m/>
    <m/>
    <m/>
    <m/>
    <m/>
    <s v="Daniela Soto"/>
    <d v="2025-10-02T16:40:00"/>
    <m/>
    <m/>
    <m/>
    <x v="1"/>
    <x v="7"/>
    <m/>
    <x v="2"/>
    <x v="2"/>
    <s v="N/A"/>
    <x v="0"/>
  </r>
  <r>
    <s v="Error"/>
    <s v="T20-1946"/>
    <n v="99070"/>
    <s v="POS - Errores en módulo &quot;Devolución&quot;"/>
    <s v=" "/>
    <s v=" "/>
    <s v=" "/>
    <x v="1"/>
    <x v="3"/>
    <s v="T20 Sprint 21 2025"/>
    <m/>
    <m/>
    <m/>
    <m/>
    <m/>
    <s v="Funcional"/>
    <s v="QA-IntegraciónV0.8"/>
    <m/>
    <m/>
    <m/>
    <m/>
    <m/>
    <s v="Daniela Soto"/>
    <d v="2025-10-02T16:08:00"/>
    <m/>
    <m/>
    <m/>
    <x v="1"/>
    <x v="0"/>
    <m/>
    <x v="2"/>
    <x v="2"/>
    <s v="N/A"/>
    <x v="0"/>
  </r>
  <r>
    <s v="Error"/>
    <s v="T20-1944"/>
    <n v="99024"/>
    <s v="POS - Menú BBB con opciones erradas"/>
    <s v=" "/>
    <s v=" "/>
    <s v=" "/>
    <x v="1"/>
    <x v="3"/>
    <s v="T20 Sprint 21 2025"/>
    <m/>
    <m/>
    <m/>
    <m/>
    <m/>
    <s v="Funcional"/>
    <s v="QA-IntegraciónV0.8"/>
    <m/>
    <m/>
    <m/>
    <m/>
    <m/>
    <s v="Daniela Soto"/>
    <d v="2025-10-02T14:33:00"/>
    <m/>
    <m/>
    <m/>
    <x v="1"/>
    <x v="7"/>
    <m/>
    <x v="2"/>
    <x v="2"/>
    <s v="N/A"/>
    <x v="0"/>
  </r>
  <r>
    <s v="Error"/>
    <s v="T20-1943"/>
    <n v="99022"/>
    <s v="POS - No figura opción &quot;Cerrar Turno y Cerrar Sesión&quot;"/>
    <s v=" "/>
    <s v=" "/>
    <s v=" "/>
    <x v="2"/>
    <x v="1"/>
    <s v="T20 Sprint 21 2025"/>
    <m/>
    <m/>
    <m/>
    <m/>
    <m/>
    <s v="Funcional"/>
    <s v="QA-IntegraciónV0.8"/>
    <m/>
    <m/>
    <m/>
    <m/>
    <m/>
    <s v="Daniela Soto"/>
    <d v="2025-10-02T14:17:00"/>
    <m/>
    <m/>
    <m/>
    <x v="1"/>
    <x v="0"/>
    <m/>
    <x v="2"/>
    <x v="2"/>
    <s v="N/A"/>
    <x v="0"/>
  </r>
  <r>
    <s v="Error"/>
    <s v="T20-1930"/>
    <n v="98875"/>
    <s v="POS - Login con usuario inválido no permite corregir."/>
    <s v=" "/>
    <s v=" "/>
    <s v=" "/>
    <x v="1"/>
    <x v="5"/>
    <s v="T20 Sprint 20 2025"/>
    <s v="T20 Sprint 21 2025"/>
    <m/>
    <m/>
    <m/>
    <m/>
    <s v="Funcional"/>
    <s v="QA-IntegraciónV0.8"/>
    <m/>
    <m/>
    <m/>
    <m/>
    <m/>
    <s v="Daniela Soto"/>
    <d v="2025-10-02T09:21:00"/>
    <m/>
    <m/>
    <m/>
    <x v="1"/>
    <x v="9"/>
    <m/>
    <x v="2"/>
    <x v="2"/>
    <s v="N/A"/>
    <x v="0"/>
  </r>
  <r>
    <s v="Error"/>
    <s v="T20-1927"/>
    <n v="98650"/>
    <s v="BOT - Modal inventario no se visualiza"/>
    <s v=" "/>
    <s v=" "/>
    <s v=" "/>
    <x v="2"/>
    <x v="5"/>
    <s v="T20 Sprint 20 2025"/>
    <s v="T20 Sprint 21 2025"/>
    <m/>
    <m/>
    <m/>
    <m/>
    <s v="Funcional"/>
    <s v="QA-IntegraciónV0.8"/>
    <m/>
    <m/>
    <m/>
    <m/>
    <m/>
    <s v="Yubisleinys Mora Vega"/>
    <d v="2025-10-01T15:04:00"/>
    <m/>
    <m/>
    <m/>
    <x v="0"/>
    <x v="9"/>
    <m/>
    <x v="2"/>
    <x v="2"/>
    <s v="N/A"/>
    <x v="0"/>
  </r>
  <r>
    <s v="Error"/>
    <s v="T20-1924"/>
    <n v="98563"/>
    <s v="BOT_Evento BOT_Logout llega a Iothub con datos incorrectos"/>
    <s v=" "/>
    <s v=" "/>
    <s v=" "/>
    <x v="1"/>
    <x v="7"/>
    <s v="T20 Sprint 21 2025"/>
    <m/>
    <m/>
    <m/>
    <m/>
    <m/>
    <s v="Eventos_iOT"/>
    <s v="QA-IntegraciónV0.8"/>
    <m/>
    <m/>
    <m/>
    <m/>
    <m/>
    <s v="Yubisleinys Mora Vega"/>
    <d v="2025-10-01T11:04:00"/>
    <s v="v0.8"/>
    <m/>
    <m/>
    <x v="0"/>
    <x v="0"/>
    <m/>
    <x v="2"/>
    <x v="4"/>
    <s v="Sprint 20"/>
    <x v="4"/>
  </r>
  <r>
    <s v="Error"/>
    <s v="T20-1915"/>
    <n v="98503"/>
    <s v="BOT - Aceptar mensaje entrante falla, se debe de forzar el cierre."/>
    <s v=" "/>
    <s v=" "/>
    <s v=" "/>
    <x v="1"/>
    <x v="2"/>
    <s v="T20 Sprint 21 2025"/>
    <m/>
    <m/>
    <m/>
    <m/>
    <m/>
    <s v="Funcional"/>
    <s v="QA-IntegraciónV0.8"/>
    <m/>
    <m/>
    <m/>
    <m/>
    <m/>
    <s v="Daniela Soto"/>
    <d v="2025-10-01T08:49:00"/>
    <m/>
    <m/>
    <m/>
    <x v="0"/>
    <x v="0"/>
    <m/>
    <x v="2"/>
    <x v="2"/>
    <s v="N/A"/>
    <x v="0"/>
  </r>
  <r>
    <s v="Error"/>
    <s v="T20-1800"/>
    <n v="97844"/>
    <s v="BOT - Toast de &quot;trasnsferencia de productos&quot; reaparece al seleccionar otros productos"/>
    <s v=" "/>
    <s v=" "/>
    <s v=" "/>
    <x v="1"/>
    <x v="7"/>
    <s v="T20 Sprint 21 2025"/>
    <m/>
    <m/>
    <m/>
    <m/>
    <m/>
    <s v="Look&amp;Feel"/>
    <s v="QA-IntegraciónV0.7"/>
    <m/>
    <m/>
    <m/>
    <m/>
    <m/>
    <s v="Daniela Soto"/>
    <d v="2025-09-29T09:08:00"/>
    <m/>
    <m/>
    <m/>
    <x v="0"/>
    <x v="0"/>
    <m/>
    <x v="3"/>
    <x v="2"/>
    <s v="N/A"/>
    <x v="1"/>
  </r>
  <r>
    <s v="Error"/>
    <s v="T20-1797"/>
    <n v="97661"/>
    <s v="POS -  opción &quot;Realizar alivio&quot;  abre modal de  &quot;Cerrar Turno&quot;"/>
    <s v=" "/>
    <s v=" "/>
    <s v=" "/>
    <x v="1"/>
    <x v="3"/>
    <s v="T20 Sprint 19 2025"/>
    <s v="T20 Sprint 21 2025"/>
    <m/>
    <m/>
    <m/>
    <m/>
    <s v="Funcional"/>
    <s v="QA-IntegraciónV0.7"/>
    <m/>
    <m/>
    <m/>
    <m/>
    <m/>
    <s v="Daniela Soto"/>
    <d v="2025-09-26T15:00:00"/>
    <m/>
    <m/>
    <m/>
    <x v="1"/>
    <x v="5"/>
    <m/>
    <x v="3"/>
    <x v="2"/>
    <s v="N/A"/>
    <x v="0"/>
  </r>
  <r>
    <s v="Error"/>
    <s v="T20-1794"/>
    <n v="97648"/>
    <s v="POS - Confirmar Realizar alivio falla"/>
    <n v="79941"/>
    <s v="T20-623"/>
    <s v="3.-Desarrollo POS/BOT /CDM"/>
    <x v="1"/>
    <x v="3"/>
    <s v="T20 Sprint 19 2025"/>
    <s v="T20 Sprint 21 2025"/>
    <m/>
    <m/>
    <m/>
    <m/>
    <s v="Funcional"/>
    <s v="QA-IntegraciónV0.7"/>
    <m/>
    <m/>
    <m/>
    <m/>
    <m/>
    <s v="Daniela Soto"/>
    <d v="2025-09-26T14:34:00"/>
    <m/>
    <m/>
    <m/>
    <x v="1"/>
    <x v="5"/>
    <m/>
    <x v="3"/>
    <x v="2"/>
    <s v="N/A"/>
    <x v="0"/>
  </r>
  <r>
    <s v="Error"/>
    <s v="T20-1791"/>
    <n v="97611"/>
    <s v="POS - No coincide el boton &quot;Aceptar&quot; versión de la aplicación VS Figma"/>
    <n v="87100"/>
    <s v="T20-1091"/>
    <s v="4.- QA "/>
    <x v="0"/>
    <x v="5"/>
    <s v="Backlog BUGS"/>
    <m/>
    <m/>
    <m/>
    <m/>
    <m/>
    <s v="Contenido/Datos"/>
    <s v="QA-EquipoMV0.7"/>
    <m/>
    <m/>
    <m/>
    <m/>
    <m/>
    <s v="Josue Jesus Espindola Velasco"/>
    <d v="2025-09-26T13:11:00"/>
    <s v="v0.7"/>
    <m/>
    <m/>
    <x v="1"/>
    <x v="5"/>
    <m/>
    <x v="3"/>
    <x v="1"/>
    <s v="Sprint 19"/>
    <x v="3"/>
  </r>
  <r>
    <s v="Error"/>
    <s v="T20-1755"/>
    <n v="97011"/>
    <s v="POS_Solicitud fondeo adicional - No se visualiza evento"/>
    <n v="87100"/>
    <s v="T20-1091"/>
    <s v="4.- QA "/>
    <x v="1"/>
    <x v="3"/>
    <s v="T20 Sprint 19 2025"/>
    <s v="T20 Sprint 21 2025"/>
    <m/>
    <m/>
    <m/>
    <m/>
    <s v="Eventos_iOT"/>
    <s v="QA-IntegraciónV0.7"/>
    <m/>
    <m/>
    <m/>
    <m/>
    <m/>
    <s v="Yubisleinys Mora Vega"/>
    <d v="2025-09-24T18:29:00"/>
    <s v="v0.7"/>
    <m/>
    <m/>
    <x v="1"/>
    <x v="5"/>
    <m/>
    <x v="3"/>
    <x v="1"/>
    <s v="Sprint 19"/>
    <x v="4"/>
  </r>
  <r>
    <s v="Error"/>
    <s v="T20-1754"/>
    <n v="96997"/>
    <s v="POS_Realizar alivio - No se visualiza evento"/>
    <n v="87100"/>
    <s v="T20-1091"/>
    <s v="4.- QA "/>
    <x v="0"/>
    <x v="3"/>
    <s v="T20 Sprint 19 2025"/>
    <s v="Backlog BUGS"/>
    <m/>
    <m/>
    <m/>
    <m/>
    <s v="Eventos_iOT"/>
    <s v="QA-IntegraciónV0.7"/>
    <m/>
    <m/>
    <m/>
    <m/>
    <m/>
    <s v="Yubisleinys Mora Vega"/>
    <d v="2025-09-24T17:41:00"/>
    <s v="v0.7"/>
    <m/>
    <m/>
    <x v="1"/>
    <x v="5"/>
    <m/>
    <x v="3"/>
    <x v="1"/>
    <s v="Sprint 19"/>
    <x v="4"/>
  </r>
  <r>
    <s v="Error"/>
    <s v="T20-1753"/>
    <n v="96996"/>
    <s v="BOT - No apareció el botón de Inicio de Día después de hacer log in "/>
    <n v="87100"/>
    <s v="T20-1091"/>
    <s v="4.- QA "/>
    <x v="1"/>
    <x v="0"/>
    <s v="T20 Sprint 19 2025"/>
    <s v="Backlog BUGS"/>
    <m/>
    <m/>
    <m/>
    <m/>
    <s v="Funcional"/>
    <s v="QA-EquipoMV0.7"/>
    <s v="T3B20_BOT"/>
    <s v="Tienda2.0"/>
    <m/>
    <m/>
    <m/>
    <s v="Daniela Rodríguez"/>
    <d v="2025-09-24T17:39:00"/>
    <s v="v0.8"/>
    <m/>
    <m/>
    <x v="0"/>
    <x v="5"/>
    <m/>
    <x v="3"/>
    <x v="4"/>
    <s v="Sprint 20"/>
    <x v="0"/>
  </r>
  <r>
    <s v="Error"/>
    <s v="T20-1752"/>
    <n v="96993"/>
    <s v="BOT – Confirmar fondeo adicional - No se visualiza evento "/>
    <n v="87100"/>
    <s v="T20-1091"/>
    <s v="4.- QA "/>
    <x v="0"/>
    <x v="3"/>
    <s v="T20 Sprint 19 2025"/>
    <s v="Backlog BUGS"/>
    <m/>
    <m/>
    <m/>
    <m/>
    <s v="Eventos_iOT"/>
    <s v="QA-IntegraciónV0.7"/>
    <m/>
    <m/>
    <m/>
    <m/>
    <m/>
    <s v="Yubisleinys Mora Vega"/>
    <d v="2025-09-24T17:29:00"/>
    <s v="v0.7"/>
    <m/>
    <m/>
    <x v="0"/>
    <x v="5"/>
    <m/>
    <x v="3"/>
    <x v="1"/>
    <s v="Sprint 19"/>
    <x v="4"/>
  </r>
  <r>
    <s v="Error"/>
    <s v="T20-1751"/>
    <n v="96991"/>
    <s v="BOT - Imagen de Inicio de sesión no concuerda para BOT"/>
    <n v="87100"/>
    <s v="T20-1091"/>
    <s v="4.- QA "/>
    <x v="3"/>
    <x v="3"/>
    <s v="Backlog BUGS"/>
    <m/>
    <m/>
    <m/>
    <m/>
    <m/>
    <s v="Look&amp;Feel"/>
    <s v="QA-EquipoMV0.7"/>
    <m/>
    <m/>
    <m/>
    <m/>
    <m/>
    <s v="Daniela Rodríguez"/>
    <d v="2025-09-24T17:28:00"/>
    <m/>
    <m/>
    <m/>
    <x v="0"/>
    <x v="5"/>
    <m/>
    <x v="3"/>
    <x v="2"/>
    <s v="N/A"/>
    <x v="1"/>
  </r>
  <r>
    <s v="Error"/>
    <s v="T20-1750"/>
    <n v="96982"/>
    <s v="BOT - Inputs de log in no muestran el label de Usuario y contraseña"/>
    <n v="87100"/>
    <s v="T20-1091"/>
    <s v="4.- QA "/>
    <x v="0"/>
    <x v="3"/>
    <s v="T20 Sprint 19 2025"/>
    <s v="Backlog BUGS"/>
    <m/>
    <m/>
    <m/>
    <m/>
    <s v="Bug_Devuelto_v0.8"/>
    <s v="Look&amp;Feel"/>
    <s v="QA-EquipoMV0.7"/>
    <s v="T3B20_BOT"/>
    <s v="Tienda2.0"/>
    <m/>
    <m/>
    <s v="Daniela Rodríguez"/>
    <d v="2025-09-24T17:07:00"/>
    <s v="v0.8"/>
    <m/>
    <m/>
    <x v="0"/>
    <x v="6"/>
    <m/>
    <x v="3"/>
    <x v="4"/>
    <s v="Sprint 20"/>
    <x v="1"/>
  </r>
  <r>
    <s v="Error"/>
    <s v="T20-1749"/>
    <n v="96978"/>
    <s v="POS - El campo buscador y botón cancelar no coincide con el FIGMA"/>
    <n v="87100"/>
    <s v="T20-1091"/>
    <s v="4.- QA "/>
    <x v="0"/>
    <x v="3"/>
    <s v="Backlog BUGS"/>
    <m/>
    <m/>
    <m/>
    <m/>
    <m/>
    <s v="Look&amp;Feel"/>
    <s v="QA-EquipoMV0.7"/>
    <m/>
    <m/>
    <m/>
    <m/>
    <m/>
    <s v="Josue Jesus Espindola Velasco"/>
    <d v="2025-09-24T16:57:00"/>
    <m/>
    <m/>
    <m/>
    <x v="1"/>
    <x v="6"/>
    <m/>
    <x v="3"/>
    <x v="2"/>
    <s v="N/A"/>
    <x v="1"/>
  </r>
  <r>
    <s v="Error"/>
    <s v="T20-1722"/>
    <n v="96732"/>
    <s v="POS - Texto de Botón incorrecto "/>
    <n v="87100"/>
    <s v="T20-1091"/>
    <s v="4.- QA "/>
    <x v="3"/>
    <x v="5"/>
    <s v="Backlog BUGS"/>
    <m/>
    <m/>
    <m/>
    <m/>
    <m/>
    <s v="Contenido/Datos"/>
    <s v="QA-EquipoMV0.7"/>
    <m/>
    <m/>
    <m/>
    <m/>
    <m/>
    <s v="Rocio Gallegos"/>
    <d v="2025-09-23T17:30:00"/>
    <m/>
    <m/>
    <m/>
    <x v="1"/>
    <x v="4"/>
    <m/>
    <x v="3"/>
    <x v="2"/>
    <s v="N/A"/>
    <x v="3"/>
  </r>
  <r>
    <s v="Error"/>
    <s v="T20-1721"/>
    <n v="96711"/>
    <s v="POS - Las credenciales aparecen pre-cargadas"/>
    <n v="87100"/>
    <s v="T20-1091"/>
    <s v="4.- QA "/>
    <x v="3"/>
    <x v="3"/>
    <s v="Backlog BUGS"/>
    <m/>
    <m/>
    <m/>
    <m/>
    <m/>
    <s v="Configuración"/>
    <s v="QA-EquipoMV0.7"/>
    <m/>
    <m/>
    <m/>
    <m/>
    <m/>
    <s v="Rocio Gallegos"/>
    <d v="2025-09-23T16:57:00"/>
    <m/>
    <m/>
    <m/>
    <x v="1"/>
    <x v="6"/>
    <m/>
    <x v="3"/>
    <x v="2"/>
    <s v="N/A"/>
    <x v="5"/>
  </r>
  <r>
    <s v="Error"/>
    <s v="T20-1685"/>
    <n v="96292"/>
    <s v="POS - Nombre incorrecto de modal"/>
    <n v="87100"/>
    <s v="T20-1091"/>
    <s v="4.- QA "/>
    <x v="3"/>
    <x v="3"/>
    <s v="Backlog BUGS"/>
    <m/>
    <m/>
    <m/>
    <m/>
    <m/>
    <s v="Look&amp;Feel"/>
    <s v="QA-EquipoMV0.7"/>
    <m/>
    <m/>
    <m/>
    <m/>
    <m/>
    <s v="Roberto Gomez Hernandez"/>
    <d v="2025-09-22T13:02:00"/>
    <m/>
    <m/>
    <m/>
    <x v="1"/>
    <x v="6"/>
    <m/>
    <x v="3"/>
    <x v="2"/>
    <s v="N/A"/>
    <x v="1"/>
  </r>
  <r>
    <s v="Error"/>
    <s v="T20-1684"/>
    <n v="96268"/>
    <s v="BOT_Registro de gasto - No se visualiza evento en Iothub"/>
    <n v="87100"/>
    <s v="T20-1091"/>
    <s v="4.- QA "/>
    <x v="1"/>
    <x v="7"/>
    <s v="T20 Sprint 19 2025"/>
    <s v="T20 Sprint 21 2025"/>
    <m/>
    <m/>
    <m/>
    <m/>
    <s v="Eventos_iOT"/>
    <s v="QA-IntegraciónV0.7"/>
    <s v="T3B20_BOT"/>
    <s v="Tienda2.0"/>
    <m/>
    <m/>
    <m/>
    <s v="Yubisleinys Mora Vega"/>
    <d v="2025-09-22T12:19:00"/>
    <s v="v0.10"/>
    <m/>
    <m/>
    <x v="0"/>
    <x v="6"/>
    <m/>
    <x v="3"/>
    <x v="5"/>
    <s v="N/A"/>
    <x v="4"/>
  </r>
  <r>
    <s v="Error"/>
    <s v="T20-1675"/>
    <n v="95951"/>
    <s v="BOT - Toast de Transferencia de productos reaparece al seleccionar otros productos"/>
    <n v="87100"/>
    <s v="T20-1091"/>
    <s v="4.- QA "/>
    <x v="0"/>
    <x v="3"/>
    <s v="Backlog BUGS"/>
    <m/>
    <m/>
    <m/>
    <m/>
    <m/>
    <s v="Funcional"/>
    <s v="QA-IntegraciónV0.7"/>
    <m/>
    <m/>
    <m/>
    <m/>
    <m/>
    <s v="Daniela Soto"/>
    <d v="2025-09-19T15:30:00"/>
    <m/>
    <m/>
    <m/>
    <x v="0"/>
    <x v="6"/>
    <m/>
    <x v="3"/>
    <x v="2"/>
    <s v="N/A"/>
    <x v="0"/>
  </r>
  <r>
    <s v="Error"/>
    <s v="T20-1599"/>
    <n v="95629"/>
    <s v="BOT - Tipo de gasto no se despliega correctamente ni coincide"/>
    <n v="87100"/>
    <s v="T20-1091"/>
    <s v="4.- QA "/>
    <x v="1"/>
    <x v="7"/>
    <s v="T20 Sprint 21 2025"/>
    <m/>
    <m/>
    <m/>
    <m/>
    <m/>
    <s v="Funcional"/>
    <s v="QA-IntegraciónV0.7"/>
    <m/>
    <m/>
    <m/>
    <m/>
    <m/>
    <s v="Daniela Soto"/>
    <d v="2025-09-18T15:37:00"/>
    <m/>
    <m/>
    <m/>
    <x v="0"/>
    <x v="6"/>
    <m/>
    <x v="3"/>
    <x v="2"/>
    <s v="N/A"/>
    <x v="0"/>
  </r>
  <r>
    <s v="Error"/>
    <s v="T20-1598"/>
    <n v="95626"/>
    <s v="BOT - Registrar gastos no registra el valor ingresado"/>
    <n v="87100"/>
    <s v="T20-1091"/>
    <s v="4.- QA "/>
    <x v="1"/>
    <x v="7"/>
    <s v="T20 Sprint 19 2025"/>
    <s v="T20 Sprint 21 2025"/>
    <m/>
    <m/>
    <m/>
    <m/>
    <s v="Funcional"/>
    <s v="QA-IntegraciónV0.7"/>
    <s v="T3B20_BOT"/>
    <s v="Tienda2.0"/>
    <m/>
    <m/>
    <m/>
    <s v="Daniela Soto"/>
    <d v="2025-09-18T15:28:00"/>
    <s v="v0.10"/>
    <m/>
    <m/>
    <x v="0"/>
    <x v="6"/>
    <m/>
    <x v="3"/>
    <x v="5"/>
    <s v="N/A"/>
    <x v="0"/>
  </r>
  <r>
    <s v="Error"/>
    <s v="T20-1596"/>
    <n v="95592"/>
    <s v="BOT - Dashboard no refleja valores en modal &quot;Efectivo&quot;"/>
    <n v="87100"/>
    <s v="T20-1091"/>
    <s v="4.- QA "/>
    <x v="0"/>
    <x v="8"/>
    <s v="Backlog BUGS"/>
    <m/>
    <m/>
    <m/>
    <m/>
    <m/>
    <s v="Funcional"/>
    <s v="QA-IntegraciónV0.7"/>
    <m/>
    <m/>
    <m/>
    <m/>
    <m/>
    <s v="Daniela Soto"/>
    <d v="2025-09-18T14:16:00"/>
    <s v="v0.8"/>
    <m/>
    <m/>
    <x v="0"/>
    <x v="0"/>
    <m/>
    <x v="3"/>
    <x v="4"/>
    <s v="Sprint 20"/>
    <x v="0"/>
  </r>
  <r>
    <s v="Error"/>
    <s v="T20-1591"/>
    <n v="95261"/>
    <s v="BOT - No se muestran mensajes entrantes"/>
    <n v="87100"/>
    <s v="T20-1091"/>
    <s v="4.- QA "/>
    <x v="1"/>
    <x v="0"/>
    <s v="T20 Sprint 19 2025"/>
    <s v="Backlog BUGS"/>
    <m/>
    <m/>
    <m/>
    <m/>
    <s v="Funcional"/>
    <s v="QA-IntegraciónV0.7"/>
    <s v="T3B20_BOT"/>
    <s v="Tienda2.0"/>
    <m/>
    <m/>
    <m/>
    <s v="Daniela Soto"/>
    <d v="2025-09-17T15:24:00"/>
    <s v="v0.8"/>
    <m/>
    <m/>
    <x v="0"/>
    <x v="0"/>
    <m/>
    <x v="3"/>
    <x v="4"/>
    <s v="Sprint 20"/>
    <x v="0"/>
  </r>
  <r>
    <s v="Error"/>
    <s v="T20-1585"/>
    <n v="95037"/>
    <s v="POS - Artículo buscado permanece fijo en la barra de búsqueda"/>
    <n v="87100"/>
    <s v="T20-1091"/>
    <s v="4.- QA "/>
    <x v="0"/>
    <x v="3"/>
    <s v="Backlog BUGS"/>
    <m/>
    <m/>
    <m/>
    <m/>
    <m/>
    <s v="Look&amp;Feel"/>
    <s v="QA-IntegraciónV0.7"/>
    <m/>
    <m/>
    <m/>
    <m/>
    <m/>
    <s v="Daniela Soto"/>
    <d v="2025-09-16T14:46:00"/>
    <m/>
    <m/>
    <m/>
    <x v="1"/>
    <x v="9"/>
    <m/>
    <x v="3"/>
    <x v="2"/>
    <s v="N/A"/>
    <x v="1"/>
  </r>
  <r>
    <s v="Error"/>
    <s v="T20-1533"/>
    <n v="94691"/>
    <s v="POS - El error se origina en el evento POS_Login capturado en OITHUB, y se mantiene en RowData y Cosmos, afectando la consistencia de la información."/>
    <n v="87100"/>
    <s v="T20-1091"/>
    <s v="4.- QA "/>
    <x v="1"/>
    <x v="0"/>
    <s v="T20 Sprint 18 2025"/>
    <s v="T20 Sprint 19 2025"/>
    <s v="Backlog BUGS"/>
    <m/>
    <m/>
    <m/>
    <s v="doc_ludo"/>
    <s v="Eventos_iOT"/>
    <s v="QA-IntegraciónV0.6"/>
    <s v="T3B20_BOT"/>
    <s v="Tienda2.0"/>
    <m/>
    <m/>
    <s v="Yubisleinys Mora Vega"/>
    <d v="2025-09-14T15:44:00"/>
    <s v="v0.5"/>
    <s v="v0.6"/>
    <s v="v0.7"/>
    <x v="1"/>
    <x v="9"/>
    <m/>
    <x v="4"/>
    <x v="1"/>
    <s v="Sprint 19"/>
    <x v="4"/>
  </r>
  <r>
    <s v="Error"/>
    <s v="T20-1508"/>
    <n v="94631"/>
    <s v="POS_INICIO DE TURNO - No se visualiza evento"/>
    <n v="87100"/>
    <s v="T20-1091"/>
    <s v="4.- QA "/>
    <x v="1"/>
    <x v="0"/>
    <s v="T20 Sprint 18 2025"/>
    <s v="T20 Sprint 19 2025"/>
    <s v="Backlog BUGS"/>
    <m/>
    <m/>
    <m/>
    <s v="doc_ludo"/>
    <s v="Eventos_iOT"/>
    <s v="QA-IntegraciónV0.6"/>
    <s v="T3B20_BOT"/>
    <s v="Tienda2.0"/>
    <m/>
    <m/>
    <s v="Yubisleinys Mora Vega"/>
    <d v="2025-09-14T03:05:00"/>
    <s v="v0.5"/>
    <s v="v0.6"/>
    <s v="v0.7"/>
    <x v="1"/>
    <x v="9"/>
    <m/>
    <x v="4"/>
    <x v="1"/>
    <s v="Sprint 19"/>
    <x v="4"/>
  </r>
  <r>
    <s v="Error"/>
    <s v="T20-1506"/>
    <n v="94628"/>
    <s v="POS_INICIO DE TURNO - No se visualiza evento"/>
    <n v="87100"/>
    <s v="T20-1091"/>
    <s v="4.- QA "/>
    <x v="1"/>
    <x v="5"/>
    <m/>
    <m/>
    <m/>
    <m/>
    <m/>
    <m/>
    <s v="Eventos_iOT"/>
    <s v="QA-IntegraciónV0.6"/>
    <m/>
    <m/>
    <m/>
    <m/>
    <m/>
    <s v="Yubisleinys Mora Vega"/>
    <d v="2025-09-13T23:03:00"/>
    <s v="v0.6"/>
    <s v="v0.7"/>
    <m/>
    <x v="1"/>
    <x v="0"/>
    <m/>
    <x v="4"/>
    <x v="1"/>
    <s v="Sprint 19"/>
    <x v="4"/>
  </r>
  <r>
    <s v="Error"/>
    <s v="T20-1497"/>
    <n v="94362"/>
    <s v="BOT_End Store-Day - No se visualiza evento"/>
    <n v="87100"/>
    <s v="T20-1091"/>
    <s v="4.- QA "/>
    <x v="1"/>
    <x v="0"/>
    <s v="T20 Sprint 18 2025"/>
    <s v="T20 Sprint 19 2025"/>
    <s v="Backlog BUGS"/>
    <m/>
    <m/>
    <m/>
    <s v="doc_ludo"/>
    <s v="Eventos_iOT"/>
    <s v="QA-IntegraciónV0.6"/>
    <s v="T3B20_BOT"/>
    <s v="Tienda2.0"/>
    <m/>
    <m/>
    <s v="Yubisleinys Mora Vega"/>
    <d v="2025-09-12T10:36:00"/>
    <s v="v0.5"/>
    <s v="v0.6"/>
    <s v="v0.7"/>
    <x v="0"/>
    <x v="2"/>
    <m/>
    <x v="4"/>
    <x v="1"/>
    <s v="Sprint 19"/>
    <x v="4"/>
  </r>
  <r>
    <s v="Error"/>
    <s v="T20-1496"/>
    <n v="94358"/>
    <s v="POS Close Shift - No se visualiza evento"/>
    <n v="87100"/>
    <s v="T20-1091"/>
    <s v="4.- QA "/>
    <x v="1"/>
    <x v="0"/>
    <s v="T20 Sprint 18 2025"/>
    <s v="T20 Sprint 19 2025"/>
    <s v="Backlog BUGS"/>
    <m/>
    <m/>
    <m/>
    <s v="doc_ludo"/>
    <s v="Eventos_iOT"/>
    <s v="QA-IntegraciónV0.6"/>
    <s v="T3B20_BOT"/>
    <s v="Tienda2.0"/>
    <m/>
    <m/>
    <s v="Yubisleinys Mora Vega"/>
    <d v="2025-09-12T10:34:00"/>
    <s v="v0.5"/>
    <s v="v0.6"/>
    <m/>
    <x v="1"/>
    <x v="2"/>
    <m/>
    <x v="4"/>
    <x v="3"/>
    <s v="Sprint 18"/>
    <x v="4"/>
  </r>
  <r>
    <s v="Error"/>
    <s v="T20-1495"/>
    <n v="94335"/>
    <s v="POS – Logout - No se visualiza evento "/>
    <n v="87100"/>
    <s v="T20-1091"/>
    <s v="4.- QA "/>
    <x v="1"/>
    <x v="0"/>
    <s v="T20 Sprint 18 2025"/>
    <s v="T20 Sprint 19 2025"/>
    <s v="Backlog BUGS"/>
    <m/>
    <m/>
    <m/>
    <s v="doc_ludo"/>
    <s v="Eventos_iOT"/>
    <s v="QA-IntegraciónV0.6"/>
    <s v="T3B20_BOT"/>
    <s v="Tienda2.0"/>
    <m/>
    <m/>
    <s v="Yubisleinys Mora Vega"/>
    <d v="2025-09-12T09:49:00"/>
    <s v="v0.5"/>
    <s v="v0.6"/>
    <s v="v0.7"/>
    <x v="1"/>
    <x v="2"/>
    <m/>
    <x v="4"/>
    <x v="1"/>
    <s v="Sprint 19"/>
    <x v="4"/>
  </r>
  <r>
    <s v="Error"/>
    <s v="T20-1494"/>
    <n v="94311"/>
    <s v="BOT – Logout - No se visualiza evento "/>
    <n v="87100"/>
    <s v="T20-1091"/>
    <s v="4.- QA "/>
    <x v="1"/>
    <x v="0"/>
    <s v="T20 Sprint 19 2025"/>
    <s v="Backlog BUGS"/>
    <m/>
    <m/>
    <m/>
    <m/>
    <s v="doc_ludo"/>
    <s v="Eventos_iOT"/>
    <s v="QA-IntegraciónV0.6"/>
    <s v="T3B20_BOT"/>
    <s v="Tienda2.0"/>
    <m/>
    <m/>
    <s v="Yubisleinys Mora Vega"/>
    <d v="2025-09-12T08:35:00"/>
    <s v="v0.8"/>
    <m/>
    <m/>
    <x v="0"/>
    <x v="0"/>
    <m/>
    <x v="4"/>
    <x v="4"/>
    <s v="Sprint 20"/>
    <x v="4"/>
  </r>
  <r>
    <s v="Error"/>
    <s v="T20-1471"/>
    <n v="93423"/>
    <s v="BOT - Error en tabla de Productos - Nombre de columnas no son legibles"/>
    <n v="87100"/>
    <s v="T20-1091"/>
    <s v="4.- QA "/>
    <x v="0"/>
    <x v="3"/>
    <s v="Backlog BUGS"/>
    <m/>
    <m/>
    <m/>
    <m/>
    <m/>
    <s v="Funcional"/>
    <s v="QA-IntegraciónV0.6"/>
    <m/>
    <m/>
    <m/>
    <m/>
    <m/>
    <s v="Daniela Soto"/>
    <d v="2025-09-08T16:49:00"/>
    <m/>
    <m/>
    <m/>
    <x v="0"/>
    <x v="0"/>
    <m/>
    <x v="4"/>
    <x v="2"/>
    <s v="N/A"/>
    <x v="0"/>
  </r>
  <r>
    <s v="Error"/>
    <s v="T20-1469"/>
    <n v="93413"/>
    <s v="POS - Checar precio se cierra fuera del modal"/>
    <n v="87100"/>
    <s v="T20-1091"/>
    <s v="4.- QA "/>
    <x v="0"/>
    <x v="3"/>
    <s v="Backlog BUGS"/>
    <m/>
    <m/>
    <m/>
    <m/>
    <m/>
    <s v="Funcional"/>
    <s v="QA-IntegraciónV0.6"/>
    <m/>
    <m/>
    <m/>
    <m/>
    <m/>
    <s v="Daniela Soto"/>
    <d v="2025-09-08T16:20:00"/>
    <m/>
    <m/>
    <m/>
    <x v="1"/>
    <x v="2"/>
    <m/>
    <x v="4"/>
    <x v="2"/>
    <s v="N/A"/>
    <x v="0"/>
  </r>
  <r>
    <s v="Error"/>
    <s v="T20-1465"/>
    <n v="93369"/>
    <s v="BOT - Pantalla Efectivo muestra otras opciones "/>
    <n v="87100"/>
    <s v="T20-1091"/>
    <s v="4.- QA "/>
    <x v="1"/>
    <x v="0"/>
    <s v="T20 Sprint 19 2025"/>
    <s v="Backlog BUGS"/>
    <m/>
    <m/>
    <m/>
    <m/>
    <s v="Funcional"/>
    <s v="QA-IntegraciónV0.6"/>
    <s v="T3B20_BOT"/>
    <s v="Tienda2.0"/>
    <m/>
    <m/>
    <m/>
    <s v="Daniela Soto"/>
    <d v="2025-09-08T13:26:00"/>
    <s v="v0.8"/>
    <m/>
    <m/>
    <x v="0"/>
    <x v="2"/>
    <m/>
    <x v="4"/>
    <x v="4"/>
    <s v="Sprint 20"/>
    <x v="0"/>
  </r>
  <r>
    <s v="Error"/>
    <s v="T20-1453"/>
    <n v="92954"/>
    <s v="POS - Se puede bloquear sesión (Ctrl X) Sin haber iniciado sesión"/>
    <n v="87100"/>
    <s v="T20-1091"/>
    <s v="4.- QA "/>
    <x v="0"/>
    <x v="3"/>
    <s v="Backlog BUGS"/>
    <m/>
    <m/>
    <m/>
    <m/>
    <m/>
    <s v="Funcional"/>
    <s v="QA-IntegraciónV0.6"/>
    <m/>
    <m/>
    <m/>
    <m/>
    <m/>
    <s v="Daniela Soto"/>
    <d v="2025-09-05T06:33:00"/>
    <m/>
    <m/>
    <m/>
    <x v="1"/>
    <x v="2"/>
    <m/>
    <x v="4"/>
    <x v="2"/>
    <s v="N/A"/>
    <x v="0"/>
  </r>
  <r>
    <s v="Error"/>
    <s v="T20-1451"/>
    <n v="92831"/>
    <s v="BOT - Error en en menú desplegable desde el nombre de usuario"/>
    <n v="87100"/>
    <s v="T20-1091"/>
    <s v="4.- QA "/>
    <x v="0"/>
    <x v="3"/>
    <s v="Backlog BUGS"/>
    <m/>
    <m/>
    <m/>
    <m/>
    <m/>
    <s v="Funcional"/>
    <s v="QA-IntegraciónV0.6"/>
    <m/>
    <m/>
    <m/>
    <m/>
    <m/>
    <s v="Daniela Soto"/>
    <d v="2025-09-04T15:36:00"/>
    <m/>
    <m/>
    <m/>
    <x v="0"/>
    <x v="2"/>
    <m/>
    <x v="4"/>
    <x v="2"/>
    <s v="N/A"/>
    <x v="0"/>
  </r>
  <r>
    <s v="Error"/>
    <s v="T20-1450"/>
    <n v="92821"/>
    <s v="BOT - Falta info en modal &quot;Cierre de turno&quot;"/>
    <n v="87100"/>
    <s v="T20-1091"/>
    <s v="4.- QA "/>
    <x v="1"/>
    <x v="3"/>
    <s v="T20 Sprint 21 2025"/>
    <m/>
    <m/>
    <m/>
    <m/>
    <m/>
    <s v="Look&amp;Feel"/>
    <s v="QA-IntegraciónV0.6"/>
    <s v="T3B20_BOT"/>
    <s v="Tienda2.0"/>
    <m/>
    <m/>
    <m/>
    <s v="Daniela Soto"/>
    <d v="2025-09-04T15:06:00"/>
    <m/>
    <m/>
    <m/>
    <x v="0"/>
    <x v="2"/>
    <m/>
    <x v="4"/>
    <x v="2"/>
    <s v="N/A"/>
    <x v="1"/>
  </r>
  <r>
    <s v="Error"/>
    <s v="T20-1431"/>
    <n v="92641"/>
    <s v="BOT - La fecha de inicio de día esta &quot;hardcodeada&quot;"/>
    <n v="87100"/>
    <s v="T20-1091"/>
    <s v="4.- QA "/>
    <x v="1"/>
    <x v="2"/>
    <s v="T20 Sprint 21 2025"/>
    <m/>
    <m/>
    <m/>
    <m/>
    <m/>
    <s v="Contenido/Datos"/>
    <s v="QA-SmokeV0.6"/>
    <s v="T3B20_BOT"/>
    <s v="Tienda2.0"/>
    <m/>
    <m/>
    <m/>
    <s v="Carolina Rodríguez Soriano"/>
    <d v="2025-09-04T09:55:00"/>
    <s v="v0.10"/>
    <m/>
    <m/>
    <x v="0"/>
    <x v="2"/>
    <m/>
    <x v="4"/>
    <x v="5"/>
    <s v="N/A"/>
    <x v="3"/>
  </r>
  <r>
    <s v="Error"/>
    <s v="T20-1430"/>
    <n v="92636"/>
    <s v="BOT - No hay funcionalidad de cierre de día"/>
    <n v="87100"/>
    <s v="T20-1091"/>
    <s v="4.- QA "/>
    <x v="2"/>
    <x v="0"/>
    <s v="T20 Sprint 18 2025"/>
    <s v="T20 Sprint 19 2025"/>
    <s v="Backlog BUGS"/>
    <m/>
    <m/>
    <m/>
    <s v="Funcional"/>
    <s v="QA"/>
    <s v="QA-SmokeV0.6"/>
    <s v="T3B20_BOT"/>
    <s v="Tienda2.0"/>
    <m/>
    <m/>
    <s v="Carolina Rodríguez Soriano"/>
    <d v="2025-09-04T09:39:00"/>
    <s v="v0.7"/>
    <s v="v0.8"/>
    <m/>
    <x v="0"/>
    <x v="2"/>
    <m/>
    <x v="4"/>
    <x v="4"/>
    <s v="Sprint 20"/>
    <x v="0"/>
  </r>
  <r>
    <s v="Error"/>
    <s v="T20-1429"/>
    <n v="92633"/>
    <s v="BOT - Se ve dos veces el botón &quot;Cierre de día&quot;"/>
    <n v="87100"/>
    <s v="T20-1091"/>
    <s v="4.- QA "/>
    <x v="2"/>
    <x v="0"/>
    <s v="T20 Sprint 18 2025"/>
    <s v="T20 Sprint 19 2025"/>
    <s v="Backlog BUGS"/>
    <m/>
    <m/>
    <m/>
    <s v="Contenido/Datos"/>
    <s v="QA"/>
    <s v="QA-SmokeV0.6"/>
    <s v="T3B20_BOT"/>
    <s v="Tienda2.0"/>
    <m/>
    <m/>
    <s v="Carolina Rodríguez Soriano"/>
    <d v="2025-09-04T09:34:00"/>
    <s v="v0.7"/>
    <m/>
    <m/>
    <x v="0"/>
    <x v="2"/>
    <m/>
    <x v="4"/>
    <x v="1"/>
    <s v="Sprint 19"/>
    <x v="3"/>
  </r>
  <r>
    <s v="Error"/>
    <s v="T20-1428"/>
    <n v="92630"/>
    <s v="BOT - Error en botón &quot;Aceptar&quot; Cierre de día"/>
    <n v="87100"/>
    <s v="T20-1091"/>
    <s v="4.- QA "/>
    <x v="0"/>
    <x v="3"/>
    <s v="Backlog BUGS"/>
    <m/>
    <m/>
    <m/>
    <m/>
    <m/>
    <s v="Funcional"/>
    <s v="QA-IntegraciónV0.6"/>
    <m/>
    <m/>
    <m/>
    <m/>
    <m/>
    <s v="Daniela Soto"/>
    <d v="2025-09-04T09:30:00"/>
    <m/>
    <m/>
    <m/>
    <x v="0"/>
    <x v="2"/>
    <m/>
    <x v="4"/>
    <x v="2"/>
    <s v="N/A"/>
    <x v="0"/>
  </r>
  <r>
    <s v="Error"/>
    <s v="T20-1418"/>
    <n v="92327"/>
    <s v="POS - No se visualiza evento: POS_Close_Shift "/>
    <n v="87100"/>
    <s v="T20-1091"/>
    <s v="4.- QA "/>
    <x v="2"/>
    <x v="0"/>
    <s v="T20 Sprint 18 2025"/>
    <s v="T20 Sprint 19 2025"/>
    <s v="Backlog BUGS"/>
    <m/>
    <m/>
    <m/>
    <s v="Contenido/Datos"/>
    <s v="QA"/>
    <s v="QA-SmokeV0.6"/>
    <m/>
    <m/>
    <m/>
    <m/>
    <s v="Carolina Rodríguez Soriano"/>
    <d v="2025-09-03T13:16:00"/>
    <s v="v0.7"/>
    <m/>
    <m/>
    <x v="1"/>
    <x v="1"/>
    <m/>
    <x v="4"/>
    <x v="1"/>
    <s v="Sprint 19"/>
    <x v="3"/>
  </r>
  <r>
    <s v="Error"/>
    <s v="T20-1417"/>
    <n v="92278"/>
    <s v="POS - En el evento POS_SALES_TICKET viene siempre como user: alejandra.ortega@t3b.com"/>
    <n v="87100"/>
    <s v="T20-1091"/>
    <s v="4.- QA "/>
    <x v="1"/>
    <x v="0"/>
    <s v="T20 Sprint 18 2025"/>
    <s v="T20 Sprint 19 2025"/>
    <s v="Backlog BUGS"/>
    <m/>
    <m/>
    <m/>
    <s v="Contenido/Datos"/>
    <s v="QA"/>
    <s v="QA-SmokeV0.6"/>
    <m/>
    <m/>
    <m/>
    <m/>
    <s v="Carolina Rodríguez Soriano"/>
    <d v="2025-09-03T12:23:00"/>
    <s v="v0.7"/>
    <m/>
    <m/>
    <x v="1"/>
    <x v="2"/>
    <m/>
    <x v="4"/>
    <x v="1"/>
    <s v="Sprint 19"/>
    <x v="3"/>
  </r>
  <r>
    <s v="Error"/>
    <s v="T20-1415"/>
    <n v="92241"/>
    <s v="POS - Botones habilitados con pantalla vacía"/>
    <n v="87100"/>
    <s v="T20-1091"/>
    <s v="4.- QA "/>
    <x v="1"/>
    <x v="3"/>
    <s v="T20 Sprint 21 2025"/>
    <m/>
    <m/>
    <m/>
    <m/>
    <m/>
    <s v="Funcional"/>
    <s v="QA-IntegraciónV0.6"/>
    <m/>
    <m/>
    <m/>
    <m/>
    <m/>
    <s v="Daniela Soto"/>
    <d v="2025-09-03T11:10:00"/>
    <m/>
    <m/>
    <m/>
    <x v="1"/>
    <x v="6"/>
    <m/>
    <x v="4"/>
    <x v="2"/>
    <s v="N/A"/>
    <x v="0"/>
  </r>
  <r>
    <s v="Error"/>
    <s v="T20-1414"/>
    <n v="92233"/>
    <s v="POS - No se deben de cerrar las ventanas emergentes si se da clic fuera de ellas."/>
    <n v="87100"/>
    <s v="T20-1091"/>
    <s v="4.- QA "/>
    <x v="0"/>
    <x v="3"/>
    <s v="Backlog BUGS"/>
    <m/>
    <m/>
    <m/>
    <m/>
    <m/>
    <s v="Funcional"/>
    <s v="QA-SmokeV0.6"/>
    <m/>
    <m/>
    <m/>
    <m/>
    <m/>
    <s v="Carolina Rodríguez Soriano"/>
    <d v="2025-09-03T10:55:00"/>
    <m/>
    <m/>
    <m/>
    <x v="1"/>
    <x v="2"/>
    <m/>
    <x v="4"/>
    <x v="2"/>
    <s v="N/A"/>
    <x v="0"/>
  </r>
  <r>
    <s v="Error"/>
    <s v="T20-1413"/>
    <n v="92229"/>
    <s v="POS - Modal &quot;Cancelar artículos&quot; abre con credenciales cargadas"/>
    <n v="87100"/>
    <s v="T20-1091"/>
    <s v="4.- QA "/>
    <x v="0"/>
    <x v="3"/>
    <s v="T20 Sprint 19 2025"/>
    <s v="Backlog BUGS"/>
    <m/>
    <m/>
    <m/>
    <m/>
    <s v="Funcional"/>
    <s v="QA-IntegraciónV0.6"/>
    <m/>
    <m/>
    <m/>
    <m/>
    <m/>
    <s v="Daniela Soto"/>
    <d v="2025-09-03T10:52:00"/>
    <s v="v0.7"/>
    <m/>
    <m/>
    <x v="1"/>
    <x v="2"/>
    <m/>
    <x v="4"/>
    <x v="1"/>
    <s v="Sprint 19"/>
    <x v="0"/>
  </r>
  <r>
    <s v="Error"/>
    <s v="T20-1411"/>
    <n v="92221"/>
    <s v="POS - El botón &quot;Iniciar Sesión&quot; no se habilita después de que sale un error y este fue corregido."/>
    <n v="87100"/>
    <s v="T20-1091"/>
    <s v="4.- QA "/>
    <x v="1"/>
    <x v="1"/>
    <s v="T20 Sprint 21 2025"/>
    <m/>
    <m/>
    <m/>
    <m/>
    <m/>
    <s v="Funcional"/>
    <s v="QA-SmokeV0.6"/>
    <m/>
    <m/>
    <m/>
    <m/>
    <m/>
    <s v="Carolina Rodríguez Soriano"/>
    <d v="2025-09-03T10:45:00"/>
    <m/>
    <m/>
    <m/>
    <x v="1"/>
    <x v="2"/>
    <m/>
    <x v="4"/>
    <x v="2"/>
    <s v="N/A"/>
    <x v="0"/>
  </r>
  <r>
    <s v="Error"/>
    <s v="T20-1410"/>
    <n v="91981"/>
    <s v="POS - Modal de Pago Mix - Cerrar venta - tiene diferencias contra el  diseño propuesto"/>
    <n v="87100"/>
    <s v="T20-1091"/>
    <s v="4.- QA "/>
    <x v="0"/>
    <x v="3"/>
    <s v="Backlog BUGS"/>
    <m/>
    <m/>
    <m/>
    <m/>
    <m/>
    <s v="Look&amp;Feel"/>
    <s v="QA-SmokeV0.6"/>
    <m/>
    <m/>
    <m/>
    <m/>
    <m/>
    <s v="Carolina Rodríguez Soriano"/>
    <d v="2025-09-02T17:10:00"/>
    <m/>
    <m/>
    <m/>
    <x v="1"/>
    <x v="2"/>
    <m/>
    <x v="4"/>
    <x v="2"/>
    <s v="N/A"/>
    <x v="1"/>
  </r>
  <r>
    <s v="Error"/>
    <s v="T20-1406"/>
    <n v="91815"/>
    <s v="POS - El evento no trae el valor de &quot;pos_id&quot;"/>
    <n v="87100"/>
    <s v="T20-1091"/>
    <s v="4.- QA "/>
    <x v="1"/>
    <x v="0"/>
    <s v="T20 Sprint 18 2025"/>
    <s v="T20 Sprint 19 2025"/>
    <s v="Backlog BUGS"/>
    <m/>
    <m/>
    <m/>
    <s v="Contenido/Datos"/>
    <s v="QA"/>
    <s v="QA-SmokeV0.6"/>
    <m/>
    <m/>
    <m/>
    <m/>
    <s v="Carolina Rodríguez Soriano"/>
    <d v="2025-09-02T12:40:00"/>
    <s v="v0.7"/>
    <m/>
    <m/>
    <x v="1"/>
    <x v="0"/>
    <m/>
    <x v="4"/>
    <x v="1"/>
    <s v="Sprint 19"/>
    <x v="3"/>
  </r>
  <r>
    <s v="Error"/>
    <s v="T20-1389"/>
    <n v="91752"/>
    <s v="POS - Fondo de caja - Aceptar en lugar de Confirmar"/>
    <n v="79941"/>
    <s v="T20-623"/>
    <s v="3.-Desarrollo POS/BOT /CDM"/>
    <x v="3"/>
    <x v="3"/>
    <s v="Backlog BUGS"/>
    <m/>
    <m/>
    <m/>
    <m/>
    <m/>
    <s v="Look&amp;Feel"/>
    <s v="QA-IntegraciónV0.6"/>
    <m/>
    <m/>
    <m/>
    <m/>
    <m/>
    <s v="Daniela Soto"/>
    <d v="2025-09-02T11:54:00"/>
    <m/>
    <m/>
    <m/>
    <x v="1"/>
    <x v="4"/>
    <m/>
    <x v="4"/>
    <x v="2"/>
    <s v="N/A"/>
    <x v="1"/>
  </r>
  <r>
    <s v="Error"/>
    <s v="T20-1388"/>
    <n v="91734"/>
    <s v="POS - Error en el modal de Sesión Bloqueada"/>
    <n v="79941"/>
    <s v="T20-623"/>
    <s v="3.-Desarrollo POS/BOT /CDM"/>
    <x v="0"/>
    <x v="3"/>
    <s v="Backlog BUGS"/>
    <m/>
    <m/>
    <m/>
    <m/>
    <m/>
    <s v="Look&amp;Feel"/>
    <s v="QA-SmokeV0.6"/>
    <m/>
    <m/>
    <m/>
    <m/>
    <m/>
    <s v="Carolina Rodríguez Soriano"/>
    <d v="2025-09-02T11:27:00"/>
    <m/>
    <m/>
    <m/>
    <x v="1"/>
    <x v="0"/>
    <m/>
    <x v="4"/>
    <x v="2"/>
    <s v="N/A"/>
    <x v="1"/>
  </r>
  <r>
    <s v="Error"/>
    <s v="T20-1387"/>
    <n v="91730"/>
    <s v="POS - Error de idoma - Cancel Art"/>
    <n v="79941"/>
    <s v="T20-623"/>
    <s v="3.-Desarrollo POS/BOT /CDM"/>
    <x v="3"/>
    <x v="3"/>
    <s v="Backlog BUGS"/>
    <m/>
    <m/>
    <m/>
    <m/>
    <m/>
    <s v="Look&amp;Feel"/>
    <s v="QA-IntegraciónV0.6"/>
    <m/>
    <m/>
    <m/>
    <m/>
    <m/>
    <s v="Daniela Soto"/>
    <d v="2025-09-02T11:20:00"/>
    <m/>
    <m/>
    <m/>
    <x v="1"/>
    <x v="0"/>
    <m/>
    <x v="4"/>
    <x v="2"/>
    <s v="N/A"/>
    <x v="1"/>
  </r>
  <r>
    <s v="Error"/>
    <s v="T20-1316"/>
    <n v="90978"/>
    <s v="BOT - Error en tablero de Merma"/>
    <n v="79941"/>
    <s v="T20-623"/>
    <s v="3.-Desarrollo POS/BOT /CDM"/>
    <x v="1"/>
    <x v="3"/>
    <s v="T20 Sprint 17 2025"/>
    <s v="T20 Sprint 18 2025"/>
    <s v="T20 Sprint 21 2025"/>
    <m/>
    <m/>
    <m/>
    <s v="Look&amp;Feel"/>
    <s v="QA"/>
    <s v="QA-IntegraciónV0.6i"/>
    <s v="T3B20_BOT"/>
    <s v="T3B20_Kotlin"/>
    <s v="Tienda2.0"/>
    <m/>
    <s v="Daniela Soto"/>
    <d v="2025-08-29T15:23:00"/>
    <s v="v0.7"/>
    <m/>
    <m/>
    <x v="0"/>
    <x v="6"/>
    <m/>
    <x v="5"/>
    <x v="1"/>
    <s v="Sprint 19"/>
    <x v="1"/>
  </r>
  <r>
    <s v="Error"/>
    <s v="T20-1310"/>
    <n v="90484"/>
    <s v="POS - Ctrl X no bloquea sesión"/>
    <n v="87100"/>
    <s v="T20-1091"/>
    <s v="4.- QA "/>
    <x v="0"/>
    <x v="0"/>
    <s v="T20 Sprint 17 2025"/>
    <s v="T20 Sprint 18 2025"/>
    <s v="Backlog BUGS"/>
    <m/>
    <m/>
    <m/>
    <s v="Funcional"/>
    <s v="QA-IntegraciónV0.6i"/>
    <s v="T3B20_POS"/>
    <s v="Tienda2.0"/>
    <m/>
    <m/>
    <m/>
    <s v="Daniela Soto"/>
    <d v="2025-08-28T15:09:00"/>
    <s v="v0.6"/>
    <m/>
    <m/>
    <x v="1"/>
    <x v="6"/>
    <m/>
    <x v="5"/>
    <x v="3"/>
    <s v="Sprint 18"/>
    <x v="0"/>
  </r>
  <r>
    <s v="Error"/>
    <s v="T20-1300"/>
    <n v="90296"/>
    <s v="POS - Aparece la pantalla de Devolución sin seleccionar un producto y por default se coloca &quot;pasta dental&quot; para devolución"/>
    <n v="87100"/>
    <s v="T20-1091"/>
    <s v="4.- QA "/>
    <x v="2"/>
    <x v="0"/>
    <s v="T20 Sprint 18 2025"/>
    <s v="T20 Sprint 19 2025"/>
    <s v="Backlog BUGS"/>
    <m/>
    <m/>
    <m/>
    <s v="Funcional"/>
    <s v="QA"/>
    <s v="QA-SmokeV0.6i"/>
    <m/>
    <m/>
    <m/>
    <m/>
    <s v="Carolina Rodríguez Soriano"/>
    <d v="2025-08-27T17:09:00"/>
    <s v="v0.7"/>
    <m/>
    <m/>
    <x v="1"/>
    <x v="4"/>
    <m/>
    <x v="5"/>
    <x v="1"/>
    <s v="Sprint 19"/>
    <x v="0"/>
  </r>
  <r>
    <s v="Error"/>
    <s v="T20-1298"/>
    <n v="90222"/>
    <s v="POS - Error en cálculo de Total - Cancelar Artículo"/>
    <n v="79941"/>
    <s v="T20-623"/>
    <s v="3.-Desarrollo POS/BOT /CDM"/>
    <x v="1"/>
    <x v="0"/>
    <s v="T20 Sprint 17 2025"/>
    <s v="T20 Sprint 18 2025"/>
    <s v="T20 Sprint 19 2025"/>
    <s v="Backlog BUGS"/>
    <m/>
    <m/>
    <s v="Funcional"/>
    <s v="QA-IntegraciónV0.6i"/>
    <m/>
    <m/>
    <m/>
    <m/>
    <m/>
    <s v="Daniela Soto"/>
    <d v="2025-08-27T15:08:00"/>
    <s v="v0.6"/>
    <m/>
    <m/>
    <x v="1"/>
    <x v="6"/>
    <m/>
    <x v="5"/>
    <x v="3"/>
    <s v="Sprint 18"/>
    <x v="0"/>
  </r>
  <r>
    <s v="Error"/>
    <s v="T20-1296"/>
    <n v="90190"/>
    <s v="POS - F5 abre Checar precio "/>
    <n v="87100"/>
    <s v="T20-1091"/>
    <s v="4.- QA "/>
    <x v="0"/>
    <x v="0"/>
    <s v="T20 Sprint 17 2025"/>
    <s v="T20 Sprint 18 2025"/>
    <s v="Backlog BUGS"/>
    <m/>
    <m/>
    <m/>
    <s v="Funcional"/>
    <s v="QA-SmokeV0.6i"/>
    <m/>
    <m/>
    <m/>
    <m/>
    <m/>
    <s v="Carolina Rodríguez Soriano"/>
    <d v="2025-08-27T13:18:00"/>
    <s v="v0.6"/>
    <m/>
    <m/>
    <x v="1"/>
    <x v="0"/>
    <m/>
    <x v="5"/>
    <x v="3"/>
    <s v="Sprint 18"/>
    <x v="0"/>
  </r>
  <r>
    <s v="Error"/>
    <s v="T20-1294"/>
    <n v="90143"/>
    <s v="POS - No funciona tecla (Esc) "/>
    <n v="87100"/>
    <s v="T20-1091"/>
    <s v="4.- QA "/>
    <x v="0"/>
    <x v="0"/>
    <s v="T20 Sprint 17 2025"/>
    <s v="T20 Sprint 18 2025"/>
    <s v="Backlog BUGS"/>
    <m/>
    <m/>
    <m/>
    <s v="Funcional"/>
    <s v="QA-SmokeV0.6i"/>
    <s v="T3B20_POS"/>
    <s v="Tienda2.0"/>
    <m/>
    <m/>
    <m/>
    <s v="Carolina Rodríguez Soriano"/>
    <d v="2025-08-27T11:31:00"/>
    <s v="v0.6"/>
    <m/>
    <m/>
    <x v="1"/>
    <x v="2"/>
    <m/>
    <x v="5"/>
    <x v="3"/>
    <s v="Sprint 18"/>
    <x v="0"/>
  </r>
  <r>
    <s v="Error"/>
    <s v="T20-1289"/>
    <n v="90021"/>
    <s v="BOT - Monto de Fondeo adicional viene con un formato incorrecto."/>
    <n v="87100"/>
    <s v="T20-1091"/>
    <s v="4.- QA "/>
    <x v="0"/>
    <x v="0"/>
    <s v="T20 Sprint 17 2025"/>
    <s v="T20 Sprint 18 2025"/>
    <s v="Backlog BUGS"/>
    <m/>
    <m/>
    <m/>
    <s v="Contenido/Datos"/>
    <s v="QA-SmokeV0.6i"/>
    <s v="T3B20_BOT"/>
    <s v="T3B20_Kotlin"/>
    <s v="T3B20_POS"/>
    <s v="Tienda2.0"/>
    <m/>
    <s v="Carolina Rodríguez Soriano"/>
    <d v="2025-08-26T16:55:00"/>
    <s v="v0.6"/>
    <m/>
    <m/>
    <x v="0"/>
    <x v="2"/>
    <m/>
    <x v="5"/>
    <x v="3"/>
    <s v="Sprint 18"/>
    <x v="3"/>
  </r>
  <r>
    <s v="Error"/>
    <s v="T20-1287"/>
    <n v="90007"/>
    <s v="BOT - Error gramatical en toast de Alivio y Toast se queda de manera indefinida."/>
    <n v="79941"/>
    <s v="T20-623"/>
    <s v="3.-Desarrollo POS/BOT /CDM"/>
    <x v="3"/>
    <x v="3"/>
    <s v="T20 Sprint 17 2025"/>
    <s v="T20 Sprint 18 2025"/>
    <s v="Backlog BUGS"/>
    <m/>
    <m/>
    <m/>
    <s v="Look&amp;Feel"/>
    <s v="QA-SmokeV0.6i"/>
    <s v="T3B20_BOT"/>
    <s v="Tienda2.0"/>
    <m/>
    <m/>
    <m/>
    <s v="Carolina Rodríguez Soriano"/>
    <d v="2025-08-26T16:15:00"/>
    <s v="v0.6"/>
    <m/>
    <m/>
    <x v="0"/>
    <x v="2"/>
    <m/>
    <x v="5"/>
    <x v="3"/>
    <s v="Sprint 18"/>
    <x v="1"/>
  </r>
  <r>
    <s v="Error"/>
    <s v="T20-1286"/>
    <n v="89957"/>
    <s v="BOT - Toast de confirmación de fondeo inicial/adicional no desaparece."/>
    <n v="79941"/>
    <s v="T20-623"/>
    <s v="3.-Desarrollo POS/BOT /CDM"/>
    <x v="0"/>
    <x v="0"/>
    <s v="T20 Sprint 17 2025"/>
    <s v="T20 Sprint 18 2025"/>
    <s v="Backlog BUGS"/>
    <m/>
    <m/>
    <m/>
    <s v="Funcional"/>
    <s v="QA-IntegraciónV0.6i"/>
    <s v="T3B20_BOT"/>
    <s v="Tienda2.0"/>
    <m/>
    <m/>
    <m/>
    <s v="Daniela Soto"/>
    <d v="2025-08-26T13:40:00"/>
    <s v="v0.6"/>
    <m/>
    <m/>
    <x v="0"/>
    <x v="6"/>
    <m/>
    <x v="5"/>
    <x v="3"/>
    <s v="Sprint 18"/>
    <x v="0"/>
  </r>
  <r>
    <s v="Error"/>
    <s v="T20-1266"/>
    <n v="89615"/>
    <s v="BOT - Evento Json no se puede probar aun"/>
    <n v="79941"/>
    <s v="T20-623"/>
    <s v="3.-Desarrollo POS/BOT /CDM"/>
    <x v="0"/>
    <x v="5"/>
    <s v="T20 Sprint 17 2025"/>
    <s v="T20 Sprint 18 2025"/>
    <s v="T20 Sprint 19 2025"/>
    <s v="T20 Sprint 20 2025"/>
    <s v="T20 Sprint 21 2025"/>
    <m/>
    <s v="Funcional"/>
    <s v="QA-IntegraciónV0.5"/>
    <m/>
    <m/>
    <m/>
    <m/>
    <m/>
    <s v="Maria Pilar Albacete Occhi"/>
    <d v="2025-08-25T09:54:00"/>
    <m/>
    <m/>
    <m/>
    <x v="0"/>
    <x v="6"/>
    <m/>
    <x v="5"/>
    <x v="2"/>
    <s v="N/A"/>
    <x v="0"/>
  </r>
  <r>
    <s v="Error"/>
    <s v="T20-1265"/>
    <n v="89612"/>
    <s v="BOT - Salir/Cerrar Sesion"/>
    <n v="79941"/>
    <s v="T20-623"/>
    <s v="3.-Desarrollo POS/BOT /CDM"/>
    <x v="1"/>
    <x v="0"/>
    <s v="T20 Sprint 17 2025"/>
    <s v="T20 Sprint 18 2025"/>
    <s v="T20 Sprint 19 2025"/>
    <s v="Backlog BUGS"/>
    <m/>
    <m/>
    <s v="Funcional"/>
    <s v="QA-IntegraciónV0.6i"/>
    <s v="T3B20_BOT"/>
    <s v="Tienda2.0"/>
    <m/>
    <m/>
    <m/>
    <s v="Maria Pilar Albacete Occhi"/>
    <d v="2025-08-25T09:42:00"/>
    <s v="v0.8"/>
    <m/>
    <m/>
    <x v="0"/>
    <x v="9"/>
    <m/>
    <x v="5"/>
    <x v="4"/>
    <s v="Sprint 20"/>
    <x v="0"/>
  </r>
  <r>
    <s v="Error"/>
    <s v="T20-1263"/>
    <n v="89392"/>
    <s v="POS - Error en modal Pago de servicio - Catálogo"/>
    <n v="79941"/>
    <s v="T20-623"/>
    <s v="3.-Desarrollo POS/BOT /CDM"/>
    <x v="0"/>
    <x v="0"/>
    <s v="T20 Sprint 17 2025"/>
    <s v="T20 Sprint 18 2025"/>
    <s v="Backlog BUGS"/>
    <m/>
    <m/>
    <m/>
    <s v="Look&amp;Feel"/>
    <s v="QA-IntegraciónV0.5"/>
    <s v="T3B20_POS"/>
    <s v="Tienda2.0"/>
    <m/>
    <m/>
    <m/>
    <s v="Daniela Soto"/>
    <d v="2025-08-22T15:17:00"/>
    <s v="v0.6"/>
    <m/>
    <m/>
    <x v="1"/>
    <x v="0"/>
    <m/>
    <x v="5"/>
    <x v="3"/>
    <s v="Sprint 18"/>
    <x v="1"/>
  </r>
  <r>
    <s v="Error"/>
    <s v="T20-1260"/>
    <n v="89363"/>
    <s v="POS - Error en modal Pago de servicio referenciado"/>
    <n v="79941"/>
    <s v="T20-623"/>
    <s v="3.-Desarrollo POS/BOT /CDM"/>
    <x v="0"/>
    <x v="0"/>
    <s v="T20 Sprint 17 2025"/>
    <s v="T20 Sprint 18 2025"/>
    <s v="Backlog BUGS"/>
    <m/>
    <m/>
    <m/>
    <s v="Look&amp;Feel"/>
    <s v="QA"/>
    <s v="QA-IntegraciónV0.5"/>
    <s v="T3B20_POS"/>
    <s v="Tienda2.0"/>
    <m/>
    <m/>
    <s v="Daniela Soto"/>
    <d v="2025-08-22T13:22:00"/>
    <s v="v0.6"/>
    <s v="v0.7"/>
    <m/>
    <x v="1"/>
    <x v="4"/>
    <m/>
    <x v="5"/>
    <x v="1"/>
    <s v="Sprint 19"/>
    <x v="1"/>
  </r>
  <r>
    <s v="Error"/>
    <s v="T20-1249"/>
    <n v="89203"/>
    <s v="BOT - El toast se queda de manera indefinida y tapa la funcionalidad de Merma"/>
    <n v="87100"/>
    <s v="T20-1091"/>
    <s v="4.- QA "/>
    <x v="1"/>
    <x v="0"/>
    <s v="T20 Sprint 17 2025"/>
    <s v="T20 Sprint 18 2025"/>
    <s v="T20 Sprint 19 2025"/>
    <s v="Backlog BUGS"/>
    <m/>
    <m/>
    <s v="Funcional"/>
    <s v="QA"/>
    <s v="QA-SmokeV0.5"/>
    <s v="T3B20_BOT"/>
    <s v="Tienda2.0"/>
    <m/>
    <m/>
    <s v="Carolina Rodríguez Soriano"/>
    <d v="2025-08-21T17:11:00"/>
    <s v="v0.7"/>
    <s v="v0.8"/>
    <m/>
    <x v="0"/>
    <x v="0"/>
    <m/>
    <x v="5"/>
    <x v="4"/>
    <s v="Sprint 20"/>
    <x v="0"/>
  </r>
  <r>
    <s v="Error"/>
    <s v="T20-1248"/>
    <n v="89184"/>
    <s v="POS - No se puede ingresar el monto del alivio"/>
    <n v="79941"/>
    <s v="T20-623"/>
    <s v="3.-Desarrollo POS/BOT /CDM"/>
    <x v="0"/>
    <x v="5"/>
    <s v="T20 Sprint 17 2025"/>
    <s v="T20 Sprint 18 2025"/>
    <s v="T20 Sprint 19 2025"/>
    <s v="T20 Sprint 20 2025"/>
    <s v="T20 Sprint 21 2025"/>
    <m/>
    <s v="Funcional"/>
    <s v="QA-SmokeV0.5"/>
    <m/>
    <m/>
    <m/>
    <m/>
    <m/>
    <s v="Carolina Rodríguez Soriano"/>
    <d v="2025-08-21T15:50:00"/>
    <s v="v0.6"/>
    <m/>
    <m/>
    <x v="1"/>
    <x v="4"/>
    <m/>
    <x v="5"/>
    <x v="3"/>
    <s v="Sprint 18"/>
    <x v="0"/>
  </r>
  <r>
    <s v="Error"/>
    <s v="T20-1247"/>
    <n v="89157"/>
    <s v="POS - Shortcut Ctrl+N no cierra sesión."/>
    <n v="87100"/>
    <s v="T20-1091"/>
    <s v="4.- QA "/>
    <x v="0"/>
    <x v="3"/>
    <s v="T20 Sprint 17 2025"/>
    <s v="T20 Sprint 18 2025"/>
    <s v="Backlog BUGS"/>
    <m/>
    <m/>
    <m/>
    <s v="Funcional"/>
    <s v="QA-IntegraciónV0.5"/>
    <s v="T3B20_POS"/>
    <s v="Tienda2.0"/>
    <m/>
    <m/>
    <m/>
    <s v="Daniela Soto"/>
    <d v="2025-08-21T14:01:00"/>
    <s v="v0.6"/>
    <m/>
    <m/>
    <x v="1"/>
    <x v="2"/>
    <m/>
    <x v="5"/>
    <x v="3"/>
    <s v="Sprint 18"/>
    <x v="0"/>
  </r>
  <r>
    <s v="Error"/>
    <s v="T20-1226"/>
    <n v="88654"/>
    <s v="BOT - El toast de Cierre de día permanece en la pantalla de manera indefinida."/>
    <n v="79941"/>
    <s v="T20-623"/>
    <s v="3.-Desarrollo POS/BOT /CDM"/>
    <x v="0"/>
    <x v="3"/>
    <s v="T20 Sprint 17 2025"/>
    <s v="T20 Sprint 18 2025"/>
    <s v="Backlog BUGS"/>
    <m/>
    <m/>
    <m/>
    <s v="Funcional"/>
    <s v="QA"/>
    <s v="QA-SmokeV0.5"/>
    <s v="T3B20_BOT"/>
    <s v="T3B20_Kotlin"/>
    <s v="T3B20_POS"/>
    <s v="Tienda2.0"/>
    <s v="Carolina Rodríguez Soriano"/>
    <d v="2025-08-20T16:30:00"/>
    <s v="v0.6"/>
    <m/>
    <m/>
    <x v="0"/>
    <x v="4"/>
    <m/>
    <x v="5"/>
    <x v="3"/>
    <s v="Sprint 18"/>
    <x v="0"/>
  </r>
  <r>
    <s v="Error"/>
    <s v="T20-1222"/>
    <n v="88521"/>
    <s v="POS - Error de idioma en modal &quot;Sesión Bloqueada&quot;"/>
    <n v="87100"/>
    <s v="T20-1091"/>
    <s v="4.- QA "/>
    <x v="0"/>
    <x v="0"/>
    <s v="T20 Sprint 17 2025"/>
    <s v="T20 Sprint 18 2025"/>
    <s v="Backlog BUGS"/>
    <m/>
    <m/>
    <m/>
    <s v="Look&amp;Feel"/>
    <s v="QA-IntegraciónV0.5"/>
    <m/>
    <m/>
    <m/>
    <m/>
    <m/>
    <s v="Daniela Soto"/>
    <d v="2025-08-20T10:29:00"/>
    <s v="v0.6"/>
    <m/>
    <m/>
    <x v="1"/>
    <x v="4"/>
    <m/>
    <x v="5"/>
    <x v="3"/>
    <s v="Sprint 18"/>
    <x v="1"/>
  </r>
  <r>
    <s v="Error"/>
    <s v="T20-1217"/>
    <n v="88313"/>
    <s v="POS - Error en modal Cerrar Venta - Tarjeta Bono"/>
    <n v="79941"/>
    <s v="T20-623"/>
    <s v="3.-Desarrollo POS/BOT /CDM"/>
    <x v="0"/>
    <x v="0"/>
    <s v="T20 Sprint 17 2025"/>
    <s v="T20 Sprint 18 2025"/>
    <s v="Backlog BUGS"/>
    <m/>
    <m/>
    <m/>
    <s v="Look&amp;Feel"/>
    <s v="QA-IntegraciónV0.5"/>
    <m/>
    <m/>
    <m/>
    <m/>
    <m/>
    <s v="Daniela Soto"/>
    <d v="2025-08-19T12:57:00"/>
    <s v="v0.6"/>
    <m/>
    <m/>
    <x v="1"/>
    <x v="3"/>
    <m/>
    <x v="5"/>
    <x v="3"/>
    <s v="Sprint 18"/>
    <x v="1"/>
  </r>
  <r>
    <s v="Error"/>
    <s v="T20-1085"/>
    <n v="86768"/>
    <s v="POS - Error de idioma en botones en modal Cerrar Venta"/>
    <n v="79941"/>
    <s v="T20-623"/>
    <s v="3.-Desarrollo POS/BOT /CDM"/>
    <x v="0"/>
    <x v="0"/>
    <s v="T20 Sprint 17 2025"/>
    <s v="T20 Sprint 18 2025"/>
    <s v="Backlog BUGS"/>
    <m/>
    <m/>
    <m/>
    <s v="Contenido/Datos"/>
    <s v="doc_ludo"/>
    <s v="QA-IntegraciónV0.5i"/>
    <s v="T3B20_POS"/>
    <s v="Tested_In_DEV"/>
    <s v="Tienda2.0"/>
    <m/>
    <s v="Daniela Soto"/>
    <d v="2025-08-14T08:52:00"/>
    <s v="v0.6"/>
    <m/>
    <m/>
    <x v="1"/>
    <x v="3"/>
    <m/>
    <x v="0"/>
    <x v="3"/>
    <s v="Sprint 18"/>
    <x v="3"/>
  </r>
  <r>
    <s v="Error"/>
    <s v="T20-1084"/>
    <n v="86764"/>
    <s v="POS - Error de idioma en &quot;Cancelar&quot; en Modal Pago directo electrónico "/>
    <n v="79941"/>
    <s v="T20-623"/>
    <s v="3.-Desarrollo POS/BOT /CDM"/>
    <x v="0"/>
    <x v="0"/>
    <s v="T20 Sprint 17 2025"/>
    <s v="T20 Sprint 18 2025"/>
    <s v="Backlog BUGS"/>
    <m/>
    <m/>
    <m/>
    <s v="Contenido/Datos"/>
    <s v="QA-IntegraciónV0.5i"/>
    <s v="T3B20_POS"/>
    <s v="Tested_In_DEV"/>
    <s v="Tienda2.0"/>
    <m/>
    <m/>
    <s v="Daniela Soto"/>
    <d v="2025-08-14T08:09:00"/>
    <s v="v0.6"/>
    <m/>
    <m/>
    <x v="1"/>
    <x v="3"/>
    <m/>
    <x v="0"/>
    <x v="3"/>
    <s v="Sprint 18"/>
    <x v="3"/>
  </r>
  <r>
    <s v="Error"/>
    <s v="T20-1083"/>
    <n v="86759"/>
    <s v="POS - No se vacía la pantalla al cancelar venta"/>
    <n v="79941"/>
    <s v="T20-623"/>
    <s v="3.-Desarrollo POS/BOT /CDM"/>
    <x v="0"/>
    <x v="0"/>
    <s v="T20 Sprint 16 2025"/>
    <s v="T20 Sprint 17 2025"/>
    <s v="T20 Sprint 18 2025"/>
    <s v="Backlog BUGS"/>
    <m/>
    <m/>
    <s v="Funcional"/>
    <s v="QA-IntegraciónV0.5i"/>
    <s v="T3B20_POS"/>
    <s v="Tienda2.0"/>
    <m/>
    <m/>
    <m/>
    <s v="Daniela Soto"/>
    <d v="2025-08-14T07:45:00"/>
    <s v="v0.5"/>
    <m/>
    <m/>
    <x v="1"/>
    <x v="3"/>
    <m/>
    <x v="0"/>
    <x v="0"/>
    <s v="Sprint 17"/>
    <x v="0"/>
  </r>
  <r>
    <s v="Error"/>
    <s v="T20-1082"/>
    <n v="86756"/>
    <s v="POS - No se cancela Venta con shortcut "/>
    <n v="79941"/>
    <s v="T20-623"/>
    <s v="3.-Desarrollo POS/BOT /CDM"/>
    <x v="0"/>
    <x v="0"/>
    <s v="T20 Sprint 17 2025"/>
    <s v="T20 Sprint 18 2025"/>
    <s v="Backlog BUGS"/>
    <m/>
    <m/>
    <m/>
    <s v="Funcional"/>
    <s v="QA-IntegraciónV0.5i"/>
    <s v="T3B20_POS"/>
    <s v="Tested_In_DEV"/>
    <s v="Tienda2.0"/>
    <m/>
    <m/>
    <s v="Daniela Soto"/>
    <d v="2025-08-14T07:30:00"/>
    <s v="v0.6"/>
    <m/>
    <m/>
    <x v="1"/>
    <x v="4"/>
    <m/>
    <x v="0"/>
    <x v="3"/>
    <s v="Sprint 18"/>
    <x v="0"/>
  </r>
  <r>
    <s v="Error"/>
    <s v="T20-1079"/>
    <n v="86496"/>
    <s v="POS - No funciona tecla &quot;Enter&quot; para agregar producto después de la búsqueda."/>
    <n v="79941"/>
    <s v="T20-623"/>
    <s v="3.-Desarrollo POS/BOT /CDM"/>
    <x v="0"/>
    <x v="3"/>
    <s v="Backlog BUGS"/>
    <m/>
    <m/>
    <m/>
    <m/>
    <m/>
    <s v="Funcional"/>
    <s v="QA-SmokeV0.5i"/>
    <m/>
    <m/>
    <m/>
    <m/>
    <m/>
    <s v="Carolina Rodríguez Soriano"/>
    <d v="2025-08-13T16:02:00"/>
    <m/>
    <m/>
    <m/>
    <x v="1"/>
    <x v="6"/>
    <m/>
    <x v="0"/>
    <x v="2"/>
    <s v="N/A"/>
    <x v="0"/>
  </r>
  <r>
    <s v="Error"/>
    <s v="T20-1078"/>
    <n v="86493"/>
    <s v="POS - No funciona la opción Ctrl + B"/>
    <n v="87100"/>
    <s v="T20-1091"/>
    <s v="4.- QA "/>
    <x v="0"/>
    <x v="5"/>
    <m/>
    <m/>
    <m/>
    <m/>
    <m/>
    <m/>
    <s v="Funcional"/>
    <s v="QA-SmokeV0.5i"/>
    <m/>
    <m/>
    <m/>
    <m/>
    <m/>
    <s v="Carolina Rodríguez Soriano"/>
    <d v="2025-08-13T15:57:00"/>
    <m/>
    <m/>
    <m/>
    <x v="1"/>
    <x v="6"/>
    <m/>
    <x v="0"/>
    <x v="2"/>
    <s v="N/A"/>
    <x v="0"/>
  </r>
  <r>
    <s v="Error"/>
    <s v="T20-1075"/>
    <n v="86368"/>
    <s v="POS - Botón dice &quot;Cancelar&quot; en lugar de &quot;Salir&quot;"/>
    <s v=" "/>
    <s v=" "/>
    <s v=" "/>
    <x v="0"/>
    <x v="0"/>
    <s v="T20 Sprint 16 2025"/>
    <s v="T20 Sprint 17 2025"/>
    <s v="T20 Sprint 18 2025"/>
    <s v="Backlog BUGS"/>
    <m/>
    <m/>
    <s v="Contenido/Datos"/>
    <s v="QA-SmokeV0.5i"/>
    <s v="T3B20_POS"/>
    <s v="Tienda2.0"/>
    <m/>
    <m/>
    <m/>
    <s v="Carolina Rodríguez Soriano"/>
    <d v="2025-08-13T13:30:00"/>
    <s v="v0.5"/>
    <m/>
    <m/>
    <x v="1"/>
    <x v="5"/>
    <m/>
    <x v="0"/>
    <x v="0"/>
    <s v="Sprint 17"/>
    <x v="3"/>
  </r>
  <r>
    <s v="Error"/>
    <s v="T20-1070"/>
    <n v="86077"/>
    <s v="POS - No funciona el shortcut F4"/>
    <s v=" "/>
    <s v=" "/>
    <s v=" "/>
    <x v="0"/>
    <x v="5"/>
    <s v="T20 Sprint 16 2025"/>
    <s v="T20 Sprint 17 2025"/>
    <s v="T20 Sprint 18 2025"/>
    <s v="T20 Sprint 19 2025"/>
    <s v="T20 Sprint 20 2025"/>
    <s v="T20 Sprint 21 2025"/>
    <s v="Funcional"/>
    <s v="QA-SmokeV0.5i"/>
    <s v="T3B20_POS"/>
    <s v="Tienda2.0"/>
    <m/>
    <m/>
    <m/>
    <s v="Carolina Rodríguez Soriano"/>
    <d v="2025-08-12T16:05:00"/>
    <s v="v0.5"/>
    <m/>
    <m/>
    <x v="1"/>
    <x v="5"/>
    <m/>
    <x v="0"/>
    <x v="0"/>
    <s v="Sprint 17"/>
    <x v="0"/>
  </r>
  <r>
    <s v="Error"/>
    <s v="T20-1069"/>
    <n v="86040"/>
    <s v="POS - La ventana emergente no muestra los campos según el diseño"/>
    <n v="87100"/>
    <s v="T20-1091"/>
    <s v="4.- QA "/>
    <x v="3"/>
    <x v="3"/>
    <s v="Backlog BUGS"/>
    <m/>
    <m/>
    <m/>
    <m/>
    <m/>
    <s v="Look&amp;Feel"/>
    <s v="QA-SmokeV0.5i"/>
    <m/>
    <m/>
    <m/>
    <m/>
    <m/>
    <s v="Carolina Rodríguez Soriano"/>
    <d v="2025-08-12T15:51:00"/>
    <m/>
    <m/>
    <m/>
    <x v="1"/>
    <x v="7"/>
    <m/>
    <x v="0"/>
    <x v="2"/>
    <s v="N/A"/>
    <x v="1"/>
  </r>
  <r>
    <s v="Error"/>
    <s v="T20-1068"/>
    <n v="86036"/>
    <s v="POS - Inconsistencia con los campos y datos mostrados dentro de la pantalla principal de POS"/>
    <n v="87100"/>
    <s v="T20-1091"/>
    <s v="4.- QA "/>
    <x v="0"/>
    <x v="5"/>
    <s v="T20 Sprint 16 2025"/>
    <s v="T20 Sprint 17 2025"/>
    <s v="T20 Sprint 18 2025"/>
    <s v="T20 Sprint 19 2025"/>
    <s v="T20 Sprint 20 2025"/>
    <s v="T20 Sprint 21 2025"/>
    <s v="Contenido/Datos"/>
    <s v="QA-SmokeV0.5i"/>
    <s v="T3B20_POS"/>
    <s v="Tienda2.0"/>
    <m/>
    <m/>
    <m/>
    <s v="Carolina Rodríguez Soriano"/>
    <d v="2025-08-12T15:31:00"/>
    <s v="v0.5"/>
    <m/>
    <m/>
    <x v="1"/>
    <x v="9"/>
    <m/>
    <x v="0"/>
    <x v="0"/>
    <s v="Sprint 17"/>
    <x v="3"/>
  </r>
  <r>
    <s v="Error"/>
    <s v="T20-1051"/>
    <n v="85607"/>
    <s v="BOT - Error en Pie de camión"/>
    <n v="87100"/>
    <s v="T20-1091"/>
    <s v="4.- QA "/>
    <x v="0"/>
    <x v="5"/>
    <s v="T20 Sprint 17 2025"/>
    <s v="T20 Sprint 18 2025"/>
    <s v="T20 Sprint 19 2025"/>
    <s v="T20 Sprint 20 2025"/>
    <s v="T20 Sprint 21 2025"/>
    <m/>
    <s v="Funcional"/>
    <s v="QA-IntegraciónV0.4"/>
    <m/>
    <m/>
    <m/>
    <m/>
    <m/>
    <s v="Daniela Soto"/>
    <d v="2025-08-11T14:55:00"/>
    <m/>
    <m/>
    <m/>
    <x v="0"/>
    <x v="6"/>
    <m/>
    <x v="0"/>
    <x v="2"/>
    <s v="N/A"/>
    <x v="0"/>
  </r>
  <r>
    <s v="Error"/>
    <s v="T20-1048"/>
    <n v="85515"/>
    <s v="BOT - Error en Modal Alivio"/>
    <n v="87100"/>
    <s v="T20-1091"/>
    <s v="4.- QA "/>
    <x v="0"/>
    <x v="0"/>
    <s v="T20 Sprint 17 2025"/>
    <m/>
    <m/>
    <m/>
    <m/>
    <m/>
    <s v="Look&amp;Feel"/>
    <s v="QA-IntegraciónV0.4"/>
    <s v="T3B20_BOT"/>
    <s v="Tested_In_DEV"/>
    <s v="Tienda2.0"/>
    <m/>
    <m/>
    <s v="Daniela Soto"/>
    <d v="2025-08-11T11:18:00"/>
    <s v="v0.6"/>
    <m/>
    <m/>
    <x v="0"/>
    <x v="3"/>
    <m/>
    <x v="0"/>
    <x v="3"/>
    <s v="Sprint 18"/>
    <x v="1"/>
  </r>
  <r>
    <s v="Error"/>
    <s v="T20-1039"/>
    <n v="84751"/>
    <s v="POS - Error de idioma en botones "/>
    <m/>
    <m/>
    <m/>
    <x v="0"/>
    <x v="0"/>
    <s v="T20 Sprint 17 2025"/>
    <s v="T20 Sprint 18 2025"/>
    <s v="Backlog BUGS"/>
    <m/>
    <m/>
    <m/>
    <s v="Contenido/Datos"/>
    <s v="QA-IntegraciónV0.4"/>
    <s v="T3B20_POS"/>
    <s v="Tested_In_DEV"/>
    <s v="Tienda2.0"/>
    <m/>
    <m/>
    <s v="Daniela Soto"/>
    <d v="2025-08-08T10:07:00"/>
    <s v="v0.6"/>
    <m/>
    <m/>
    <x v="1"/>
    <x v="10"/>
    <m/>
    <x v="0"/>
    <x v="3"/>
    <s v="Sprint 18"/>
    <x v="3"/>
  </r>
  <r>
    <s v="Error"/>
    <s v="T20-1036"/>
    <n v="84623"/>
    <s v="BOT - Error en botones Cancelar/Aceptar modal Fondeo Inicial"/>
    <m/>
    <m/>
    <m/>
    <x v="0"/>
    <x v="3"/>
    <s v="T20 Sprint 17 2025"/>
    <s v="T20 Sprint 18 2025"/>
    <s v="Backlog BUGS"/>
    <m/>
    <m/>
    <m/>
    <s v="Contenido/Datos"/>
    <s v="QA-IntegraciónV0.4"/>
    <s v="T3B20_BOT"/>
    <s v="Tested_In_DEV"/>
    <s v="Tienda2.0"/>
    <m/>
    <m/>
    <s v="Daniela Soto"/>
    <d v="2025-08-08T07:46:00"/>
    <s v="v0.6"/>
    <m/>
    <m/>
    <x v="0"/>
    <x v="10"/>
    <m/>
    <x v="0"/>
    <x v="3"/>
    <s v="Sprint 18"/>
    <x v="3"/>
  </r>
  <r>
    <s v="Error"/>
    <s v="T20-1035"/>
    <n v="84620"/>
    <s v="POS - Error al cerrar turno "/>
    <m/>
    <m/>
    <m/>
    <x v="0"/>
    <x v="0"/>
    <s v="T20 Sprint 17 2025"/>
    <s v="T20 Sprint 18 2025"/>
    <s v="Backlog BUGS"/>
    <m/>
    <m/>
    <m/>
    <s v="Funcional"/>
    <s v="QA-IntegraciónV0.4"/>
    <s v="T3B20_POS"/>
    <s v="Tested_In_DEV"/>
    <s v="Tienda2.0"/>
    <m/>
    <m/>
    <s v="Daniela Soto"/>
    <d v="2025-08-08T06:57:00"/>
    <s v="v0.6"/>
    <m/>
    <m/>
    <x v="1"/>
    <x v="10"/>
    <m/>
    <x v="0"/>
    <x v="3"/>
    <s v="Sprint 18"/>
    <x v="0"/>
  </r>
  <r>
    <s v="Error"/>
    <s v="T20-1029"/>
    <n v="84449"/>
    <s v="POS - Error en Venta Artículo. No se completa."/>
    <m/>
    <m/>
    <m/>
    <x v="0"/>
    <x v="5"/>
    <s v="T20 Sprint 17 2025"/>
    <s v="T20 Sprint 18 2025"/>
    <s v="T20 Sprint 19 2025"/>
    <s v="T20 Sprint 20 2025"/>
    <s v="T20 Sprint 21 2025"/>
    <m/>
    <s v="Funcional"/>
    <s v="QA-IntegraciónV0.4"/>
    <s v="T3B20_POS"/>
    <s v="Tienda2.0"/>
    <m/>
    <m/>
    <m/>
    <s v="Daniela Soto"/>
    <d v="2025-08-07T13:27:00"/>
    <s v="v0.6"/>
    <m/>
    <m/>
    <x v="1"/>
    <x v="10"/>
    <m/>
    <x v="0"/>
    <x v="3"/>
    <s v="Sprint 18"/>
    <x v="0"/>
  </r>
  <r>
    <s v="Error"/>
    <s v="T20-1023"/>
    <n v="84277"/>
    <s v="POS - Error en texto de pantalla &quot;Validar Cancelación&quot;"/>
    <m/>
    <m/>
    <m/>
    <x v="0"/>
    <x v="0"/>
    <s v="T20 Sprint 17 2025"/>
    <s v="T20 Sprint 18 2025"/>
    <s v="Backlog BUGS"/>
    <m/>
    <m/>
    <m/>
    <s v="Contenido/Datos"/>
    <s v="QA-IntegraciónV0.4"/>
    <s v="T3B20_POS"/>
    <s v="Tienda2.0"/>
    <m/>
    <m/>
    <m/>
    <s v="Daniela Soto"/>
    <d v="2025-08-07T09:19:00"/>
    <s v="v0.5"/>
    <m/>
    <m/>
    <x v="1"/>
    <x v="10"/>
    <m/>
    <x v="0"/>
    <x v="0"/>
    <s v="Sprint 1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94CB3-3D14-45DA-BBBC-3F087A8B504B}" name="Total" cacheId="1696" applyNumberFormats="0" applyBorderFormats="0" applyFontFormats="0" applyPatternFormats="0" applyAlignmentFormats="0" applyWidthHeightFormats="1" dataCaption="Valores" grandTotalCaption="Total " updatedVersion="8" minRefreshableVersion="3" useAutoFormatting="1" itemPrintTitles="1" createdVersion="8" indent="0" outline="1" outlineData="1" multipleFieldFilters="0" rowHeaderCaption="SPRINT" colHeaderCaption="ESTADO">
  <location ref="M3:W11" firstHeaderRow="1" firstDataRow="2" firstDataCol="1"/>
  <pivotFields count="34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m="1" x="4"/>
        <item t="default"/>
      </items>
    </pivotField>
    <pivotField axis="axisCol" dataField="1" showAll="0">
      <items count="12">
        <item x="5"/>
        <item x="3"/>
        <item x="1"/>
        <item x="4"/>
        <item x="8"/>
        <item x="0"/>
        <item m="1" x="9"/>
        <item x="2"/>
        <item x="6"/>
        <item x="7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sd="0" x="0"/>
        <item sd="0" x="5"/>
        <item sd="0" x="4"/>
        <item sd="0" x="3"/>
        <item sd="0" x="2"/>
        <item sd="0" x="1"/>
        <item sd="0" m="1" x="6"/>
        <item t="default"/>
      </items>
    </pivotField>
    <pivotField showAll="0"/>
    <pivotField showAll="0"/>
    <pivotField showAll="0"/>
  </pivotFields>
  <rowFields count="2">
    <field x="30"/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10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 t="grand">
      <x/>
    </i>
  </colItems>
  <dataFields count="1">
    <dataField name="BUGS     X" fld="8" subtotal="count" baseField="0" baseItem="0"/>
  </dataFields>
  <formats count="56">
    <format dxfId="385">
      <pivotArea type="all" dataOnly="0" outline="0" fieldPosition="0"/>
    </format>
    <format dxfId="386">
      <pivotArea outline="0" collapsedLevelsAreSubtotals="1" fieldPosition="0"/>
    </format>
    <format dxfId="387">
      <pivotArea type="origin" dataOnly="0" labelOnly="1" outline="0" fieldPosition="0"/>
    </format>
    <format dxfId="388">
      <pivotArea field="8" type="button" dataOnly="0" labelOnly="1" outline="0" axis="axisCol" fieldPosition="0"/>
    </format>
    <format dxfId="389">
      <pivotArea type="topRight" dataOnly="0" labelOnly="1" outline="0" fieldPosition="0"/>
    </format>
    <format dxfId="390">
      <pivotArea field="30" type="button" dataOnly="0" labelOnly="1" outline="0" axis="axisRow" fieldPosition="0"/>
    </format>
    <format dxfId="391">
      <pivotArea dataOnly="0" labelOnly="1" fieldPosition="0">
        <references count="1">
          <reference field="30" count="0"/>
        </references>
      </pivotArea>
    </format>
    <format dxfId="392">
      <pivotArea dataOnly="0" labelOnly="1" grandRow="1" outline="0" fieldPosition="0"/>
    </format>
    <format dxfId="393">
      <pivotArea dataOnly="0" labelOnly="1" fieldPosition="0">
        <references count="1">
          <reference field="8" count="0"/>
        </references>
      </pivotArea>
    </format>
    <format dxfId="394">
      <pivotArea dataOnly="0" labelOnly="1" grandCol="1" outline="0" fieldPosition="0"/>
    </format>
    <format dxfId="395">
      <pivotArea type="origin" dataOnly="0" labelOnly="1" outline="0" fieldPosition="0"/>
    </format>
    <format dxfId="396">
      <pivotArea field="8" type="button" dataOnly="0" labelOnly="1" outline="0" axis="axisCol" fieldPosition="0"/>
    </format>
    <format dxfId="397">
      <pivotArea type="topRight" dataOnly="0" labelOnly="1" outline="0" fieldPosition="0"/>
    </format>
    <format dxfId="398">
      <pivotArea type="origin" dataOnly="0" labelOnly="1" outline="0" fieldPosition="0"/>
    </format>
    <format dxfId="399">
      <pivotArea field="8" type="button" dataOnly="0" labelOnly="1" outline="0" axis="axisCol" fieldPosition="0"/>
    </format>
    <format dxfId="400">
      <pivotArea type="topRight" dataOnly="0" labelOnly="1" outline="0" fieldPosition="0"/>
    </format>
    <format dxfId="401">
      <pivotArea field="30" type="button" dataOnly="0" labelOnly="1" outline="0" axis="axisRow" fieldPosition="0"/>
    </format>
    <format dxfId="402">
      <pivotArea dataOnly="0" labelOnly="1" fieldPosition="0">
        <references count="1">
          <reference field="8" count="0"/>
        </references>
      </pivotArea>
    </format>
    <format dxfId="403">
      <pivotArea dataOnly="0" labelOnly="1" grandCol="1" outline="0" fieldPosition="0"/>
    </format>
    <format dxfId="404">
      <pivotArea field="30" type="button" dataOnly="0" labelOnly="1" outline="0" axis="axisRow" fieldPosition="0"/>
    </format>
    <format dxfId="405">
      <pivotArea dataOnly="0" labelOnly="1" fieldPosition="0">
        <references count="1">
          <reference field="8" count="0"/>
        </references>
      </pivotArea>
    </format>
    <format dxfId="406">
      <pivotArea dataOnly="0" labelOnly="1" grandCol="1" outline="0" fieldPosition="0"/>
    </format>
    <format dxfId="407">
      <pivotArea grandRow="1" grandCol="1" outline="0" collapsedLevelsAreSubtotals="1" fieldPosition="0"/>
    </format>
    <format dxfId="408">
      <pivotArea grandRow="1" grandCol="1" outline="0" collapsedLevelsAreSubtotals="1" fieldPosition="0"/>
    </format>
    <format dxfId="409">
      <pivotArea type="all" dataOnly="0" outline="0" fieldPosition="0"/>
    </format>
    <format dxfId="410">
      <pivotArea outline="0" collapsedLevelsAreSubtotals="1" fieldPosition="0"/>
    </format>
    <format dxfId="411">
      <pivotArea type="origin" dataOnly="0" labelOnly="1" outline="0" fieldPosition="0"/>
    </format>
    <format dxfId="412">
      <pivotArea field="8" type="button" dataOnly="0" labelOnly="1" outline="0" axis="axisCol" fieldPosition="0"/>
    </format>
    <format dxfId="413">
      <pivotArea type="topRight" dataOnly="0" labelOnly="1" outline="0" fieldPosition="0"/>
    </format>
    <format dxfId="414">
      <pivotArea field="30" type="button" dataOnly="0" labelOnly="1" outline="0" axis="axisRow" fieldPosition="0"/>
    </format>
    <format dxfId="415">
      <pivotArea dataOnly="0" labelOnly="1" fieldPosition="0">
        <references count="1">
          <reference field="30" count="0"/>
        </references>
      </pivotArea>
    </format>
    <format dxfId="416">
      <pivotArea dataOnly="0" labelOnly="1" grandRow="1" outline="0" fieldPosition="0"/>
    </format>
    <format dxfId="417">
      <pivotArea dataOnly="0" labelOnly="1" fieldPosition="0">
        <references count="1">
          <reference field="8" count="0"/>
        </references>
      </pivotArea>
    </format>
    <format dxfId="418">
      <pivotArea dataOnly="0" labelOnly="1" grandCol="1" outline="0" fieldPosition="0"/>
    </format>
    <format dxfId="419">
      <pivotArea type="all" dataOnly="0" outline="0" fieldPosition="0"/>
    </format>
    <format dxfId="420">
      <pivotArea outline="0" collapsedLevelsAreSubtotals="1" fieldPosition="0"/>
    </format>
    <format dxfId="421">
      <pivotArea type="origin" dataOnly="0" labelOnly="1" outline="0" fieldPosition="0"/>
    </format>
    <format dxfId="422">
      <pivotArea field="8" type="button" dataOnly="0" labelOnly="1" outline="0" axis="axisCol" fieldPosition="0"/>
    </format>
    <format dxfId="423">
      <pivotArea type="topRight" dataOnly="0" labelOnly="1" outline="0" fieldPosition="0"/>
    </format>
    <format dxfId="424">
      <pivotArea field="30" type="button" dataOnly="0" labelOnly="1" outline="0" axis="axisRow" fieldPosition="0"/>
    </format>
    <format dxfId="425">
      <pivotArea dataOnly="0" labelOnly="1" fieldPosition="0">
        <references count="1">
          <reference field="30" count="0"/>
        </references>
      </pivotArea>
    </format>
    <format dxfId="426">
      <pivotArea dataOnly="0" labelOnly="1" grandRow="1" outline="0" fieldPosition="0"/>
    </format>
    <format dxfId="427">
      <pivotArea dataOnly="0" labelOnly="1" fieldPosition="0">
        <references count="1">
          <reference field="8" count="0"/>
        </references>
      </pivotArea>
    </format>
    <format dxfId="428">
      <pivotArea dataOnly="0" labelOnly="1" grandCol="1" outline="0" fieldPosition="0"/>
    </format>
    <format dxfId="429">
      <pivotArea grandRow="1" grandCol="1" outline="0" collapsedLevelsAreSubtotals="1" fieldPosition="0"/>
    </format>
    <format dxfId="430">
      <pivotArea grandRow="1" grandCol="1" outline="0" collapsedLevelsAreSubtotals="1" fieldPosition="0"/>
    </format>
    <format dxfId="431">
      <pivotArea type="all" dataOnly="0" outline="0" fieldPosition="0"/>
    </format>
    <format dxfId="432">
      <pivotArea outline="0" collapsedLevelsAreSubtotals="1" fieldPosition="0"/>
    </format>
    <format dxfId="433">
      <pivotArea type="origin" dataOnly="0" labelOnly="1" outline="0" fieldPosition="0"/>
    </format>
    <format dxfId="434">
      <pivotArea field="8" type="button" dataOnly="0" labelOnly="1" outline="0" axis="axisCol" fieldPosition="0"/>
    </format>
    <format dxfId="435">
      <pivotArea type="topRight" dataOnly="0" labelOnly="1" outline="0" fieldPosition="0"/>
    </format>
    <format dxfId="436">
      <pivotArea field="30" type="button" dataOnly="0" labelOnly="1" outline="0" axis="axisRow" fieldPosition="0"/>
    </format>
    <format dxfId="437">
      <pivotArea dataOnly="0" labelOnly="1" fieldPosition="0">
        <references count="1">
          <reference field="30" count="0"/>
        </references>
      </pivotArea>
    </format>
    <format dxfId="438">
      <pivotArea dataOnly="0" labelOnly="1" grandRow="1" outline="0" fieldPosition="0"/>
    </format>
    <format dxfId="439">
      <pivotArea dataOnly="0" labelOnly="1" fieldPosition="0">
        <references count="1">
          <reference field="8" count="0"/>
        </references>
      </pivotArea>
    </format>
    <format dxfId="44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4A5D0-0A8B-4B39-B782-8E6BC0FF5DF2}" name="Tabla dinámica1" cacheId="16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K12" firstHeaderRow="1" firstDataRow="2" firstDataCol="1"/>
  <pivotFields count="3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12">
        <item x="5"/>
        <item x="3"/>
        <item x="1"/>
        <item x="4"/>
        <item x="8"/>
        <item x="0"/>
        <item m="1" x="9"/>
        <item x="2"/>
        <item x="6"/>
        <item x="7"/>
        <item m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m="1" x="12"/>
        <item m="1" x="13"/>
        <item h="1" x="8"/>
        <item x="0"/>
        <item h="1" x="4"/>
        <item x="7"/>
        <item x="6"/>
        <item x="2"/>
        <item x="1"/>
        <item x="9"/>
        <item h="1" x="3"/>
        <item x="5"/>
        <item m="1" x="11"/>
        <item h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8"/>
  </rowFields>
  <rowItems count="8">
    <i>
      <x v="3"/>
    </i>
    <i>
      <x v="5"/>
    </i>
    <i>
      <x v="6"/>
    </i>
    <i>
      <x v="7"/>
    </i>
    <i>
      <x v="8"/>
    </i>
    <i>
      <x v="9"/>
    </i>
    <i>
      <x v="11"/>
    </i>
    <i t="grand">
      <x/>
    </i>
  </rowItems>
  <colFields count="1">
    <field x="8"/>
  </colFields>
  <colItems count="10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 t="grand">
      <x/>
    </i>
  </colItems>
  <dataFields count="1">
    <dataField name="Bugs  por" fld="8" subtotal="count" baseField="0" baseItem="0"/>
  </dataFields>
  <formats count="43">
    <format dxfId="342">
      <pivotArea type="all" dataOnly="0" outline="0" fieldPosition="0"/>
    </format>
    <format dxfId="343">
      <pivotArea outline="0" collapsedLevelsAreSubtotals="1" fieldPosition="0"/>
    </format>
    <format dxfId="344">
      <pivotArea type="origin" dataOnly="0" labelOnly="1" outline="0" fieldPosition="0"/>
    </format>
    <format dxfId="345">
      <pivotArea field="8" type="button" dataOnly="0" labelOnly="1" outline="0" axis="axisCol" fieldPosition="0"/>
    </format>
    <format dxfId="346">
      <pivotArea type="topRight" dataOnly="0" labelOnly="1" outline="0" fieldPosition="0"/>
    </format>
    <format dxfId="347">
      <pivotArea field="28" type="button" dataOnly="0" labelOnly="1" outline="0" axis="axisRow" fieldPosition="0"/>
    </format>
    <format dxfId="348">
      <pivotArea dataOnly="0" labelOnly="1" outline="0" fieldPosition="0">
        <references count="1">
          <reference field="28" count="0"/>
        </references>
      </pivotArea>
    </format>
    <format dxfId="349">
      <pivotArea dataOnly="0" labelOnly="1" grandRow="1" outline="0" fieldPosition="0"/>
    </format>
    <format dxfId="350">
      <pivotArea dataOnly="0" labelOnly="1" outline="0" fieldPosition="0">
        <references count="1">
          <reference field="8" count="0"/>
        </references>
      </pivotArea>
    </format>
    <format dxfId="351">
      <pivotArea dataOnly="0" labelOnly="1" grandCol="1" outline="0" fieldPosition="0"/>
    </format>
    <format dxfId="352">
      <pivotArea type="all" dataOnly="0" outline="0" fieldPosition="0"/>
    </format>
    <format dxfId="353">
      <pivotArea outline="0" collapsedLevelsAreSubtotals="1" fieldPosition="0"/>
    </format>
    <format dxfId="354">
      <pivotArea type="origin" dataOnly="0" labelOnly="1" outline="0" fieldPosition="0"/>
    </format>
    <format dxfId="355">
      <pivotArea field="8" type="button" dataOnly="0" labelOnly="1" outline="0" axis="axisCol" fieldPosition="0"/>
    </format>
    <format dxfId="356">
      <pivotArea type="topRight" dataOnly="0" labelOnly="1" outline="0" fieldPosition="0"/>
    </format>
    <format dxfId="357">
      <pivotArea field="28" type="button" dataOnly="0" labelOnly="1" outline="0" axis="axisRow" fieldPosition="0"/>
    </format>
    <format dxfId="358">
      <pivotArea dataOnly="0" labelOnly="1" grandRow="1" outline="0" fieldPosition="0"/>
    </format>
    <format dxfId="359">
      <pivotArea dataOnly="0" labelOnly="1" outline="0" fieldPosition="0">
        <references count="1">
          <reference field="8" count="0"/>
        </references>
      </pivotArea>
    </format>
    <format dxfId="360">
      <pivotArea dataOnly="0" labelOnly="1" grandCol="1" outline="0" fieldPosition="0"/>
    </format>
    <format dxfId="361">
      <pivotArea type="all" dataOnly="0" outline="0" fieldPosition="0"/>
    </format>
    <format dxfId="362">
      <pivotArea outline="0" collapsedLevelsAreSubtotals="1" fieldPosition="0"/>
    </format>
    <format dxfId="363">
      <pivotArea type="origin" dataOnly="0" labelOnly="1" outline="0" fieldPosition="0"/>
    </format>
    <format dxfId="364">
      <pivotArea field="8" type="button" dataOnly="0" labelOnly="1" outline="0" axis="axisCol" fieldPosition="0"/>
    </format>
    <format dxfId="365">
      <pivotArea type="topRight" dataOnly="0" labelOnly="1" outline="0" fieldPosition="0"/>
    </format>
    <format dxfId="366">
      <pivotArea field="28" type="button" dataOnly="0" labelOnly="1" outline="0" axis="axisRow" fieldPosition="0"/>
    </format>
    <format dxfId="367">
      <pivotArea dataOnly="0" labelOnly="1" outline="0" fieldPosition="0">
        <references count="1">
          <reference field="28" count="0"/>
        </references>
      </pivotArea>
    </format>
    <format dxfId="368">
      <pivotArea dataOnly="0" labelOnly="1" grandRow="1" outline="0" fieldPosition="0"/>
    </format>
    <format dxfId="369">
      <pivotArea dataOnly="0" labelOnly="1" outline="0" fieldPosition="0">
        <references count="1">
          <reference field="8" count="0"/>
        </references>
      </pivotArea>
    </format>
    <format dxfId="370">
      <pivotArea dataOnly="0" labelOnly="1" grandCol="1" outline="0" fieldPosition="0"/>
    </format>
    <format dxfId="371">
      <pivotArea type="origin" dataOnly="0" labelOnly="1" outline="0" fieldPosition="0"/>
    </format>
    <format dxfId="372">
      <pivotArea field="8" type="button" dataOnly="0" labelOnly="1" outline="0" axis="axisCol" fieldPosition="0"/>
    </format>
    <format dxfId="373">
      <pivotArea type="origin" dataOnly="0" labelOnly="1" outline="0" fieldPosition="0"/>
    </format>
    <format dxfId="374">
      <pivotArea field="8" type="button" dataOnly="0" labelOnly="1" outline="0" axis="axisCol" fieldPosition="0"/>
    </format>
    <format dxfId="375">
      <pivotArea field="28" type="button" dataOnly="0" labelOnly="1" outline="0" axis="axisRow" fieldPosition="0"/>
    </format>
    <format dxfId="376">
      <pivotArea dataOnly="0" labelOnly="1" outline="0" fieldPosition="0">
        <references count="1">
          <reference field="8" count="0"/>
        </references>
      </pivotArea>
    </format>
    <format dxfId="377">
      <pivotArea dataOnly="0" labelOnly="1" grandCol="1" outline="0" fieldPosition="0"/>
    </format>
    <format dxfId="378">
      <pivotArea field="28" type="button" dataOnly="0" labelOnly="1" outline="0" axis="axisRow" fieldPosition="0"/>
    </format>
    <format dxfId="379">
      <pivotArea dataOnly="0" labelOnly="1" outline="0" fieldPosition="0">
        <references count="1">
          <reference field="8" count="0"/>
        </references>
      </pivotArea>
    </format>
    <format dxfId="380">
      <pivotArea dataOnly="0" labelOnly="1" grandCol="1" outline="0" fieldPosition="0"/>
    </format>
    <format dxfId="381">
      <pivotArea type="origin" dataOnly="0" labelOnly="1" outline="0" fieldPosition="0"/>
    </format>
    <format dxfId="382">
      <pivotArea field="8" type="button" dataOnly="0" labelOnly="1" outline="0" axis="axisCol" fieldPosition="0"/>
    </format>
    <format dxfId="383">
      <pivotArea dataOnly="0" labelOnly="1" outline="0" fieldPosition="0">
        <references count="1">
          <reference field="28" count="0"/>
        </references>
      </pivotArea>
    </format>
    <format dxfId="384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B49C3-93E3-4932-9DAF-9E355C105F56}" name="Tabla dinámica2" cacheId="16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8:F28" firstHeaderRow="1" firstDataRow="3" firstDataCol="1"/>
  <pivotFields count="3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sd="0" x="2"/>
        <item sd="0" x="1"/>
        <item sd="0" x="0"/>
        <item sd="0" x="3"/>
        <item m="1" x="4"/>
        <item t="default"/>
      </items>
    </pivotField>
    <pivotField axis="axisCol" compact="0" outline="0" showAll="0">
      <items count="12">
        <item x="5"/>
        <item x="1"/>
        <item m="1" x="9"/>
        <item x="4"/>
        <item x="8"/>
        <item x="0"/>
        <item x="3"/>
        <item x="2"/>
        <item x="6"/>
        <item x="7"/>
        <item m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5">
        <item m="1" x="12"/>
        <item m="1" x="13"/>
        <item h="1" x="8"/>
        <item x="0"/>
        <item h="1" x="4"/>
        <item x="7"/>
        <item x="6"/>
        <item x="2"/>
        <item x="1"/>
        <item x="9"/>
        <item h="1" x="3"/>
        <item x="5"/>
        <item m="1" x="11"/>
        <item h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8"/>
  </rowFields>
  <rowItems count="8">
    <i>
      <x v="3"/>
    </i>
    <i>
      <x v="5"/>
    </i>
    <i>
      <x v="6"/>
    </i>
    <i>
      <x v="7"/>
    </i>
    <i>
      <x v="8"/>
    </i>
    <i>
      <x v="9"/>
    </i>
    <i>
      <x v="11"/>
    </i>
    <i t="grand">
      <x/>
    </i>
  </rowItems>
  <colFields count="2">
    <field x="7"/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Bugs por " fld="28" subtotal="count" baseField="0" baseItem="0"/>
  </dataFields>
  <formats count="32">
    <format dxfId="310">
      <pivotArea type="origin" dataOnly="0" labelOnly="1" outline="0" fieldPosition="0"/>
    </format>
    <format dxfId="311">
      <pivotArea field="7" type="button" dataOnly="0" labelOnly="1" outline="0" axis="axisCol" fieldPosition="0"/>
    </format>
    <format dxfId="312">
      <pivotArea type="topRight" dataOnly="0" labelOnly="1" outline="0" fieldPosition="0"/>
    </format>
    <format dxfId="313">
      <pivotArea type="origin" dataOnly="0" labelOnly="1" outline="0" fieldPosition="0"/>
    </format>
    <format dxfId="314">
      <pivotArea field="7" type="button" dataOnly="0" labelOnly="1" outline="0" axis="axisCol" fieldPosition="0"/>
    </format>
    <format dxfId="315">
      <pivotArea type="topRight" dataOnly="0" labelOnly="1" outline="0" fieldPosition="0"/>
    </format>
    <format dxfId="316">
      <pivotArea type="origin" dataOnly="0" labelOnly="1" outline="0" fieldPosition="0"/>
    </format>
    <format dxfId="317">
      <pivotArea field="7" type="button" dataOnly="0" labelOnly="1" outline="0" axis="axisCol" fieldPosition="0"/>
    </format>
    <format dxfId="318">
      <pivotArea type="topRight" dataOnly="0" labelOnly="1" outline="0" fieldPosition="0"/>
    </format>
    <format dxfId="319">
      <pivotArea field="28" type="button" dataOnly="0" labelOnly="1" outline="0" axis="axisRow" fieldPosition="0"/>
    </format>
    <format dxfId="320">
      <pivotArea dataOnly="0" labelOnly="1" outline="0" fieldPosition="0">
        <references count="1">
          <reference field="7" count="0"/>
        </references>
      </pivotArea>
    </format>
    <format dxfId="321">
      <pivotArea dataOnly="0" labelOnly="1" grandCol="1" outline="0" fieldPosition="0"/>
    </format>
    <format dxfId="322">
      <pivotArea field="28" type="button" dataOnly="0" labelOnly="1" outline="0" axis="axisRow" fieldPosition="0"/>
    </format>
    <format dxfId="323">
      <pivotArea dataOnly="0" labelOnly="1" outline="0" fieldPosition="0">
        <references count="1">
          <reference field="7" count="0"/>
        </references>
      </pivotArea>
    </format>
    <format dxfId="324">
      <pivotArea dataOnly="0" labelOnly="1" grandCol="1" outline="0" fieldPosition="0"/>
    </format>
    <format dxfId="325">
      <pivotArea type="all" dataOnly="0" outline="0" fieldPosition="0"/>
    </format>
    <format dxfId="326">
      <pivotArea outline="0" collapsedLevelsAreSubtotals="1" fieldPosition="0"/>
    </format>
    <format dxfId="327">
      <pivotArea type="origin" dataOnly="0" labelOnly="1" outline="0" fieldPosition="0"/>
    </format>
    <format dxfId="328">
      <pivotArea field="7" type="button" dataOnly="0" labelOnly="1" outline="0" axis="axisCol" fieldPosition="0"/>
    </format>
    <format dxfId="329">
      <pivotArea type="topRight" dataOnly="0" labelOnly="1" outline="0" fieldPosition="0"/>
    </format>
    <format dxfId="330">
      <pivotArea field="28" type="button" dataOnly="0" labelOnly="1" outline="0" axis="axisRow" fieldPosition="0"/>
    </format>
    <format dxfId="331">
      <pivotArea dataOnly="0" labelOnly="1" outline="0" fieldPosition="0">
        <references count="1">
          <reference field="28" count="0"/>
        </references>
      </pivotArea>
    </format>
    <format dxfId="332">
      <pivotArea dataOnly="0" labelOnly="1" grandRow="1" outline="0" fieldPosition="0"/>
    </format>
    <format dxfId="333">
      <pivotArea dataOnly="0" labelOnly="1" outline="0" fieldPosition="0">
        <references count="1">
          <reference field="7" count="0"/>
        </references>
      </pivotArea>
    </format>
    <format dxfId="334">
      <pivotArea dataOnly="0" labelOnly="1" grandCol="1" outline="0" fieldPosition="0"/>
    </format>
    <format dxfId="335">
      <pivotArea outline="0" collapsedLevelsAreSubtotals="1" fieldPosition="0"/>
    </format>
    <format dxfId="336">
      <pivotArea outline="0" collapsedLevelsAreSubtotals="1" fieldPosition="0"/>
    </format>
    <format dxfId="337">
      <pivotArea field="8" type="button" dataOnly="0" labelOnly="1" outline="0" axis="axisCol" fieldPosition="1"/>
    </format>
    <format dxfId="338">
      <pivotArea dataOnly="0" labelOnly="1" outline="0" offset="IV256" fieldPosition="0">
        <references count="1">
          <reference field="7" count="1">
            <x v="0"/>
          </reference>
        </references>
      </pivotArea>
    </format>
    <format dxfId="339">
      <pivotArea dataOnly="0" labelOnly="1" outline="0" offset="IV256" fieldPosition="0">
        <references count="1">
          <reference field="7" count="1">
            <x v="1"/>
          </reference>
        </references>
      </pivotArea>
    </format>
    <format dxfId="340">
      <pivotArea dataOnly="0" labelOnly="1" outline="0" offset="IV256" fieldPosition="0">
        <references count="1">
          <reference field="7" count="1">
            <x v="2"/>
          </reference>
        </references>
      </pivotArea>
    </format>
    <format dxfId="341">
      <pivotArea dataOnly="0" labelOnly="1" outline="0" offset="IV256" fieldPosition="0">
        <references count="1">
          <reference field="7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8D5D6-4EB9-4EF7-A46E-AB978C722A5D}" name="TablaDinámica4" cacheId="1696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ódulo">
  <location ref="A3:B7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Bugs" fld="8" subtotal="count" baseField="26" baseItem="0"/>
  </dataFields>
  <formats count="4">
    <format dxfId="306">
      <pivotArea field="27" type="button" dataOnly="0" labelOnly="1" outline="0" axis="axisRow" fieldPosition="0"/>
    </format>
    <format dxfId="307">
      <pivotArea dataOnly="0" labelOnly="1" outline="0" axis="axisValues" fieldPosition="0"/>
    </format>
    <format dxfId="308">
      <pivotArea field="27" type="button" dataOnly="0" labelOnly="1" outline="0" axis="axisRow" fieldPosition="0"/>
    </format>
    <format dxfId="30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57D92-9931-41AB-9B9C-342E1FB500A7}" name="TablaDinámica7" cacheId="1696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ódulo" colHeaderCaption="Estado">
  <location ref="A19:K24" firstHeaderRow="1" firstDataRow="2" firstDataCol="1"/>
  <pivotFields count="34"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6">
        <item sd="0" x="2"/>
        <item sd="0" x="1"/>
        <item sd="0" x="0"/>
        <item sd="0" x="3"/>
        <item m="1" x="4"/>
        <item t="default"/>
      </items>
    </pivotField>
    <pivotField axis="axisCol" showAll="0">
      <items count="12">
        <item x="5"/>
        <item x="3"/>
        <item x="1"/>
        <item x="4"/>
        <item m="1" x="9"/>
        <item x="8"/>
        <item x="0"/>
        <item x="2"/>
        <item x="6"/>
        <item x="7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7"/>
  </rowFields>
  <rowItems count="4">
    <i>
      <x/>
    </i>
    <i>
      <x v="1"/>
    </i>
    <i>
      <x v="2"/>
    </i>
    <i t="grand">
      <x/>
    </i>
  </rowItems>
  <colFields count="1">
    <field x="8"/>
  </colFields>
  <colItems count="1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BUGS X " fld="27" subtotal="count" baseField="0" baseItem="0"/>
  </dataFields>
  <formats count="20">
    <format dxfId="286">
      <pivotArea type="origin" dataOnly="0" labelOnly="1" outline="0" offset="A1" fieldPosition="0"/>
    </format>
    <format dxfId="287">
      <pivotArea field="7" type="button" dataOnly="0" labelOnly="1" outline="0"/>
    </format>
    <format dxfId="288">
      <pivotArea type="origin" dataOnly="0" labelOnly="1" outline="0" fieldPosition="0"/>
    </format>
    <format dxfId="289">
      <pivotArea field="7" type="button" dataOnly="0" labelOnly="1" outline="0"/>
    </format>
    <format dxfId="290">
      <pivotArea type="all" dataOnly="0" outline="0" fieldPosition="0"/>
    </format>
    <format dxfId="291">
      <pivotArea outline="0" collapsedLevelsAreSubtotals="1" fieldPosition="0"/>
    </format>
    <format dxfId="292">
      <pivotArea type="origin" dataOnly="0" labelOnly="1" outline="0" fieldPosition="0"/>
    </format>
    <format dxfId="293">
      <pivotArea field="7" type="button" dataOnly="0" labelOnly="1" outline="0"/>
    </format>
    <format dxfId="294">
      <pivotArea field="8" type="button" dataOnly="0" labelOnly="1" outline="0" axis="axisCol" fieldPosition="0"/>
    </format>
    <format dxfId="295">
      <pivotArea type="topRight" dataOnly="0" labelOnly="1" outline="0" fieldPosition="0"/>
    </format>
    <format dxfId="296">
      <pivotArea field="27" type="button" dataOnly="0" labelOnly="1" outline="0" axis="axisRow" fieldPosition="0"/>
    </format>
    <format dxfId="297">
      <pivotArea dataOnly="0" labelOnly="1" fieldPosition="0">
        <references count="1">
          <reference field="27" count="0"/>
        </references>
      </pivotArea>
    </format>
    <format dxfId="298">
      <pivotArea dataOnly="0" labelOnly="1" grandRow="1" outline="0" fieldPosition="0"/>
    </format>
    <format dxfId="299">
      <pivotArea dataOnly="0" labelOnly="1" grandCol="1" outline="0" fieldPosition="0"/>
    </format>
    <format dxfId="300">
      <pivotArea outline="0" collapsedLevelsAreSubtotals="1" fieldPosition="0"/>
    </format>
    <format dxfId="301">
      <pivotArea outline="0" collapsedLevelsAreSubtotals="1" fieldPosition="0"/>
    </format>
    <format dxfId="302">
      <pivotArea dataOnly="0" labelOnly="1" grandCol="1" outline="0" offset="IV1" fieldPosition="0"/>
    </format>
    <format dxfId="303">
      <pivotArea dataOnly="0" labelOnly="1" grandCol="1" outline="0" fieldPosition="0"/>
    </format>
    <format dxfId="304">
      <pivotArea field="8" type="button" dataOnly="0" labelOnly="1" outline="0" axis="axisCol" fieldPosition="0"/>
    </format>
    <format dxfId="30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58FCB-60C0-469F-8E0E-3BCD8D39C73F}" name="TablaDinámica6" cacheId="1696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Módulo" colHeaderCaption="Prioridad">
  <location ref="A10:F16" firstHeaderRow="1" firstDataRow="3" firstDataCol="1"/>
  <pivotFields count="34"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6">
        <item sd="0" x="2"/>
        <item sd="0" x="1"/>
        <item sd="0" x="0"/>
        <item sd="0" x="3"/>
        <item m="1" x="4"/>
        <item t="default"/>
      </items>
    </pivotField>
    <pivotField axis="axisCol" showAll="0">
      <items count="12">
        <item x="5"/>
        <item x="3"/>
        <item x="1"/>
        <item x="4"/>
        <item m="1" x="9"/>
        <item x="8"/>
        <item x="0"/>
        <item x="2"/>
        <item x="6"/>
        <item x="7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7"/>
  </rowFields>
  <rowItems count="4">
    <i>
      <x/>
    </i>
    <i>
      <x v="1"/>
    </i>
    <i>
      <x v="2"/>
    </i>
    <i t="grand">
      <x/>
    </i>
  </rowItems>
  <colFields count="2">
    <field x="7"/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BUGS X " fld="27" subtotal="count" baseField="0" baseItem="0"/>
  </dataFields>
  <formats count="27">
    <format dxfId="259">
      <pivotArea type="origin" dataOnly="0" labelOnly="1" outline="0" offset="A1" fieldPosition="0"/>
    </format>
    <format dxfId="260">
      <pivotArea field="7" type="button" dataOnly="0" labelOnly="1" outline="0" axis="axisCol" fieldPosition="0"/>
    </format>
    <format dxfId="261">
      <pivotArea type="origin" dataOnly="0" labelOnly="1" outline="0" fieldPosition="0"/>
    </format>
    <format dxfId="262">
      <pivotArea field="7" type="button" dataOnly="0" labelOnly="1" outline="0" axis="axisCol" fieldPosition="0"/>
    </format>
    <format dxfId="263">
      <pivotArea type="all" dataOnly="0" outline="0" fieldPosition="0"/>
    </format>
    <format dxfId="264">
      <pivotArea outline="0" collapsedLevelsAreSubtotals="1" fieldPosition="0"/>
    </format>
    <format dxfId="265">
      <pivotArea type="origin" dataOnly="0" labelOnly="1" outline="0" fieldPosition="0"/>
    </format>
    <format dxfId="266">
      <pivotArea field="7" type="button" dataOnly="0" labelOnly="1" outline="0" axis="axisCol" fieldPosition="0"/>
    </format>
    <format dxfId="267">
      <pivotArea field="8" type="button" dataOnly="0" labelOnly="1" outline="0" axis="axisCol" fieldPosition="1"/>
    </format>
    <format dxfId="268">
      <pivotArea type="topRight" dataOnly="0" labelOnly="1" outline="0" fieldPosition="0"/>
    </format>
    <format dxfId="269">
      <pivotArea field="27" type="button" dataOnly="0" labelOnly="1" outline="0" axis="axisRow" fieldPosition="0"/>
    </format>
    <format dxfId="270">
      <pivotArea dataOnly="0" labelOnly="1" fieldPosition="0">
        <references count="1">
          <reference field="27" count="0"/>
        </references>
      </pivotArea>
    </format>
    <format dxfId="271">
      <pivotArea dataOnly="0" labelOnly="1" grandRow="1" outline="0" fieldPosition="0"/>
    </format>
    <format dxfId="272">
      <pivotArea dataOnly="0" labelOnly="1" fieldPosition="0">
        <references count="1">
          <reference field="7" count="0"/>
        </references>
      </pivotArea>
    </format>
    <format dxfId="273">
      <pivotArea dataOnly="0" labelOnly="1" grandCol="1" outline="0" fieldPosition="0"/>
    </format>
    <format dxfId="274">
      <pivotArea outline="0" collapsedLevelsAreSubtotals="1" fieldPosition="0"/>
    </format>
    <format dxfId="275">
      <pivotArea outline="0" collapsedLevelsAreSubtotals="1" fieldPosition="0"/>
    </format>
    <format dxfId="276">
      <pivotArea dataOnly="0" labelOnly="1" offset="IV1" fieldPosition="0">
        <references count="1">
          <reference field="7" count="1">
            <x v="0"/>
          </reference>
        </references>
      </pivotArea>
    </format>
    <format dxfId="277">
      <pivotArea dataOnly="0" labelOnly="1" offset="IV1" fieldPosition="0">
        <references count="1">
          <reference field="7" count="1">
            <x v="1"/>
          </reference>
        </references>
      </pivotArea>
    </format>
    <format dxfId="278">
      <pivotArea dataOnly="0" labelOnly="1" offset="IV1" fieldPosition="0">
        <references count="1">
          <reference field="7" count="1">
            <x v="2"/>
          </reference>
        </references>
      </pivotArea>
    </format>
    <format dxfId="279">
      <pivotArea dataOnly="0" labelOnly="1" offset="IV1" fieldPosition="0">
        <references count="1">
          <reference field="7" count="1">
            <x v="3"/>
          </reference>
        </references>
      </pivotArea>
    </format>
    <format dxfId="280">
      <pivotArea dataOnly="0" labelOnly="1" grandCol="1" outline="0" offset="IV1" fieldPosition="0"/>
    </format>
    <format dxfId="281">
      <pivotArea dataOnly="0" labelOnly="1" fieldPosition="0">
        <references count="1">
          <reference field="7" count="1">
            <x v="0"/>
          </reference>
        </references>
      </pivotArea>
    </format>
    <format dxfId="282">
      <pivotArea dataOnly="0" labelOnly="1" fieldPosition="0">
        <references count="1">
          <reference field="7" count="1">
            <x v="1"/>
          </reference>
        </references>
      </pivotArea>
    </format>
    <format dxfId="283">
      <pivotArea dataOnly="0" labelOnly="1" fieldPosition="0">
        <references count="1">
          <reference field="7" count="1">
            <x v="2"/>
          </reference>
        </references>
      </pivotArea>
    </format>
    <format dxfId="284">
      <pivotArea dataOnly="0" labelOnly="1" fieldPosition="0">
        <references count="1">
          <reference field="7" count="1">
            <x v="3"/>
          </reference>
        </references>
      </pivotArea>
    </format>
    <format dxfId="28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4ED7E-B697-44CF-81B8-ABFBF7C4E58C}" name="TablaDinámica10" cacheId="16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Estatus">
  <location ref="AE5:AJ15" firstHeaderRow="1" firstDataRow="2" firstDataCol="1"/>
  <pivotFields count="34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m="1" x="4"/>
        <item t="default"/>
      </items>
    </pivotField>
    <pivotField axis="axisCol" dataField="1" showAll="0">
      <items count="12">
        <item h="1" x="5"/>
        <item x="3"/>
        <item x="1"/>
        <item h="1" m="1" x="9"/>
        <item x="4"/>
        <item x="8"/>
        <item h="1" x="0"/>
        <item h="1" x="2"/>
        <item h="1" x="6"/>
        <item h="1" x="7"/>
        <item h="1"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sd="0" x="0"/>
        <item sd="0" x="5"/>
        <item sd="0" x="4"/>
        <item sd="0" x="3"/>
        <item sd="0" x="2"/>
        <item x="1"/>
        <item m="1" x="6"/>
        <item t="default"/>
      </items>
    </pivotField>
    <pivotField showAll="0"/>
    <pivotField showAll="0"/>
    <pivotField showAll="0"/>
  </pivotFields>
  <rowFields count="2">
    <field x="30"/>
    <field x="7"/>
  </rowFields>
  <rowItems count="9">
    <i>
      <x/>
    </i>
    <i>
      <x v="1"/>
    </i>
    <i>
      <x v="2"/>
    </i>
    <i>
      <x v="3"/>
    </i>
    <i>
      <x v="4"/>
    </i>
    <i>
      <x v="5"/>
    </i>
    <i r="1">
      <x/>
    </i>
    <i r="1">
      <x v="3"/>
    </i>
    <i t="grand">
      <x/>
    </i>
  </rowItems>
  <colFields count="1">
    <field x="8"/>
  </colFields>
  <colItems count="5">
    <i>
      <x v="1"/>
    </i>
    <i>
      <x v="2"/>
    </i>
    <i>
      <x v="4"/>
    </i>
    <i>
      <x v="5"/>
    </i>
    <i t="grand">
      <x/>
    </i>
  </colItems>
  <dataFields count="1">
    <dataField name="Bugs X Sprint - Pendientes" fld="8" subtotal="count" baseField="0" baseItem="0"/>
  </dataFields>
  <formats count="34">
    <format dxfId="225">
      <pivotArea type="all" dataOnly="0" outline="0" fieldPosition="0"/>
    </format>
    <format dxfId="226">
      <pivotArea outline="0" collapsedLevelsAreSubtotals="1" fieldPosition="0"/>
    </format>
    <format dxfId="227">
      <pivotArea type="origin" dataOnly="0" labelOnly="1" outline="0" fieldPosition="0"/>
    </format>
    <format dxfId="228">
      <pivotArea field="8" type="button" dataOnly="0" labelOnly="1" outline="0" axis="axisCol" fieldPosition="0"/>
    </format>
    <format dxfId="229">
      <pivotArea type="topRight" dataOnly="0" labelOnly="1" outline="0" fieldPosition="0"/>
    </format>
    <format dxfId="230">
      <pivotArea field="30" type="button" dataOnly="0" labelOnly="1" outline="0" axis="axisRow" fieldPosition="0"/>
    </format>
    <format dxfId="231">
      <pivotArea dataOnly="0" labelOnly="1" fieldPosition="0">
        <references count="1">
          <reference field="30" count="0"/>
        </references>
      </pivotArea>
    </format>
    <format dxfId="232">
      <pivotArea dataOnly="0" labelOnly="1" grandRow="1" outline="0" fieldPosition="0"/>
    </format>
    <format dxfId="233">
      <pivotArea dataOnly="0" labelOnly="1" fieldPosition="0">
        <references count="2">
          <reference field="7" count="3">
            <x v="0"/>
            <x v="1"/>
            <x v="3"/>
          </reference>
          <reference field="30" count="1" selected="0">
            <x v="0"/>
          </reference>
        </references>
      </pivotArea>
    </format>
    <format dxfId="234">
      <pivotArea dataOnly="0" labelOnly="1" fieldPosition="0">
        <references count="2">
          <reference field="7" count="0"/>
          <reference field="30" count="1" selected="0">
            <x v="1"/>
          </reference>
        </references>
      </pivotArea>
    </format>
    <format dxfId="235">
      <pivotArea dataOnly="0" labelOnly="1" fieldPosition="0">
        <references count="2">
          <reference field="7" count="0"/>
          <reference field="30" count="1" selected="0">
            <x v="2"/>
          </reference>
        </references>
      </pivotArea>
    </format>
    <format dxfId="236">
      <pivotArea dataOnly="0" labelOnly="1" fieldPosition="0">
        <references count="2">
          <reference field="7" count="3">
            <x v="0"/>
            <x v="1"/>
            <x v="3"/>
          </reference>
          <reference field="30" count="1" selected="0">
            <x v="3"/>
          </reference>
        </references>
      </pivotArea>
    </format>
    <format dxfId="237">
      <pivotArea dataOnly="0" labelOnly="1" fieldPosition="0">
        <references count="2">
          <reference field="7" count="3">
            <x v="0"/>
            <x v="2"/>
            <x v="3"/>
          </reference>
          <reference field="30" count="1" selected="0">
            <x v="4"/>
          </reference>
        </references>
      </pivotArea>
    </format>
    <format dxfId="238">
      <pivotArea dataOnly="0" labelOnly="1" fieldPosition="0">
        <references count="1">
          <reference field="8" count="0"/>
        </references>
      </pivotArea>
    </format>
    <format dxfId="239">
      <pivotArea dataOnly="0" labelOnly="1" grandCol="1" outline="0" fieldPosition="0"/>
    </format>
    <format dxfId="240">
      <pivotArea type="origin" dataOnly="0" labelOnly="1" outline="0" fieldPosition="0"/>
    </format>
    <format dxfId="241">
      <pivotArea field="8" type="button" dataOnly="0" labelOnly="1" outline="0" axis="axisCol" fieldPosition="0"/>
    </format>
    <format dxfId="242">
      <pivotArea type="topRight" dataOnly="0" labelOnly="1" outline="0" fieldPosition="0"/>
    </format>
    <format dxfId="243">
      <pivotArea type="origin" dataOnly="0" labelOnly="1" outline="0" fieldPosition="0"/>
    </format>
    <format dxfId="244">
      <pivotArea field="8" type="button" dataOnly="0" labelOnly="1" outline="0" axis="axisCol" fieldPosition="0"/>
    </format>
    <format dxfId="245">
      <pivotArea type="topRight" dataOnly="0" labelOnly="1" outline="0" fieldPosition="0"/>
    </format>
    <format dxfId="246">
      <pivotArea type="origin" dataOnly="0" labelOnly="1" outline="0" fieldPosition="0"/>
    </format>
    <format dxfId="247">
      <pivotArea field="8" type="button" dataOnly="0" labelOnly="1" outline="0" axis="axisCol" fieldPosition="0"/>
    </format>
    <format dxfId="248">
      <pivotArea type="topRight" dataOnly="0" labelOnly="1" outline="0" fieldPosition="0"/>
    </format>
    <format dxfId="249">
      <pivotArea field="30" type="button" dataOnly="0" labelOnly="1" outline="0" axis="axisRow" fieldPosition="0"/>
    </format>
    <format dxfId="250">
      <pivotArea dataOnly="0" labelOnly="1" fieldPosition="0">
        <references count="1">
          <reference field="8" count="0"/>
        </references>
      </pivotArea>
    </format>
    <format dxfId="251">
      <pivotArea dataOnly="0" labelOnly="1" grandCol="1" outline="0" fieldPosition="0"/>
    </format>
    <format dxfId="252">
      <pivotArea field="30" type="button" dataOnly="0" labelOnly="1" outline="0" axis="axisRow" fieldPosition="0"/>
    </format>
    <format dxfId="253">
      <pivotArea dataOnly="0" labelOnly="1" fieldPosition="0">
        <references count="1">
          <reference field="8" count="0"/>
        </references>
      </pivotArea>
    </format>
    <format dxfId="254">
      <pivotArea dataOnly="0" labelOnly="1" grandCol="1" outline="0" fieldPosition="0"/>
    </format>
    <format dxfId="255">
      <pivotArea grandRow="1" grandCol="1" outline="0" collapsedLevelsAreSubtotals="1" fieldPosition="0"/>
    </format>
    <format dxfId="256">
      <pivotArea grandRow="1" grandCol="1" outline="0" collapsedLevelsAreSubtotals="1" fieldPosition="0"/>
    </format>
    <format dxfId="257">
      <pivotArea outline="0" collapsedLevelsAreSubtotals="1" fieldPosition="0"/>
    </format>
    <format dxfId="2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F167A-4741-408E-99E9-7FC0E62213A0}" name="Tabla dinámica4" cacheId="16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P5:AA13" firstHeaderRow="1" firstDataRow="2" firstDataCol="2"/>
  <pivotFields count="3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12">
        <item x="2"/>
        <item x="5"/>
        <item x="1"/>
        <item x="6"/>
        <item m="1" x="9"/>
        <item x="4"/>
        <item x="8"/>
        <item x="0"/>
        <item x="3"/>
        <item x="7"/>
        <item m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5"/>
        <item x="4"/>
        <item x="3"/>
        <item x="2"/>
        <item x="1"/>
        <item m="1" x="6"/>
        <item t="default"/>
      </items>
    </pivotField>
    <pivotField axis="axisRow" compact="0" outline="0" showAll="0">
      <items count="7">
        <item sd="0" x="2"/>
        <item sd="0" x="5"/>
        <item sd="0" x="0"/>
        <item sd="0" x="3"/>
        <item sd="0" x="1"/>
        <item sd="0" x="4"/>
        <item t="default"/>
      </items>
    </pivotField>
    <pivotField compact="0" outline="0" showAll="0"/>
    <pivotField axis="axisRow" compact="0" outline="0" showAll="0">
      <items count="10">
        <item m="1" x="8"/>
        <item x="5"/>
        <item x="3"/>
        <item x="4"/>
        <item x="0"/>
        <item x="2"/>
        <item x="1"/>
        <item m="1" x="7"/>
        <item m="1" x="6"/>
        <item t="default"/>
      </items>
    </pivotField>
  </pivotFields>
  <rowFields count="2">
    <field x="31"/>
    <field x="3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1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Recuento de Estado" fld="8" subtotal="count" baseField="0" baseItem="0"/>
  </dataFields>
  <formats count="4">
    <format dxfId="221">
      <pivotArea field="30" type="button" dataOnly="0" labelOnly="1" outline="0"/>
    </format>
    <format dxfId="222">
      <pivotArea dataOnly="0" labelOnly="1" grandCol="1" outline="0" fieldPosition="0"/>
    </format>
    <format dxfId="223">
      <pivotArea field="30" type="button" dataOnly="0" labelOnly="1" outline="0"/>
    </format>
    <format dxfId="2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1E511-FF7E-43A3-9C0D-5A59217C4A82}" name="TablaDinámica17" cacheId="1696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olHeaderCaption="Estatus">
  <location ref="AN5:AS11" firstHeaderRow="1" firstDataRow="2" firstDataCol="1"/>
  <pivotFields count="34"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2"/>
        <item x="1"/>
        <item x="0"/>
        <item x="3"/>
        <item m="1" x="4"/>
        <item t="default"/>
      </items>
    </pivotField>
    <pivotField axis="axisRow" showAll="0">
      <items count="12">
        <item h="1" x="5"/>
        <item x="3"/>
        <item x="1"/>
        <item h="1" m="1" x="9"/>
        <item x="4"/>
        <item x="8"/>
        <item h="1" x="0"/>
        <item h="1" x="2"/>
        <item h="1" x="6"/>
        <item h="1" x="7"/>
        <item h="1"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sd="0" x="0"/>
        <item sd="0" x="5"/>
        <item sd="0" x="4"/>
        <item sd="0" x="3"/>
        <item sd="0" x="2"/>
        <item x="1"/>
        <item m="1" x="6"/>
        <item t="default"/>
      </items>
    </pivotField>
    <pivotField showAll="0"/>
    <pivotField showAll="0"/>
    <pivotField showAll="0"/>
  </pivotFields>
  <rowFields count="1">
    <field x="8"/>
  </rowFields>
  <rowItems count="5">
    <i>
      <x v="1"/>
    </i>
    <i>
      <x v="2"/>
    </i>
    <i>
      <x v="4"/>
    </i>
    <i>
      <x v="5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Prioridad" fld="7" subtotal="count" baseField="0" baseItem="0"/>
  </dataFields>
  <formats count="55">
    <format dxfId="166">
      <pivotArea type="all" dataOnly="0" outline="0" fieldPosition="0"/>
    </format>
    <format dxfId="167">
      <pivotArea outline="0" collapsedLevelsAreSubtotals="1" fieldPosition="0"/>
    </format>
    <format dxfId="168">
      <pivotArea type="origin" dataOnly="0" labelOnly="1" outline="0" fieldPosition="0"/>
    </format>
    <format dxfId="169">
      <pivotArea field="8" type="button" dataOnly="0" labelOnly="1" outline="0" axis="axisRow" fieldPosition="0"/>
    </format>
    <format dxfId="170">
      <pivotArea type="topRight" dataOnly="0" labelOnly="1" outline="0" fieldPosition="0"/>
    </format>
    <format dxfId="171">
      <pivotArea field="30" type="button" dataOnly="0" labelOnly="1" outline="0"/>
    </format>
    <format dxfId="172">
      <pivotArea dataOnly="0" labelOnly="1" grandRow="1" outline="0" fieldPosition="0"/>
    </format>
    <format dxfId="173">
      <pivotArea dataOnly="0" labelOnly="1" grandCol="1" outline="0" fieldPosition="0"/>
    </format>
    <format dxfId="174">
      <pivotArea type="origin" dataOnly="0" labelOnly="1" outline="0" fieldPosition="0"/>
    </format>
    <format dxfId="175">
      <pivotArea field="8" type="button" dataOnly="0" labelOnly="1" outline="0" axis="axisRow" fieldPosition="0"/>
    </format>
    <format dxfId="176">
      <pivotArea type="topRight" dataOnly="0" labelOnly="1" outline="0" fieldPosition="0"/>
    </format>
    <format dxfId="177">
      <pivotArea type="origin" dataOnly="0" labelOnly="1" outline="0" fieldPosition="0"/>
    </format>
    <format dxfId="178">
      <pivotArea field="8" type="button" dataOnly="0" labelOnly="1" outline="0" axis="axisRow" fieldPosition="0"/>
    </format>
    <format dxfId="179">
      <pivotArea type="topRight" dataOnly="0" labelOnly="1" outline="0" fieldPosition="0"/>
    </format>
    <format dxfId="180">
      <pivotArea type="origin" dataOnly="0" labelOnly="1" outline="0" fieldPosition="0"/>
    </format>
    <format dxfId="181">
      <pivotArea field="8" type="button" dataOnly="0" labelOnly="1" outline="0" axis="axisRow" fieldPosition="0"/>
    </format>
    <format dxfId="182">
      <pivotArea type="topRight" dataOnly="0" labelOnly="1" outline="0" fieldPosition="0"/>
    </format>
    <format dxfId="183">
      <pivotArea field="30" type="button" dataOnly="0" labelOnly="1" outline="0"/>
    </format>
    <format dxfId="184">
      <pivotArea dataOnly="0" labelOnly="1" grandCol="1" outline="0" fieldPosition="0"/>
    </format>
    <format dxfId="185">
      <pivotArea field="30" type="button" dataOnly="0" labelOnly="1" outline="0"/>
    </format>
    <format dxfId="186">
      <pivotArea dataOnly="0" labelOnly="1" grandCol="1" outline="0" fieldPosition="0"/>
    </format>
    <format dxfId="187">
      <pivotArea grandRow="1" grandCol="1" outline="0" collapsedLevelsAreSubtotals="1" fieldPosition="0"/>
    </format>
    <format dxfId="188">
      <pivotArea grandRow="1" grandCol="1" outline="0" collapsedLevelsAreSubtotals="1" fieldPosition="0"/>
    </format>
    <format dxfId="189">
      <pivotArea field="7" type="button" dataOnly="0" labelOnly="1" outline="0" axis="axisCol" fieldPosition="0"/>
    </format>
    <format dxfId="190">
      <pivotArea dataOnly="0" labelOnly="1" fieldPosition="0">
        <references count="1">
          <reference field="7" count="0"/>
        </references>
      </pivotArea>
    </format>
    <format dxfId="191">
      <pivotArea outline="0" collapsedLevelsAreSubtotals="1" fieldPosition="0">
        <references count="1">
          <reference field="7" count="1" selected="0">
            <x v="0"/>
          </reference>
        </references>
      </pivotArea>
    </format>
    <format dxfId="192">
      <pivotArea dataOnly="0" labelOnly="1" fieldPosition="0">
        <references count="1">
          <reference field="7" count="1">
            <x v="0"/>
          </reference>
        </references>
      </pivotArea>
    </format>
    <format dxfId="193">
      <pivotArea outline="0" collapsedLevelsAreSubtotals="1" fieldPosition="0">
        <references count="1">
          <reference field="7" count="1" selected="0">
            <x v="0"/>
          </reference>
        </references>
      </pivotArea>
    </format>
    <format dxfId="194">
      <pivotArea dataOnly="0" labelOnly="1" fieldPosition="0">
        <references count="1">
          <reference field="7" count="1">
            <x v="0"/>
          </reference>
        </references>
      </pivotArea>
    </format>
    <format dxfId="195">
      <pivotArea outline="0" collapsedLevelsAreSubtotals="1" fieldPosition="0">
        <references count="1">
          <reference field="7" count="1" selected="0">
            <x v="1"/>
          </reference>
        </references>
      </pivotArea>
    </format>
    <format dxfId="196">
      <pivotArea dataOnly="0" labelOnly="1" fieldPosition="0">
        <references count="1">
          <reference field="7" count="1">
            <x v="1"/>
          </reference>
        </references>
      </pivotArea>
    </format>
    <format dxfId="197">
      <pivotArea outline="0" collapsedLevelsAreSubtotals="1" fieldPosition="0">
        <references count="1">
          <reference field="7" count="1" selected="0">
            <x v="1"/>
          </reference>
        </references>
      </pivotArea>
    </format>
    <format dxfId="198">
      <pivotArea dataOnly="0" labelOnly="1" fieldPosition="0">
        <references count="1">
          <reference field="7" count="1">
            <x v="1"/>
          </reference>
        </references>
      </pivotArea>
    </format>
    <format dxfId="199">
      <pivotArea outline="0" collapsedLevelsAreSubtotals="1" fieldPosition="0">
        <references count="1">
          <reference field="7" count="1" selected="0">
            <x v="2"/>
          </reference>
        </references>
      </pivotArea>
    </format>
    <format dxfId="200">
      <pivotArea dataOnly="0" labelOnly="1" fieldPosition="0">
        <references count="1">
          <reference field="7" count="1">
            <x v="2"/>
          </reference>
        </references>
      </pivotArea>
    </format>
    <format dxfId="201">
      <pivotArea outline="0" collapsedLevelsAreSubtotals="1" fieldPosition="0">
        <references count="1">
          <reference field="7" count="1" selected="0">
            <x v="2"/>
          </reference>
        </references>
      </pivotArea>
    </format>
    <format dxfId="202">
      <pivotArea dataOnly="0" labelOnly="1" fieldPosition="0">
        <references count="1">
          <reference field="7" count="1">
            <x v="2"/>
          </reference>
        </references>
      </pivotArea>
    </format>
    <format dxfId="203">
      <pivotArea outline="0" collapsedLevelsAreSubtotals="1" fieldPosition="0">
        <references count="1">
          <reference field="7" count="1" selected="0">
            <x v="3"/>
          </reference>
        </references>
      </pivotArea>
    </format>
    <format dxfId="204">
      <pivotArea dataOnly="0" labelOnly="1" fieldPosition="0">
        <references count="1">
          <reference field="7" count="1">
            <x v="3"/>
          </reference>
        </references>
      </pivotArea>
    </format>
    <format dxfId="205">
      <pivotArea outline="0" collapsedLevelsAreSubtotals="1" fieldPosition="0">
        <references count="1">
          <reference field="7" count="1" selected="0">
            <x v="3"/>
          </reference>
        </references>
      </pivotArea>
    </format>
    <format dxfId="206">
      <pivotArea dataOnly="0" labelOnly="1" fieldPosition="0">
        <references count="1">
          <reference field="7" count="1">
            <x v="3"/>
          </reference>
        </references>
      </pivotArea>
    </format>
    <format dxfId="207">
      <pivotArea grandCol="1" outline="0" collapsedLevelsAreSubtotals="1" fieldPosition="0"/>
    </format>
    <format dxfId="208">
      <pivotArea dataOnly="0" labelOnly="1" grandCol="1" outline="0" fieldPosition="0"/>
    </format>
    <format dxfId="209">
      <pivotArea grandCol="1" outline="0" collapsedLevelsAreSubtotals="1" fieldPosition="0"/>
    </format>
    <format dxfId="210">
      <pivotArea dataOnly="0" labelOnly="1" grandCol="1" outline="0" fieldPosition="0"/>
    </format>
    <format dxfId="211">
      <pivotArea grandRow="1" grandCol="1" outline="0" collapsedLevelsAreSubtotals="1" fieldPosition="0"/>
    </format>
    <format dxfId="212">
      <pivotArea dataOnly="0" grandCol="1" outline="0" axis="axisCol" fieldPosition="0"/>
    </format>
    <format dxfId="213">
      <pivotArea field="7" dataOnly="0" grandCol="1" outline="0" axis="axisCol" fieldPosition="0">
        <references count="1">
          <reference field="7" count="0"/>
        </references>
      </pivotArea>
    </format>
    <format dxfId="214">
      <pivotArea field="7" dataOnly="0" grandCol="1" outline="0" axis="axisCol" fieldPosition="0">
        <references count="1">
          <reference field="7" count="0"/>
        </references>
      </pivotArea>
    </format>
    <format dxfId="215">
      <pivotArea outline="0" collapsedLevelsAreSubtotals="1" fieldPosition="0"/>
    </format>
    <format dxfId="216">
      <pivotArea dataOnly="0" labelOnly="1" fieldPosition="0">
        <references count="1">
          <reference field="7" count="0"/>
        </references>
      </pivotArea>
    </format>
    <format dxfId="217">
      <pivotArea dataOnly="0" labelOnly="1" grandCol="1" outline="0" fieldPosition="0"/>
    </format>
    <format dxfId="218">
      <pivotArea outline="0" collapsedLevelsAreSubtotals="1" fieldPosition="0"/>
    </format>
    <format dxfId="219">
      <pivotArea dataOnly="0" labelOnly="1" fieldPosition="0">
        <references count="1">
          <reference field="7" count="0"/>
        </references>
      </pivotArea>
    </format>
    <format dxfId="2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0037F-9FE4-4BDB-9412-5105E60A04E9}" name="TablaDinámica14" cacheId="1696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8" indent="0" outline="1" outlineData="1" multipleFieldFilters="0" rowHeaderCaption="SPRINT" colHeaderCaption="ESTADO">
  <location ref="A5:K13" firstHeaderRow="1" firstDataRow="2" firstDataCol="1"/>
  <pivotFields count="34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m="1" x="4"/>
        <item t="default"/>
      </items>
    </pivotField>
    <pivotField axis="axisCol" dataField="1" showAll="0">
      <items count="12">
        <item x="5"/>
        <item x="3"/>
        <item x="1"/>
        <item x="4"/>
        <item x="8"/>
        <item x="0"/>
        <item m="1" x="9"/>
        <item x="2"/>
        <item x="6"/>
        <item x="7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sd="0" x="0"/>
        <item sd="0" x="5"/>
        <item sd="0" x="4"/>
        <item sd="0" x="3"/>
        <item sd="0" x="2"/>
        <item sd="0" x="1"/>
        <item m="1" x="6"/>
        <item t="default"/>
      </items>
    </pivotField>
    <pivotField showAll="0"/>
    <pivotField showAll="0"/>
    <pivotField showAll="0"/>
  </pivotFields>
  <rowFields count="2">
    <field x="30"/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10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 t="grand">
      <x/>
    </i>
  </colItems>
  <dataFields count="1">
    <dataField name="BUGS     X" fld="8" subtotal="count" baseField="0" baseItem="0"/>
  </dataFields>
  <formats count="44">
    <format dxfId="122">
      <pivotArea type="all" dataOnly="0" outline="0" fieldPosition="0"/>
    </format>
    <format dxfId="123">
      <pivotArea outline="0" collapsedLevelsAreSubtotals="1" fieldPosition="0"/>
    </format>
    <format dxfId="124">
      <pivotArea type="origin" dataOnly="0" labelOnly="1" outline="0" fieldPosition="0"/>
    </format>
    <format dxfId="125">
      <pivotArea field="8" type="button" dataOnly="0" labelOnly="1" outline="0" axis="axisCol" fieldPosition="0"/>
    </format>
    <format dxfId="126">
      <pivotArea type="topRight" dataOnly="0" labelOnly="1" outline="0" fieldPosition="0"/>
    </format>
    <format dxfId="127">
      <pivotArea field="30" type="button" dataOnly="0" labelOnly="1" outline="0" axis="axisRow" fieldPosition="0"/>
    </format>
    <format dxfId="128">
      <pivotArea dataOnly="0" labelOnly="1" fieldPosition="0">
        <references count="1">
          <reference field="30" count="0"/>
        </references>
      </pivotArea>
    </format>
    <format dxfId="129">
      <pivotArea dataOnly="0" labelOnly="1" grandRow="1" outline="0" fieldPosition="0"/>
    </format>
    <format dxfId="130">
      <pivotArea dataOnly="0" labelOnly="1" fieldPosition="0">
        <references count="1">
          <reference field="8" count="0"/>
        </references>
      </pivotArea>
    </format>
    <format dxfId="131">
      <pivotArea dataOnly="0" labelOnly="1" grandCol="1" outline="0" fieldPosition="0"/>
    </format>
    <format dxfId="132">
      <pivotArea type="origin" dataOnly="0" labelOnly="1" outline="0" fieldPosition="0"/>
    </format>
    <format dxfId="133">
      <pivotArea field="8" type="button" dataOnly="0" labelOnly="1" outline="0" axis="axisCol" fieldPosition="0"/>
    </format>
    <format dxfId="134">
      <pivotArea type="topRight" dataOnly="0" labelOnly="1" outline="0" fieldPosition="0"/>
    </format>
    <format dxfId="135">
      <pivotArea type="origin" dataOnly="0" labelOnly="1" outline="0" fieldPosition="0"/>
    </format>
    <format dxfId="136">
      <pivotArea field="8" type="button" dataOnly="0" labelOnly="1" outline="0" axis="axisCol" fieldPosition="0"/>
    </format>
    <format dxfId="137">
      <pivotArea type="topRight" dataOnly="0" labelOnly="1" outline="0" fieldPosition="0"/>
    </format>
    <format dxfId="138">
      <pivotArea field="30" type="button" dataOnly="0" labelOnly="1" outline="0" axis="axisRow" fieldPosition="0"/>
    </format>
    <format dxfId="139">
      <pivotArea dataOnly="0" labelOnly="1" fieldPosition="0">
        <references count="1">
          <reference field="8" count="0"/>
        </references>
      </pivotArea>
    </format>
    <format dxfId="140">
      <pivotArea dataOnly="0" labelOnly="1" grandCol="1" outline="0" fieldPosition="0"/>
    </format>
    <format dxfId="141">
      <pivotArea field="30" type="button" dataOnly="0" labelOnly="1" outline="0" axis="axisRow" fieldPosition="0"/>
    </format>
    <format dxfId="142">
      <pivotArea dataOnly="0" labelOnly="1" fieldPosition="0">
        <references count="1">
          <reference field="8" count="0"/>
        </references>
      </pivotArea>
    </format>
    <format dxfId="143">
      <pivotArea dataOnly="0" labelOnly="1" grandCol="1" outline="0" fieldPosition="0"/>
    </format>
    <format dxfId="144">
      <pivotArea grandRow="1" grandCol="1" outline="0" collapsedLevelsAreSubtotals="1" fieldPosition="0"/>
    </format>
    <format dxfId="145">
      <pivotArea grandRow="1" grandCol="1" outline="0" collapsedLevelsAreSubtotals="1" fieldPosition="0"/>
    </format>
    <format dxfId="146">
      <pivotArea type="all" dataOnly="0" outline="0" fieldPosition="0"/>
    </format>
    <format dxfId="147">
      <pivotArea outline="0" collapsedLevelsAreSubtotals="1" fieldPosition="0"/>
    </format>
    <format dxfId="148">
      <pivotArea type="origin" dataOnly="0" labelOnly="1" outline="0" fieldPosition="0"/>
    </format>
    <format dxfId="149">
      <pivotArea field="8" type="button" dataOnly="0" labelOnly="1" outline="0" axis="axisCol" fieldPosition="0"/>
    </format>
    <format dxfId="150">
      <pivotArea type="topRight" dataOnly="0" labelOnly="1" outline="0" fieldPosition="0"/>
    </format>
    <format dxfId="151">
      <pivotArea field="30" type="button" dataOnly="0" labelOnly="1" outline="0" axis="axisRow" fieldPosition="0"/>
    </format>
    <format dxfId="152">
      <pivotArea dataOnly="0" labelOnly="1" fieldPosition="0">
        <references count="1">
          <reference field="30" count="0"/>
        </references>
      </pivotArea>
    </format>
    <format dxfId="153">
      <pivotArea dataOnly="0" labelOnly="1" grandRow="1" outline="0" fieldPosition="0"/>
    </format>
    <format dxfId="154">
      <pivotArea dataOnly="0" labelOnly="1" fieldPosition="0">
        <references count="1">
          <reference field="8" count="0"/>
        </references>
      </pivotArea>
    </format>
    <format dxfId="155">
      <pivotArea dataOnly="0" labelOnly="1" grandCol="1" outline="0" fieldPosition="0"/>
    </format>
    <format dxfId="156">
      <pivotArea type="all" dataOnly="0" outline="0" fieldPosition="0"/>
    </format>
    <format dxfId="157">
      <pivotArea outline="0" collapsedLevelsAreSubtotals="1" fieldPosition="0"/>
    </format>
    <format dxfId="158">
      <pivotArea type="origin" dataOnly="0" labelOnly="1" outline="0" fieldPosition="0"/>
    </format>
    <format dxfId="159">
      <pivotArea field="8" type="button" dataOnly="0" labelOnly="1" outline="0" axis="axisCol" fieldPosition="0"/>
    </format>
    <format dxfId="160">
      <pivotArea type="topRight" dataOnly="0" labelOnly="1" outline="0" fieldPosition="0"/>
    </format>
    <format dxfId="161">
      <pivotArea field="30" type="button" dataOnly="0" labelOnly="1" outline="0" axis="axisRow" fieldPosition="0"/>
    </format>
    <format dxfId="162">
      <pivotArea dataOnly="0" labelOnly="1" fieldPosition="0">
        <references count="1">
          <reference field="30" count="0"/>
        </references>
      </pivotArea>
    </format>
    <format dxfId="163">
      <pivotArea dataOnly="0" labelOnly="1" grandRow="1" outline="0" fieldPosition="0"/>
    </format>
    <format dxfId="164">
      <pivotArea dataOnly="0" labelOnly="1" fieldPosition="0">
        <references count="1">
          <reference field="8" count="0"/>
        </references>
      </pivotArea>
    </format>
    <format dxfId="16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D2E25-E533-4E22-B192-D108FCA64A38}" name="TablaDinámica15" cacheId="1696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>
  <location ref="A2:H8" firstHeaderRow="1" firstDataRow="2" firstDataCol="1"/>
  <pivotFields count="34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sd="0" x="2"/>
        <item sd="0" x="1"/>
        <item sd="0" x="0"/>
        <item sd="0" x="3"/>
        <item sd="0" m="1" x="4"/>
        <item t="default"/>
      </items>
    </pivotField>
    <pivotField axis="axisRow" dataField="1" showAll="0">
      <items count="12">
        <item x="5"/>
        <item x="1"/>
        <item m="1" x="9"/>
        <item x="4"/>
        <item x="8"/>
        <item x="0"/>
        <item x="3"/>
        <item x="2"/>
        <item x="6"/>
        <item x="7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m="1" x="8"/>
        <item x="0"/>
        <item x="3"/>
        <item x="4"/>
        <item x="1"/>
        <item m="1" x="7"/>
        <item x="2"/>
        <item x="5"/>
        <item m="1" x="6"/>
        <item t="default"/>
      </items>
    </pivotField>
  </pivotFields>
  <rowFields count="2">
    <field x="7"/>
    <field x="8"/>
  </rowFields>
  <rowItems count="5">
    <i>
      <x/>
    </i>
    <i>
      <x v="1"/>
    </i>
    <i>
      <x v="2"/>
    </i>
    <i>
      <x v="3"/>
    </i>
    <i t="grand">
      <x/>
    </i>
  </rowItems>
  <colFields count="1">
    <field x="33"/>
  </colFields>
  <colItems count="7">
    <i>
      <x v="1"/>
    </i>
    <i>
      <x v="2"/>
    </i>
    <i>
      <x v="3"/>
    </i>
    <i>
      <x v="4"/>
    </i>
    <i>
      <x v="6"/>
    </i>
    <i>
      <x v="7"/>
    </i>
    <i t="grand">
      <x/>
    </i>
  </colItems>
  <dataFields count="1">
    <dataField name="Cuenta de Estado" fld="8" subtotal="count" baseField="0" baseItem="0"/>
  </dataFields>
  <formats count="45">
    <format dxfId="77">
      <pivotArea type="origin" dataOnly="0" labelOnly="1" outline="0" fieldPosition="0"/>
    </format>
    <format dxfId="78">
      <pivotArea field="33" type="button" dataOnly="0" labelOnly="1" outline="0" axis="axisCol" fieldPosition="0"/>
    </format>
    <format dxfId="79">
      <pivotArea type="topRight" dataOnly="0" labelOnly="1" outline="0" fieldPosition="0"/>
    </format>
    <format dxfId="80">
      <pivotArea type="origin" dataOnly="0" labelOnly="1" outline="0" fieldPosition="0"/>
    </format>
    <format dxfId="81">
      <pivotArea field="33" type="button" dataOnly="0" labelOnly="1" outline="0" axis="axisCol" fieldPosition="0"/>
    </format>
    <format dxfId="82">
      <pivotArea type="topRight" dataOnly="0" labelOnly="1" outline="0" fieldPosition="0"/>
    </format>
    <format dxfId="83">
      <pivotArea field="7" type="button" dataOnly="0" labelOnly="1" outline="0" axis="axisRow" fieldPosition="0"/>
    </format>
    <format dxfId="84">
      <pivotArea dataOnly="0" labelOnly="1" fieldPosition="0">
        <references count="1">
          <reference field="33" count="0"/>
        </references>
      </pivotArea>
    </format>
    <format dxfId="85">
      <pivotArea dataOnly="0" labelOnly="1" grandCol="1" outline="0" fieldPosition="0"/>
    </format>
    <format dxfId="86">
      <pivotArea field="7" type="button" dataOnly="0" labelOnly="1" outline="0" axis="axisRow" fieldPosition="0"/>
    </format>
    <format dxfId="87">
      <pivotArea dataOnly="0" labelOnly="1" fieldPosition="0">
        <references count="1">
          <reference field="33" count="0"/>
        </references>
      </pivotArea>
    </format>
    <format dxfId="88">
      <pivotArea dataOnly="0" labelOnly="1" grandCol="1" outline="0" fieldPosition="0"/>
    </format>
    <format dxfId="89">
      <pivotArea field="7" type="button" dataOnly="0" labelOnly="1" outline="0" axis="axisRow" fieldPosition="0"/>
    </format>
    <format dxfId="90">
      <pivotArea dataOnly="0" labelOnly="1" fieldPosition="0">
        <references count="1">
          <reference field="33" count="0"/>
        </references>
      </pivotArea>
    </format>
    <format dxfId="91">
      <pivotArea dataOnly="0" labelOnly="1" grandCol="1" outline="0" fieldPosition="0"/>
    </format>
    <format dxfId="92">
      <pivotArea type="all" dataOnly="0" outline="0" fieldPosition="0"/>
    </format>
    <format dxfId="93">
      <pivotArea outline="0" collapsedLevelsAreSubtotals="1" fieldPosition="0"/>
    </format>
    <format dxfId="94">
      <pivotArea type="origin" dataOnly="0" labelOnly="1" outline="0" fieldPosition="0"/>
    </format>
    <format dxfId="95">
      <pivotArea field="33" type="button" dataOnly="0" labelOnly="1" outline="0" axis="axisCol" fieldPosition="0"/>
    </format>
    <format dxfId="96">
      <pivotArea type="topRight" dataOnly="0" labelOnly="1" outline="0" fieldPosition="0"/>
    </format>
    <format dxfId="97">
      <pivotArea field="7" type="button" dataOnly="0" labelOnly="1" outline="0" axis="axisRow" fieldPosition="0"/>
    </format>
    <format dxfId="98">
      <pivotArea dataOnly="0" labelOnly="1" fieldPosition="0">
        <references count="1">
          <reference field="7" count="0"/>
        </references>
      </pivotArea>
    </format>
    <format dxfId="99">
      <pivotArea dataOnly="0" labelOnly="1" grandRow="1" outline="0" fieldPosition="0"/>
    </format>
    <format dxfId="100">
      <pivotArea dataOnly="0" labelOnly="1" fieldPosition="0">
        <references count="1">
          <reference field="33" count="0"/>
        </references>
      </pivotArea>
    </format>
    <format dxfId="101">
      <pivotArea dataOnly="0" labelOnly="1" grandCol="1" outline="0" fieldPosition="0"/>
    </format>
    <format dxfId="102">
      <pivotArea type="all" dataOnly="0" outline="0" fieldPosition="0"/>
    </format>
    <format dxfId="103">
      <pivotArea outline="0" collapsedLevelsAreSubtotals="1" fieldPosition="0"/>
    </format>
    <format dxfId="104">
      <pivotArea type="origin" dataOnly="0" labelOnly="1" outline="0" fieldPosition="0"/>
    </format>
    <format dxfId="105">
      <pivotArea field="33" type="button" dataOnly="0" labelOnly="1" outline="0" axis="axisCol" fieldPosition="0"/>
    </format>
    <format dxfId="106">
      <pivotArea type="topRight" dataOnly="0" labelOnly="1" outline="0" fieldPosition="0"/>
    </format>
    <format dxfId="107">
      <pivotArea field="7" type="button" dataOnly="0" labelOnly="1" outline="0" axis="axisRow" fieldPosition="0"/>
    </format>
    <format dxfId="108">
      <pivotArea dataOnly="0" labelOnly="1" grandRow="1" outline="0" fieldPosition="0"/>
    </format>
    <format dxfId="109">
      <pivotArea dataOnly="0" labelOnly="1" fieldPosition="0">
        <references count="1">
          <reference field="33" count="0"/>
        </references>
      </pivotArea>
    </format>
    <format dxfId="110">
      <pivotArea dataOnly="0" labelOnly="1" grandCol="1" outline="0" fieldPosition="0"/>
    </format>
    <format dxfId="111">
      <pivotArea type="all" dataOnly="0" outline="0" fieldPosition="0"/>
    </format>
    <format dxfId="112">
      <pivotArea outline="0" collapsedLevelsAreSubtotals="1" fieldPosition="0"/>
    </format>
    <format dxfId="113">
      <pivotArea type="origin" dataOnly="0" labelOnly="1" outline="0" fieldPosition="0"/>
    </format>
    <format dxfId="114">
      <pivotArea field="33" type="button" dataOnly="0" labelOnly="1" outline="0" axis="axisCol" fieldPosition="0"/>
    </format>
    <format dxfId="115">
      <pivotArea type="topRight" dataOnly="0" labelOnly="1" outline="0" fieldPosition="0"/>
    </format>
    <format dxfId="116">
      <pivotArea field="7" type="button" dataOnly="0" labelOnly="1" outline="0" axis="axisRow" fieldPosition="0"/>
    </format>
    <format dxfId="117">
      <pivotArea dataOnly="0" labelOnly="1" fieldPosition="0">
        <references count="1">
          <reference field="7" count="0"/>
        </references>
      </pivotArea>
    </format>
    <format dxfId="118">
      <pivotArea dataOnly="0" labelOnly="1" grandRow="1" outline="0" fieldPosition="0"/>
    </format>
    <format dxfId="119">
      <pivotArea dataOnly="0" labelOnly="1" fieldPosition="0">
        <references count="1">
          <reference field="33" count="0"/>
        </references>
      </pivotArea>
    </format>
    <format dxfId="120">
      <pivotArea dataOnly="0" labelOnly="1" grandCol="1" outline="0" fieldPosition="0"/>
    </format>
    <format dxfId="121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FF4B7-1896-4A76-8284-487F14F8C8E8}" name="Tabla dinámica3" cacheId="1696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 fieldListSortAscending="1">
  <location ref="A2:I8" firstHeaderRow="1" firstDataRow="2" firstDataCol="1"/>
  <pivotFields count="3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2"/>
        <item x="1"/>
        <item x="0"/>
        <item x="3"/>
        <item m="1" x="4"/>
        <item t="default"/>
      </items>
    </pivotField>
    <pivotField name="Estatus" axis="axisCol" compact="0" outline="0" showAll="0">
      <items count="12">
        <item h="1" x="5"/>
        <item x="3"/>
        <item x="2"/>
        <item x="6"/>
        <item x="1"/>
        <item m="1" x="9"/>
        <item x="7"/>
        <item x="4"/>
        <item x="8"/>
        <item h="1" x="0"/>
        <item h="1" m="1"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8"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colItems>
  <dataFields count="1">
    <dataField name="Bugs x " fld="7" subtotal="count" baseField="0" baseItem="0"/>
  </dataFields>
  <formats count="44">
    <format dxfId="33">
      <pivotArea type="origin" dataOnly="0" labelOnly="1" outline="0" fieldPosition="0"/>
    </format>
    <format dxfId="34">
      <pivotArea field="8" type="button" dataOnly="0" labelOnly="1" outline="0" axis="axisCol" fieldPosition="0"/>
    </format>
    <format dxfId="35">
      <pivotArea type="topRight" dataOnly="0" labelOnly="1" outline="0" fieldPosition="0"/>
    </format>
    <format dxfId="36">
      <pivotArea field="7" type="button" dataOnly="0" labelOnly="1" outline="0" axis="axisRow" fieldPosition="0"/>
    </format>
    <format dxfId="37">
      <pivotArea dataOnly="0" labelOnly="1" outline="0" fieldPosition="0">
        <references count="1">
          <reference field="8" count="0"/>
        </references>
      </pivotArea>
    </format>
    <format dxfId="38">
      <pivotArea dataOnly="0" labelOnly="1" grandCol="1" outline="0" fieldPosition="0"/>
    </format>
    <format dxfId="39">
      <pivotArea type="origin" dataOnly="0" labelOnly="1" outline="0" fieldPosition="0"/>
    </format>
    <format dxfId="40">
      <pivotArea field="8" type="button" dataOnly="0" labelOnly="1" outline="0" axis="axisCol" fieldPosition="0"/>
    </format>
    <format dxfId="41">
      <pivotArea type="topRight" dataOnly="0" labelOnly="1" outline="0" fieldPosition="0"/>
    </format>
    <format dxfId="42">
      <pivotArea field="7" type="button" dataOnly="0" labelOnly="1" outline="0" axis="axisRow" fieldPosition="0"/>
    </format>
    <format dxfId="43">
      <pivotArea dataOnly="0" labelOnly="1" outline="0" fieldPosition="0">
        <references count="1">
          <reference field="8" count="0"/>
        </references>
      </pivotArea>
    </format>
    <format dxfId="44">
      <pivotArea dataOnly="0" labelOnly="1" grandCol="1" outline="0" fieldPosition="0"/>
    </format>
    <format dxfId="45">
      <pivotArea type="origin" dataOnly="0" labelOnly="1" outline="0" fieldPosition="0"/>
    </format>
    <format dxfId="46">
      <pivotArea field="8" type="button" dataOnly="0" labelOnly="1" outline="0" axis="axisCol" fieldPosition="0"/>
    </format>
    <format dxfId="47">
      <pivotArea type="topRight" dataOnly="0" labelOnly="1" outline="0" fieldPosition="0"/>
    </format>
    <format dxfId="48">
      <pivotArea field="7" type="button" dataOnly="0" labelOnly="1" outline="0" axis="axisRow" fieldPosition="0"/>
    </format>
    <format dxfId="49">
      <pivotArea dataOnly="0" labelOnly="1" outline="0" fieldPosition="0">
        <references count="1">
          <reference field="8" count="0"/>
        </references>
      </pivotArea>
    </format>
    <format dxfId="50">
      <pivotArea dataOnly="0" labelOnly="1" grandCol="1" outline="0" fieldPosition="0"/>
    </format>
    <format dxfId="51">
      <pivotArea outline="0" collapsedLevelsAreSubtotals="1" fieldPosition="0"/>
    </format>
    <format dxfId="52">
      <pivotArea dataOnly="0" labelOnly="1" outline="0" fieldPosition="0">
        <references count="1">
          <reference field="7" count="0"/>
        </references>
      </pivotArea>
    </format>
    <format dxfId="53">
      <pivotArea dataOnly="0" labelOnly="1" grandRow="1" outline="0" fieldPosition="0"/>
    </format>
    <format dxfId="54">
      <pivotArea dataOnly="0" labelOnly="1" grandRow="1" outline="0" fieldPosition="0"/>
    </format>
    <format dxfId="55">
      <pivotArea outline="0" collapsedLevelsAreSubtotals="1" fieldPosition="0"/>
    </format>
    <format dxfId="56">
      <pivotArea dataOnly="0" labelOnly="1" outline="0" fieldPosition="0">
        <references count="1">
          <reference field="7" count="0"/>
        </references>
      </pivotArea>
    </format>
    <format dxfId="57">
      <pivotArea dataOnly="0" labelOnly="1" grandRow="1" outline="0" fieldPosition="0"/>
    </format>
    <format dxfId="58">
      <pivotArea outline="0" collapsedLevelsAreSubtotals="1" fieldPosition="0"/>
    </format>
    <format dxfId="59">
      <pivotArea dataOnly="0" labelOnly="1" outline="0" fieldPosition="0">
        <references count="1">
          <reference field="7" count="0"/>
        </references>
      </pivotArea>
    </format>
    <format dxfId="60">
      <pivotArea dataOnly="0" labelOnly="1" grandRow="1" outline="0" fieldPosition="0"/>
    </format>
    <format dxfId="61">
      <pivotArea grandRow="1" grandCol="1" outline="0" collapsedLevelsAreSubtotals="1" fieldPosition="0"/>
    </format>
    <format dxfId="62">
      <pivotArea field="7" type="button" dataOnly="0" labelOnly="1" outline="0" axis="axisRow" fieldPosition="0"/>
    </format>
    <format dxfId="63">
      <pivotArea dataOnly="0" labelOnly="1" outline="0" fieldPosition="0">
        <references count="1">
          <reference field="8" count="0"/>
        </references>
      </pivotArea>
    </format>
    <format dxfId="64">
      <pivotArea dataOnly="0" labelOnly="1" grandCol="1" outline="0" fieldPosition="0"/>
    </format>
    <format dxfId="65">
      <pivotArea type="origin" dataOnly="0" labelOnly="1" outline="0" fieldPosition="0"/>
    </format>
    <format dxfId="66">
      <pivotArea outline="0" fieldPosition="0">
        <references count="1">
          <reference field="7" count="1" selected="0">
            <x v="0"/>
          </reference>
        </references>
      </pivotArea>
    </format>
    <format dxfId="67">
      <pivotArea dataOnly="0" labelOnly="1" outline="0" fieldPosition="0">
        <references count="1">
          <reference field="7" count="1">
            <x v="0"/>
          </reference>
        </references>
      </pivotArea>
    </format>
    <format dxfId="68">
      <pivotArea outline="0" fieldPosition="0">
        <references count="1">
          <reference field="7" count="1" selected="0">
            <x v="1"/>
          </reference>
        </references>
      </pivotArea>
    </format>
    <format dxfId="69">
      <pivotArea dataOnly="0" labelOnly="1" outline="0" fieldPosition="0">
        <references count="1">
          <reference field="7" count="1">
            <x v="1"/>
          </reference>
        </references>
      </pivotArea>
    </format>
    <format dxfId="70">
      <pivotArea outline="0" fieldPosition="0">
        <references count="1">
          <reference field="7" count="1" selected="0">
            <x v="2"/>
          </reference>
        </references>
      </pivotArea>
    </format>
    <format dxfId="71">
      <pivotArea dataOnly="0" labelOnly="1" outline="0" fieldPosition="0">
        <references count="1">
          <reference field="7" count="1">
            <x v="2"/>
          </reference>
        </references>
      </pivotArea>
    </format>
    <format dxfId="72">
      <pivotArea outline="0" fieldPosition="0">
        <references count="1">
          <reference field="7" count="1" selected="0">
            <x v="3"/>
          </reference>
        </references>
      </pivotArea>
    </format>
    <format dxfId="73">
      <pivotArea dataOnly="0" labelOnly="1" outline="0" fieldPosition="0">
        <references count="1">
          <reference field="7" count="1">
            <x v="3"/>
          </reference>
        </references>
      </pivotArea>
    </format>
    <format dxfId="74">
      <pivotArea grandRow="1" outline="0" collapsedLevelsAreSubtotals="1" fieldPosition="0"/>
    </format>
    <format dxfId="75">
      <pivotArea dataOnly="0" labelOnly="1" grandRow="1" outline="0" fieldPosition="0"/>
    </format>
    <format dxfId="76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5C6750C-1DFB-42F9-9889-04D9E088BD10}" autoFormatId="16" applyNumberFormats="0" applyBorderFormats="0" applyFontFormats="0" applyPatternFormats="0" applyAlignmentFormats="0" applyWidthHeightFormats="0">
  <queryTableRefresh nextId="56" unboundColumnsRight="7">
    <queryTableFields count="34">
      <queryTableField id="1" name="Tipo de Incidencia" tableColumnId="1"/>
      <queryTableField id="2" name="Clave de incidencia" tableColumnId="2"/>
      <queryTableField id="3" name="ID de la incidencia" tableColumnId="3"/>
      <queryTableField id="4" name="Resumen" tableColumnId="4"/>
      <queryTableField id="5" name="Principal" tableColumnId="5"/>
      <queryTableField id="6" name="Clave principal" tableColumnId="6"/>
      <queryTableField id="7" name="Parent summary" tableColumnId="7"/>
      <queryTableField id="8" name="Prioridad" tableColumnId="8"/>
      <queryTableField id="9" name="Estado" tableColumnId="9"/>
      <queryTableField id="10" name="Sprint" tableColumnId="10"/>
      <queryTableField id="11" name="Sprint_1" tableColumnId="11"/>
      <queryTableField id="12" name="Sprint_2" tableColumnId="12"/>
      <queryTableField id="13" name="Sprint_3" tableColumnId="13"/>
      <queryTableField id="14" name="Sprint_4" tableColumnId="14"/>
      <queryTableField id="54" dataBound="0" tableColumnId="29"/>
      <queryTableField id="15" name="Etiquetas" tableColumnId="15"/>
      <queryTableField id="16" name="Etiquetas_5" tableColumnId="16"/>
      <queryTableField id="17" name="Etiquetas_6" tableColumnId="17"/>
      <queryTableField id="18" name="Etiquetas_7" tableColumnId="18"/>
      <queryTableField id="19" name="Etiquetas_8" tableColumnId="19"/>
      <queryTableField id="20" name="Etiquetas_9" tableColumnId="20"/>
      <queryTableField id="21" name="Etiquetas_10" tableColumnId="21"/>
      <queryTableField id="22" name="Informador" tableColumnId="22"/>
      <queryTableField id="27" name="Creada" tableColumnId="27"/>
      <queryTableField id="33" name="Versiones corregidas" tableColumnId="33"/>
      <queryTableField id="34" name="Versiones corregidas_13" tableColumnId="34"/>
      <queryTableField id="35" name="Versiones corregidas_14" tableColumnId="35"/>
      <queryTableField id="39" dataBound="0" tableColumnId="39"/>
      <queryTableField id="40" dataBound="0" tableColumnId="40"/>
      <queryTableField id="45" dataBound="0" tableColumnId="25"/>
      <queryTableField id="49" dataBound="0" tableColumnId="28"/>
      <queryTableField id="46" dataBound="0" tableColumnId="26"/>
      <queryTableField id="48" dataBound="0" tableColumnId="24"/>
      <queryTableField id="50" dataBound="0" tableColumnId="23"/>
    </queryTableFields>
    <queryTableDeletedFields count="12">
      <deletedField name="Campo personalizado (Elementos vinculados)"/>
      <deletedField name="Campo personalizado (Test plan)"/>
      <deletedField name="Campo personalizado (Usuario)"/>
      <deletedField name="Actualizada"/>
      <deletedField name="Campo personalizado (T-Shirt Estimation)"/>
      <deletedField name="Campo personalizado (T-Shirt Estimation)_11"/>
      <deletedField name="Campo personalizado (T-Shirt Estimation)_12"/>
      <deletedField name="Campo personalizado (Story Points)"/>
      <deletedField name="Resolución"/>
      <deletedField name="ID del informador"/>
      <deletedField name="Persona asignada"/>
      <deletedField name="ID de la persona asignada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1C9188-9580-46E0-A561-E01F77C670D4}" name="Tabla2" displayName="Tabla2" ref="A3:AH4" totalsRowShown="0">
  <autoFilter ref="A3:AH4" xr:uid="{0B1C9188-9580-46E0-A561-E01F77C670D4}"/>
  <tableColumns count="34">
    <tableColumn id="1" xr3:uid="{960683D7-E390-4D28-B920-A92DD49D2934}" name="Tipo de Incidencia"/>
    <tableColumn id="2" xr3:uid="{D99D45BD-6EB8-4F25-A862-46A2AC994C2B}" name="Clave de incidencia"/>
    <tableColumn id="3" xr3:uid="{9FF83F15-6F6E-4858-9ABA-CE5F02FDC6F4}" name="ID de la incidencia"/>
    <tableColumn id="4" xr3:uid="{052B10D5-953B-40CD-A989-75BFD53B1EF5}" name="Resumen"/>
    <tableColumn id="5" xr3:uid="{89C0E91A-8AC1-468E-B908-9124AE05BF97}" name="Principal"/>
    <tableColumn id="6" xr3:uid="{DDA00BEC-30F7-4A7C-B9C1-AF9DD980451B}" name="Clave principal"/>
    <tableColumn id="7" xr3:uid="{B9758F1E-A8D1-4B8C-827E-14F7E36B875F}" name="Parent summary"/>
    <tableColumn id="8" xr3:uid="{0A514637-BE4F-49E9-9176-2EC098F106CB}" name="Prioridad"/>
    <tableColumn id="9" xr3:uid="{332CDF53-0BA9-4382-9CCD-A509B37A75D5}" name="Estado"/>
    <tableColumn id="10" xr3:uid="{797FEF97-0A0C-4EF0-B3A5-53DE41F5AD74}" name="Sprint"/>
    <tableColumn id="11" xr3:uid="{FE84844A-D028-4710-AB58-7C45DBF80FF7}" name="Sprint_1"/>
    <tableColumn id="12" xr3:uid="{77241A6C-2EDC-4997-9A35-1393AEC3FF82}" name="Sprint_2"/>
    <tableColumn id="13" xr3:uid="{13EFA47D-3121-4125-9C80-D2AA0233AE4B}" name="Sprint_3"/>
    <tableColumn id="14" xr3:uid="{47CDB306-5C92-4C69-B306-34D839AE8A09}" name="Sprint_4"/>
    <tableColumn id="15" xr3:uid="{D4822DE4-AF3F-42DC-8477-43764DCC4FF8}" name="Sprint_5"/>
    <tableColumn id="16" xr3:uid="{780665AC-FE58-45C6-BE7E-200F8C98EABC}" name="Etiquetas"/>
    <tableColumn id="17" xr3:uid="{F59EB5A0-F9F2-4C75-9E4A-5B5C998BDB9C}" name="Etiquetas_5"/>
    <tableColumn id="18" xr3:uid="{F53D226F-D49A-4100-B0FB-C60258157F87}" name="Etiquetas_6"/>
    <tableColumn id="19" xr3:uid="{DDA65E3A-1D1C-4E89-B892-290EDCE70CA3}" name="Etiquetas_7"/>
    <tableColumn id="20" xr3:uid="{D67E5495-7CE0-47C8-94CA-242620339C5D}" name="Etiquetas_8"/>
    <tableColumn id="21" xr3:uid="{BFCD9E8D-A8D3-4DE9-8336-7D5EC9403706}" name="Etiquetas_9"/>
    <tableColumn id="22" xr3:uid="{FBCBC0C9-EFB8-45A1-A6B4-561D7013C112}" name="Etiquetas_10"/>
    <tableColumn id="23" xr3:uid="{5F60FB4E-D4CC-4683-8CC8-51C9FF907A85}" name="Informador"/>
    <tableColumn id="24" xr3:uid="{55478AA7-4312-46AE-8865-2B249672BD39}" name="Creada" dataDxfId="32"/>
    <tableColumn id="25" xr3:uid="{BDCB3A72-C85C-498F-91BA-6F94C519332A}" name="Versiones corregidas"/>
    <tableColumn id="26" xr3:uid="{FF4445CE-3651-4D31-9121-BD9A38C49767}" name="Versiones corregidas_13"/>
    <tableColumn id="27" xr3:uid="{5E2326EA-ACA9-45CD-A83B-57C9FE8594B2}" name="Versiones corregidas_14"/>
    <tableColumn id="28" xr3:uid="{157D2DAC-3464-4021-A639-160B6E3E0A38}" name="Módulo"/>
    <tableColumn id="29" xr3:uid="{CD59D859-DD8A-4B64-A0F3-B76A057B3F23}" name="Desarrollador"/>
    <tableColumn id="30" xr3:uid="{0E37C067-621D-4E23-9FC2-1B7514210E41}" name="Desarrollador_Bug_Cancelado"/>
    <tableColumn id="31" xr3:uid="{892CDB48-BD75-4BEB-8AE6-06B9619B7A1B}" name="¿En que Sprint fue encontrado?"/>
    <tableColumn id="32" xr3:uid="{9C7E8337-FDFF-4A0C-B31E-1936F1D93BA3}" name="¿En qué versión fue corregido?"/>
    <tableColumn id="33" xr3:uid="{D92C86F4-63B7-4068-BCBD-9332E63B239C}" name="¿En que Sprint fue corregido?"/>
    <tableColumn id="34" xr3:uid="{15516E41-343D-4854-8CDB-BB4033B8B41D}" name="Categorí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84701F-2FEE-4E5A-832E-81837E559980}" name="Tabla3" displayName="Tabla3" ref="A3:AH8" totalsRowShown="0">
  <autoFilter ref="A3:AH8" xr:uid="{9384701F-2FEE-4E5A-832E-81837E559980}"/>
  <tableColumns count="34">
    <tableColumn id="1" xr3:uid="{129109B8-7AD6-4E78-927C-22CC3FAABCE3}" name="Tipo de Incidencia"/>
    <tableColumn id="2" xr3:uid="{7CF2E67A-B7E9-433A-A26D-83AF2CB3DFEC}" name="Clave de incidencia"/>
    <tableColumn id="3" xr3:uid="{F7B73B99-8856-4BDD-A30A-293E783ABACF}" name="ID de la incidencia"/>
    <tableColumn id="4" xr3:uid="{6126559B-FA03-41E0-BDE7-B53422038C60}" name="Resumen"/>
    <tableColumn id="5" xr3:uid="{31C152DB-63FA-4608-A3FE-1F138E1FFC7C}" name="Principal"/>
    <tableColumn id="6" xr3:uid="{585889FB-65A8-4DEA-BB49-1083F4D462C7}" name="Clave principal"/>
    <tableColumn id="7" xr3:uid="{B1B272C6-636E-45F9-8E53-0E2D42994F16}" name="Parent summary"/>
    <tableColumn id="8" xr3:uid="{60CAE993-0C0D-4293-844B-B76E76083232}" name="Prioridad"/>
    <tableColumn id="9" xr3:uid="{1D9626D5-3678-4B41-BA8F-DC7B318DB092}" name="Estado"/>
    <tableColumn id="10" xr3:uid="{5D933FFB-2DC6-4987-96FC-3C8D88C1D608}" name="Sprint"/>
    <tableColumn id="11" xr3:uid="{A7349D41-87A0-48DE-ACA2-C7746EEDB359}" name="Sprint_1"/>
    <tableColumn id="12" xr3:uid="{46451B65-694E-437F-BABD-5A72BE4CA20E}" name="Sprint_2"/>
    <tableColumn id="13" xr3:uid="{E6D778BE-2014-467A-A7AD-1EC4693E11CC}" name="Sprint_3"/>
    <tableColumn id="14" xr3:uid="{B5E29D34-3AA2-4711-8669-53C3C951BFE2}" name="Sprint_4"/>
    <tableColumn id="15" xr3:uid="{AB6A1553-82A0-4EB3-AA0F-7B792CBA498F}" name="Sprint_5"/>
    <tableColumn id="16" xr3:uid="{1B189151-5D6D-49E2-B323-8D3D673EC9C5}" name="Etiquetas"/>
    <tableColumn id="17" xr3:uid="{8965F50C-BE30-4364-9FED-84FB89910619}" name="Etiquetas_5"/>
    <tableColumn id="18" xr3:uid="{8658D971-1C69-41E0-A884-1DCF9FFBF034}" name="Etiquetas_6"/>
    <tableColumn id="19" xr3:uid="{F0CFEC1E-60D9-41AD-8134-CE1F2865835D}" name="Etiquetas_7"/>
    <tableColumn id="20" xr3:uid="{E2B1B9AE-BA16-40B6-8081-988CF7D3A295}" name="Etiquetas_8"/>
    <tableColumn id="21" xr3:uid="{900ECCD9-AE40-4787-8479-CD9618FAE029}" name="Etiquetas_9"/>
    <tableColumn id="22" xr3:uid="{A59EC597-7E22-41C1-8F07-CDF2A859D199}" name="Etiquetas_10"/>
    <tableColumn id="23" xr3:uid="{52FB9F22-A43F-4104-83D4-807BFF792FD0}" name="Informador"/>
    <tableColumn id="24" xr3:uid="{A8962CDF-F720-43F8-88F4-50266D2896F5}" name="Creada" dataDxfId="31"/>
    <tableColumn id="25" xr3:uid="{2A7600FE-5A5E-49AF-846E-BBA0FC31FB9B}" name="Versiones corregidas"/>
    <tableColumn id="26" xr3:uid="{64F261D5-5EFA-45A5-BFBE-DA51551544C6}" name="Versiones corregidas_13"/>
    <tableColumn id="27" xr3:uid="{8209E344-71C3-4906-A9A1-94B79C052045}" name="Versiones corregidas_14"/>
    <tableColumn id="28" xr3:uid="{51DB95D5-9EED-435F-A479-6293020EC267}" name="Módulo"/>
    <tableColumn id="29" xr3:uid="{4EEB63FD-1517-42F6-ABBD-5363FF0D540F}" name="Desarrollador"/>
    <tableColumn id="30" xr3:uid="{DF320153-2A2E-4A92-85B3-535CE5460DA2}" name="Desarrollador_Bug_Cancelado"/>
    <tableColumn id="31" xr3:uid="{A67E6D0B-0ADB-46ED-8362-8E636A9E126F}" name="¿En que Sprint fue encontrado?"/>
    <tableColumn id="32" xr3:uid="{6E53D045-64B1-41D1-A9B8-340D1B06C080}" name="¿En qué versión fue corregido?"/>
    <tableColumn id="33" xr3:uid="{3DA0FEB8-D480-485B-BD03-F1E8A141CAFD}" name="¿En que Sprint fue corregido?"/>
    <tableColumn id="34" xr3:uid="{6D9DD9D4-BBD0-42EC-B807-C23DB894A648}" name="Categorí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41288-BB43-4DA2-8299-249ADABE9431}" name="Jira__32" displayName="Jira__32" ref="A1:AH139" tableType="queryTable" totalsRowShown="0">
  <autoFilter ref="A1:AH139" xr:uid="{93A41288-BB43-4DA2-8299-249ADABE9431}"/>
  <sortState xmlns:xlrd2="http://schemas.microsoft.com/office/spreadsheetml/2017/richdata2" ref="A2:AH127">
    <sortCondition descending="1" ref="B1:B127"/>
  </sortState>
  <tableColumns count="34">
    <tableColumn id="1" xr3:uid="{472B6AF9-251B-4540-ADF4-69AFFD0328BA}" uniqueName="1" name="Tipo de Incidencia" queryTableFieldId="1" dataDxfId="30"/>
    <tableColumn id="2" xr3:uid="{EBDD0740-00E1-4FC2-A597-23DE0B176B7E}" uniqueName="2" name="Clave de incidencia" queryTableFieldId="2" dataDxfId="29"/>
    <tableColumn id="3" xr3:uid="{158B8656-EE26-4F48-91FD-D1EA7B567EDD}" uniqueName="3" name="ID de la incidencia" queryTableFieldId="3"/>
    <tableColumn id="4" xr3:uid="{9083BA8B-924B-4C7B-89A0-6E1D6A8ABFA7}" uniqueName="4" name="Resumen" queryTableFieldId="4" dataDxfId="28"/>
    <tableColumn id="5" xr3:uid="{B1572E98-B13A-4F21-B6C5-F58E0917EA5A}" uniqueName="5" name="Principal" queryTableFieldId="5"/>
    <tableColumn id="6" xr3:uid="{187A700B-BBB8-4C3D-B175-E5C7CB588A05}" uniqueName="6" name="Clave principal" queryTableFieldId="6" dataDxfId="27"/>
    <tableColumn id="7" xr3:uid="{365BB287-CF58-4A6A-B4E9-D4A1AE8DDC97}" uniqueName="7" name="Parent summary" queryTableFieldId="7" dataDxfId="26"/>
    <tableColumn id="8" xr3:uid="{1DF9E625-61DE-45C7-BBEE-37C241DCA3A1}" uniqueName="8" name="Prioridad" queryTableFieldId="8" dataDxfId="25"/>
    <tableColumn id="9" xr3:uid="{038F1F7E-00B4-4EFA-8E27-F9D7B1D0ABA8}" uniqueName="9" name="Estado" queryTableFieldId="9" dataDxfId="24"/>
    <tableColumn id="10" xr3:uid="{49378AB4-1C6E-4375-B443-41A30E7BCA59}" uniqueName="10" name="Sprint" queryTableFieldId="10" dataDxfId="23"/>
    <tableColumn id="11" xr3:uid="{7C35751B-5C75-4D75-B71F-4EEEA47FA232}" uniqueName="11" name="Sprint_1" queryTableFieldId="11" dataDxfId="22"/>
    <tableColumn id="12" xr3:uid="{D1A0DA15-0824-4F43-8779-79057675E6DD}" uniqueName="12" name="Sprint_2" queryTableFieldId="12" dataDxfId="21"/>
    <tableColumn id="13" xr3:uid="{44B62CA8-8836-4E78-BD10-1A3FA0A25822}" uniqueName="13" name="Sprint_3" queryTableFieldId="13" dataDxfId="20"/>
    <tableColumn id="14" xr3:uid="{2C453F7E-9876-40FD-9DB2-D3CB7076F6D3}" uniqueName="14" name="Sprint_4" queryTableFieldId="14" dataDxfId="19"/>
    <tableColumn id="29" xr3:uid="{8105D084-0399-4B36-A4C3-7A3677EEDB22}" uniqueName="29" name="Sprint_5" queryTableFieldId="54"/>
    <tableColumn id="15" xr3:uid="{9AC294CB-C70A-4C9E-93FC-DFCCFEF53A2E}" uniqueName="15" name="Etiquetas" queryTableFieldId="15" dataDxfId="18"/>
    <tableColumn id="16" xr3:uid="{30F6990C-6DA5-4FD8-9715-7772ACC50E43}" uniqueName="16" name="Etiquetas_5" queryTableFieldId="16" dataDxfId="17"/>
    <tableColumn id="17" xr3:uid="{86038530-7F08-4CE5-A117-182A85E7B71C}" uniqueName="17" name="Etiquetas_6" queryTableFieldId="17" dataDxfId="16"/>
    <tableColumn id="18" xr3:uid="{26B30E23-4B8C-44C1-B324-901C832B01CD}" uniqueName="18" name="Etiquetas_7" queryTableFieldId="18" dataDxfId="15"/>
    <tableColumn id="19" xr3:uid="{9AEECDCB-0DAF-4C44-9E33-E4D4517C2824}" uniqueName="19" name="Etiquetas_8" queryTableFieldId="19" dataDxfId="14"/>
    <tableColumn id="20" xr3:uid="{3352019A-22E9-42AD-B711-B394F0DA56F5}" uniqueName="20" name="Etiquetas_9" queryTableFieldId="20" dataDxfId="13"/>
    <tableColumn id="21" xr3:uid="{CBB4716E-AD89-4147-9D23-66520CB0E5D3}" uniqueName="21" name="Etiquetas_10" queryTableFieldId="21" dataDxfId="12"/>
    <tableColumn id="22" xr3:uid="{A238397B-9E26-484A-A629-8E7D97DC12E1}" uniqueName="22" name="Informador" queryTableFieldId="22" dataDxfId="11"/>
    <tableColumn id="27" xr3:uid="{8F2FD764-475E-4B99-8C1F-EDFD9E018081}" uniqueName="27" name="Creada" queryTableFieldId="27" dataDxfId="10"/>
    <tableColumn id="33" xr3:uid="{04DDEA51-60DE-402C-AB4E-758B1ECA407D}" uniqueName="33" name="Versiones corregidas" queryTableFieldId="33" dataDxfId="9"/>
    <tableColumn id="34" xr3:uid="{1E55D1A5-B897-400D-8B33-6DA2D122E765}" uniqueName="34" name="Versiones corregidas_13" queryTableFieldId="34" dataDxfId="8"/>
    <tableColumn id="35" xr3:uid="{840043CA-A5BD-455B-BA97-46BCF8F43B45}" uniqueName="35" name="Versiones corregidas_14" queryTableFieldId="35" dataDxfId="7"/>
    <tableColumn id="39" xr3:uid="{97C3B2B2-B469-4AE6-A06F-DC79200A6251}" uniqueName="39" name="Módulo" queryTableFieldId="39" dataDxfId="6">
      <calculatedColumnFormula>IF(LEFT(Jira__32[[#This Row],[Resumen]],3)="POS","POS",IF(LEFT(Jira__32[[#This Row],[Resumen]],3)="BOT","BOT",""))</calculatedColumnFormula>
    </tableColumn>
    <tableColumn id="40" xr3:uid="{41FFE95B-4444-4B98-9AC0-102E1B25250F}" uniqueName="40" name="Desarrollador" queryTableFieldId="40" dataDxfId="5"/>
    <tableColumn id="25" xr3:uid="{1CF2B895-DA46-4602-A038-FE1B1AB6912F}" uniqueName="25" name="Desarrollador_Bug_Cancelado" queryTableFieldId="45" dataDxfId="4"/>
    <tableColumn id="28" xr3:uid="{DC9D81F4-72FB-483C-89F0-D430C82A7BD6}" uniqueName="28" name="¿En que Sprint fue encontrado?" queryTableFieldId="49" dataDxfId="3">
      <calculatedColumnFormula array="1">_xlfn.IFS(OR(COUNTIF(P2:V2,Versiones!$G$8)&gt;0, COUNTIF(P2:V2,Versiones!$H$8)&gt;0), "Sprint 21",OR(COUNTIF(P2:V2,Versiones!$G$7)&gt;0, COUNTIF(P2:V2,Versiones!$H$7)&gt;0, COUNTIF(P2:V2,Versiones!$I$7)&gt;0), "Sprint 20",
    OR(COUNTIF(P2:V2,Versiones!$G$6)&gt;0, COUNTIF(P2:V2,Versiones!$H$6)&gt;0), "Sprint 19",
    OR(COUNTIF(P2:V2,Versiones!$G$4)&gt;0, COUNTIF(P2:V2,Versiones!$H$4)&gt;0, COUNTIF(P2:V2,Versiones!$G$5)&gt;0, COUNTIF(P2:V2,Versiones!$H$5)&gt;0), "Sprint 18",
    OR(COUNTIF(P2:V2,Versiones!$G$2)&gt;0, COUNTIF(P2:V2,Versiones!$H$2)&gt;0, COUNTIF(P2:V2,Versiones!$G$3)&gt;0, COUNTIF(P2:V2,Versiones!$H$3)&gt;0), "Sprint 17", OR(COUNTIF(P2:V2,Versiones!$G$2)&gt;0, COUNTIF(P2:V2,Versiones!$H$2)&gt;0, COUNTIF(P2:V2,Versiones!$G$3)&gt;0, COUNTIF(P2:V2,Versiones!$H$3)&gt;0), "Sprint 16",
    TRUE, ""
)</calculatedColumnFormula>
    </tableColumn>
    <tableColumn id="26" xr3:uid="{EAD0CEDB-E22A-4B1B-B405-42F706DBCA40}" uniqueName="26" name="¿En qué versión fue corregido?" queryTableFieldId="46" dataDxfId="2">
      <calculatedColumnFormula>"v"&amp;MAX(
    IFERROR(VALUE(MID(Jira__32[[#This Row],[Versiones corregidas]],2,99)),0),
    IFERROR(VALUE(MID(Jira__32[[#This Row],[Versiones corregidas_13]],2,99)),0),
    IFERROR(VALUE(MID(Jira__32[[#This Row],[Versiones corregidas_14]],2,99)),0)
)</calculatedColumnFormula>
    </tableColumn>
    <tableColumn id="24" xr3:uid="{9993617E-12EB-4CC3-B6A5-E1520E0C5186}" uniqueName="24" name="¿En que Sprint fue corregido?" queryTableFieldId="48" dataDxfId="1">
      <calculatedColumnFormula array="1">_xlfn.IFS(Jira__32[[#This Row],[¿En qué versión fue corregido?]]="v0","Sprint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 TRUE,"Desconocido")</calculatedColumnFormula>
    </tableColumn>
    <tableColumn id="23" xr3:uid="{2FE297B1-2133-4E86-AFFF-28270B59C29F}" uniqueName="23" name="Categoría" queryTableFieldId="50" dataDxfId="0">
      <calculatedColumnFormula array="1">_xlfn.IFS(COUNTIF(P2:V2, Versiones!$A$13)&gt;0, "Funcional", COUNTIF(P2:V2, Versiones!$A$14)&gt;0, "Configuración", COUNTIF(P2:V2, Versiones!$A$15)&gt;0, "Look&amp;Feel", COUNTIF(P2:V2, Versiones!$A$16)&gt;0, "Integración", COUNTIF(P2:V2, Versiones!$A$17)&gt;0, "Contenido/Datos", COUNTIF(P2:V2, Versiones!$A$18)&gt;0, "Eventos_Cosmos", COUNTIF(P2:V2, Versiones!$A$19)&gt;0, "Eventos_iOT", COUNTIF(P2:V2, Versiones!$A$20)&gt;0, "Eventos_Fabric", TRUE, "No encontrado")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556F-5D9D-49C6-A423-317526412937}">
  <dimension ref="A1:AH4"/>
  <sheetViews>
    <sheetView workbookViewId="0">
      <selection activeCell="D4" sqref="D4"/>
    </sheetView>
  </sheetViews>
  <sheetFormatPr defaultRowHeight="15"/>
  <cols>
    <col min="1" max="1" width="19.7109375" bestFit="1" customWidth="1"/>
    <col min="2" max="2" width="21" bestFit="1" customWidth="1"/>
    <col min="3" max="3" width="20" bestFit="1" customWidth="1"/>
    <col min="4" max="4" width="34.140625" bestFit="1" customWidth="1"/>
    <col min="5" max="5" width="11.42578125" bestFit="1" customWidth="1"/>
    <col min="6" max="6" width="16.85546875" bestFit="1" customWidth="1"/>
    <col min="7" max="7" width="18.140625" bestFit="1" customWidth="1"/>
    <col min="8" max="8" width="11.5703125" bestFit="1" customWidth="1"/>
    <col min="9" max="9" width="15.42578125" bestFit="1" customWidth="1"/>
    <col min="10" max="10" width="17.140625" bestFit="1" customWidth="1"/>
    <col min="11" max="15" width="10.7109375" bestFit="1" customWidth="1"/>
    <col min="16" max="16" width="11.85546875" bestFit="1" customWidth="1"/>
    <col min="17" max="17" width="18" bestFit="1" customWidth="1"/>
    <col min="18" max="21" width="13.85546875" bestFit="1" customWidth="1"/>
    <col min="22" max="22" width="14.85546875" bestFit="1" customWidth="1"/>
    <col min="23" max="23" width="13.42578125" bestFit="1" customWidth="1"/>
    <col min="24" max="24" width="16.5703125" bestFit="1" customWidth="1"/>
    <col min="25" max="25" width="22.28515625" bestFit="1" customWidth="1"/>
    <col min="26" max="27" width="25.5703125" bestFit="1" customWidth="1"/>
    <col min="28" max="28" width="10" bestFit="1" customWidth="1"/>
    <col min="29" max="29" width="15.85546875" bestFit="1" customWidth="1"/>
    <col min="30" max="30" width="30.85546875" bestFit="1" customWidth="1"/>
    <col min="31" max="31" width="31.42578125" bestFit="1" customWidth="1"/>
    <col min="32" max="32" width="30.85546875" bestFit="1" customWidth="1"/>
    <col min="33" max="33" width="29.7109375" bestFit="1" customWidth="1"/>
    <col min="34" max="34" width="12" bestFit="1" customWidth="1"/>
  </cols>
  <sheetData>
    <row r="1" spans="1:34">
      <c r="A1" s="50" t="s">
        <v>0</v>
      </c>
    </row>
    <row r="3" spans="1:3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</row>
    <row r="4" spans="1:34">
      <c r="A4" t="s">
        <v>35</v>
      </c>
      <c r="B4" t="s">
        <v>36</v>
      </c>
      <c r="C4">
        <v>102674</v>
      </c>
      <c r="D4" t="s">
        <v>37</v>
      </c>
      <c r="E4">
        <v>87100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P4" t="s">
        <v>43</v>
      </c>
      <c r="Q4" t="s">
        <v>44</v>
      </c>
      <c r="W4" t="s">
        <v>45</v>
      </c>
      <c r="X4" s="49">
        <v>45947.628472222219</v>
      </c>
      <c r="AB4" t="s">
        <v>46</v>
      </c>
      <c r="AC4" t="s">
        <v>47</v>
      </c>
      <c r="AE4" t="s">
        <v>48</v>
      </c>
      <c r="AF4" t="s">
        <v>49</v>
      </c>
      <c r="AG4" t="s">
        <v>50</v>
      </c>
      <c r="AH4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9BFF-3810-457F-BFDF-615810D5D800}">
  <dimension ref="A1:AH8"/>
  <sheetViews>
    <sheetView workbookViewId="0">
      <selection activeCell="D8" sqref="D8"/>
    </sheetView>
  </sheetViews>
  <sheetFormatPr defaultRowHeight="15"/>
  <cols>
    <col min="1" max="1" width="19.7109375" bestFit="1" customWidth="1"/>
    <col min="2" max="2" width="21" bestFit="1" customWidth="1"/>
    <col min="3" max="3" width="20" bestFit="1" customWidth="1"/>
    <col min="4" max="4" width="49" bestFit="1" customWidth="1"/>
    <col min="5" max="5" width="11.42578125" bestFit="1" customWidth="1"/>
    <col min="6" max="6" width="16.85546875" bestFit="1" customWidth="1"/>
    <col min="7" max="7" width="18.140625" bestFit="1" customWidth="1"/>
    <col min="8" max="8" width="11.5703125" bestFit="1" customWidth="1"/>
    <col min="9" max="9" width="15.42578125" bestFit="1" customWidth="1"/>
    <col min="10" max="10" width="17.140625" bestFit="1" customWidth="1"/>
    <col min="11" max="15" width="10.7109375" bestFit="1" customWidth="1"/>
    <col min="16" max="16" width="16" bestFit="1" customWidth="1"/>
    <col min="17" max="17" width="18" bestFit="1" customWidth="1"/>
    <col min="18" max="21" width="13.85546875" bestFit="1" customWidth="1"/>
    <col min="22" max="22" width="14.85546875" bestFit="1" customWidth="1"/>
    <col min="23" max="23" width="24.5703125" bestFit="1" customWidth="1"/>
    <col min="24" max="24" width="16.5703125" bestFit="1" customWidth="1"/>
    <col min="25" max="25" width="22.28515625" bestFit="1" customWidth="1"/>
    <col min="26" max="27" width="25.5703125" bestFit="1" customWidth="1"/>
    <col min="28" max="28" width="10" bestFit="1" customWidth="1"/>
    <col min="29" max="29" width="15.85546875" bestFit="1" customWidth="1"/>
    <col min="30" max="30" width="30.85546875" bestFit="1" customWidth="1"/>
    <col min="31" max="31" width="31.42578125" bestFit="1" customWidth="1"/>
    <col min="32" max="32" width="30.85546875" bestFit="1" customWidth="1"/>
    <col min="33" max="33" width="29.7109375" bestFit="1" customWidth="1"/>
    <col min="34" max="34" width="16" bestFit="1" customWidth="1"/>
  </cols>
  <sheetData>
    <row r="1" spans="1:34">
      <c r="A1" s="50" t="s">
        <v>51</v>
      </c>
    </row>
    <row r="3" spans="1:3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</row>
    <row r="4" spans="1:34">
      <c r="A4" t="s">
        <v>35</v>
      </c>
      <c r="B4" t="s">
        <v>36</v>
      </c>
      <c r="C4">
        <v>102674</v>
      </c>
      <c r="D4" t="s">
        <v>37</v>
      </c>
      <c r="E4">
        <v>87100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P4" t="s">
        <v>43</v>
      </c>
      <c r="Q4" t="s">
        <v>44</v>
      </c>
      <c r="W4" t="s">
        <v>45</v>
      </c>
      <c r="X4" s="49">
        <v>45947.628472222219</v>
      </c>
      <c r="AB4" t="s">
        <v>46</v>
      </c>
      <c r="AC4" t="s">
        <v>47</v>
      </c>
      <c r="AE4" t="s">
        <v>48</v>
      </c>
      <c r="AF4" t="s">
        <v>49</v>
      </c>
      <c r="AG4" t="s">
        <v>50</v>
      </c>
      <c r="AH4" t="s">
        <v>43</v>
      </c>
    </row>
    <row r="5" spans="1:34">
      <c r="A5" t="s">
        <v>35</v>
      </c>
      <c r="B5" t="s">
        <v>52</v>
      </c>
      <c r="C5">
        <v>102295</v>
      </c>
      <c r="D5" t="s">
        <v>53</v>
      </c>
      <c r="E5">
        <v>87100</v>
      </c>
      <c r="F5" t="s">
        <v>38</v>
      </c>
      <c r="G5" t="s">
        <v>39</v>
      </c>
      <c r="H5" t="s">
        <v>54</v>
      </c>
      <c r="I5" t="s">
        <v>41</v>
      </c>
      <c r="P5" t="s">
        <v>55</v>
      </c>
      <c r="Q5" t="s">
        <v>44</v>
      </c>
      <c r="W5" t="s">
        <v>45</v>
      </c>
      <c r="X5" s="49">
        <v>45946.556944444441</v>
      </c>
      <c r="AB5" t="s">
        <v>46</v>
      </c>
      <c r="AC5" t="s">
        <v>47</v>
      </c>
      <c r="AE5" t="s">
        <v>48</v>
      </c>
      <c r="AF5" t="s">
        <v>49</v>
      </c>
      <c r="AG5" t="s">
        <v>50</v>
      </c>
      <c r="AH5" t="s">
        <v>55</v>
      </c>
    </row>
    <row r="6" spans="1:34">
      <c r="A6" t="s">
        <v>35</v>
      </c>
      <c r="B6" t="s">
        <v>56</v>
      </c>
      <c r="C6">
        <v>102584</v>
      </c>
      <c r="D6" t="s">
        <v>57</v>
      </c>
      <c r="E6">
        <v>87100</v>
      </c>
      <c r="F6" t="s">
        <v>38</v>
      </c>
      <c r="G6" t="s">
        <v>39</v>
      </c>
      <c r="H6" t="s">
        <v>54</v>
      </c>
      <c r="I6" t="s">
        <v>41</v>
      </c>
      <c r="P6" t="s">
        <v>55</v>
      </c>
      <c r="Q6" t="s">
        <v>44</v>
      </c>
      <c r="W6" t="s">
        <v>45</v>
      </c>
      <c r="X6" s="49">
        <v>45947.382638888892</v>
      </c>
      <c r="AB6" t="s">
        <v>58</v>
      </c>
      <c r="AC6" t="s">
        <v>59</v>
      </c>
      <c r="AE6" t="s">
        <v>48</v>
      </c>
      <c r="AF6" t="s">
        <v>49</v>
      </c>
      <c r="AG6" t="s">
        <v>50</v>
      </c>
      <c r="AH6" t="s">
        <v>55</v>
      </c>
    </row>
    <row r="7" spans="1:34">
      <c r="A7" t="s">
        <v>35</v>
      </c>
      <c r="B7" t="s">
        <v>60</v>
      </c>
      <c r="C7">
        <v>102586</v>
      </c>
      <c r="D7" t="s">
        <v>61</v>
      </c>
      <c r="E7">
        <v>87100</v>
      </c>
      <c r="F7" t="s">
        <v>38</v>
      </c>
      <c r="G7" t="s">
        <v>39</v>
      </c>
      <c r="H7" t="s">
        <v>54</v>
      </c>
      <c r="I7" t="s">
        <v>41</v>
      </c>
      <c r="P7" t="s">
        <v>55</v>
      </c>
      <c r="Q7" t="s">
        <v>44</v>
      </c>
      <c r="W7" t="s">
        <v>45</v>
      </c>
      <c r="X7" s="49">
        <v>45947.398611111108</v>
      </c>
      <c r="AB7" t="s">
        <v>58</v>
      </c>
      <c r="AC7" t="s">
        <v>47</v>
      </c>
      <c r="AE7" t="s">
        <v>48</v>
      </c>
      <c r="AF7" t="s">
        <v>49</v>
      </c>
      <c r="AG7" t="s">
        <v>50</v>
      </c>
      <c r="AH7" t="s">
        <v>55</v>
      </c>
    </row>
    <row r="8" spans="1:34">
      <c r="A8" t="s">
        <v>35</v>
      </c>
      <c r="B8" t="s">
        <v>62</v>
      </c>
      <c r="C8">
        <v>102710</v>
      </c>
      <c r="D8" t="s">
        <v>63</v>
      </c>
      <c r="E8">
        <v>87100</v>
      </c>
      <c r="F8" t="s">
        <v>38</v>
      </c>
      <c r="G8" t="s">
        <v>39</v>
      </c>
      <c r="H8" t="s">
        <v>54</v>
      </c>
      <c r="I8" t="s">
        <v>41</v>
      </c>
      <c r="J8" t="s">
        <v>42</v>
      </c>
      <c r="P8" t="s">
        <v>64</v>
      </c>
      <c r="Q8" t="s">
        <v>44</v>
      </c>
      <c r="W8" t="s">
        <v>65</v>
      </c>
      <c r="X8" s="49">
        <v>45947.709027777775</v>
      </c>
      <c r="AB8" t="s">
        <v>66</v>
      </c>
      <c r="AC8" t="s">
        <v>47</v>
      </c>
      <c r="AE8" t="s">
        <v>48</v>
      </c>
      <c r="AF8" t="s">
        <v>49</v>
      </c>
      <c r="AG8" t="s">
        <v>50</v>
      </c>
      <c r="AH8" t="s">
        <v>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B00F-8F9A-4B9A-ACB5-96F4B6B3AF0E}">
  <dimension ref="A1:W24"/>
  <sheetViews>
    <sheetView zoomScale="85" zoomScaleNormal="85" workbookViewId="0">
      <selection activeCell="A9" sqref="A9:XFD9"/>
    </sheetView>
  </sheetViews>
  <sheetFormatPr defaultColWidth="9.140625" defaultRowHeight="15" customHeight="1"/>
  <cols>
    <col min="2" max="2" width="13.5703125" customWidth="1"/>
    <col min="3" max="3" width="16" bestFit="1" customWidth="1"/>
    <col min="4" max="4" width="12.5703125" hidden="1" customWidth="1"/>
    <col min="5" max="5" width="17.7109375" customWidth="1"/>
    <col min="6" max="6" width="19.42578125" customWidth="1"/>
    <col min="7" max="8" width="15.140625" customWidth="1"/>
    <col min="9" max="9" width="22" customWidth="1"/>
    <col min="10" max="10" width="14.85546875" bestFit="1" customWidth="1"/>
    <col min="11" max="11" width="12.5703125" customWidth="1"/>
    <col min="13" max="13" width="13.5703125" bestFit="1" customWidth="1"/>
    <col min="14" max="14" width="14.28515625" bestFit="1" customWidth="1"/>
    <col min="15" max="15" width="16" bestFit="1" customWidth="1"/>
    <col min="16" max="16" width="12.5703125" bestFit="1" customWidth="1"/>
    <col min="17" max="17" width="6.140625" bestFit="1" customWidth="1"/>
    <col min="18" max="18" width="19.42578125" bestFit="1" customWidth="1"/>
    <col min="19" max="19" width="15.140625" bestFit="1" customWidth="1"/>
    <col min="20" max="20" width="8.28515625" bestFit="1" customWidth="1"/>
    <col min="21" max="21" width="8.7109375" bestFit="1" customWidth="1"/>
    <col min="22" max="22" width="19.85546875" bestFit="1" customWidth="1"/>
    <col min="23" max="25" width="6" bestFit="1" customWidth="1"/>
  </cols>
  <sheetData>
    <row r="1" spans="1:23" ht="15" customHeight="1">
      <c r="M1" s="102" t="s">
        <v>67</v>
      </c>
      <c r="N1" s="102"/>
      <c r="O1" s="102"/>
      <c r="P1" s="102"/>
      <c r="Q1" s="102"/>
      <c r="R1" s="102"/>
      <c r="S1" s="102"/>
      <c r="T1" s="102"/>
    </row>
    <row r="3" spans="1:23" ht="43.5">
      <c r="A3" s="40"/>
      <c r="B3" s="69" t="s">
        <v>10</v>
      </c>
      <c r="C3" s="70" t="s">
        <v>68</v>
      </c>
      <c r="D3" s="87" t="s">
        <v>69</v>
      </c>
      <c r="E3" s="71" t="s">
        <v>70</v>
      </c>
      <c r="F3" s="88" t="s">
        <v>71</v>
      </c>
      <c r="G3" s="73" t="s">
        <v>72</v>
      </c>
      <c r="H3" s="89" t="s">
        <v>73</v>
      </c>
      <c r="I3" s="71" t="s">
        <v>74</v>
      </c>
      <c r="J3" s="90" t="s">
        <v>75</v>
      </c>
      <c r="K3" s="36"/>
      <c r="M3" s="39" t="s">
        <v>76</v>
      </c>
      <c r="N3" s="39" t="s">
        <v>77</v>
      </c>
      <c r="O3" s="39"/>
      <c r="P3" s="39"/>
      <c r="Q3" s="39"/>
      <c r="R3" s="39"/>
      <c r="S3" s="39"/>
      <c r="T3" s="39"/>
      <c r="U3" s="39"/>
      <c r="V3" s="39"/>
      <c r="W3" s="39"/>
    </row>
    <row r="4" spans="1:23">
      <c r="A4" s="41"/>
      <c r="B4" s="76" t="s">
        <v>78</v>
      </c>
      <c r="C4" s="68">
        <v>135</v>
      </c>
      <c r="D4" s="68"/>
      <c r="E4" s="68">
        <f>'BUGS X SPRINT'!K7</f>
        <v>46</v>
      </c>
      <c r="F4" s="85">
        <f>+E4/C4</f>
        <v>0.34074074074074073</v>
      </c>
      <c r="G4" s="68">
        <f>GETPIVOTDATA("Estado",$M$3,"Estado","Cancelado","¿En que Sprint fue encontrado?","Sprint 16")</f>
        <v>7</v>
      </c>
      <c r="H4" s="68">
        <v>25</v>
      </c>
      <c r="I4" s="86">
        <v>14</v>
      </c>
      <c r="J4" s="91">
        <f>I4/E4</f>
        <v>0.30434782608695654</v>
      </c>
      <c r="K4" s="37"/>
      <c r="M4" s="16" t="s">
        <v>79</v>
      </c>
      <c r="N4" s="16" t="s">
        <v>80</v>
      </c>
      <c r="O4" s="16" t="s">
        <v>41</v>
      </c>
      <c r="P4" s="16" t="s">
        <v>81</v>
      </c>
      <c r="Q4" s="16" t="s">
        <v>82</v>
      </c>
      <c r="R4" s="16" t="s">
        <v>83</v>
      </c>
      <c r="S4" s="16" t="s">
        <v>84</v>
      </c>
      <c r="T4" s="16" t="s">
        <v>85</v>
      </c>
      <c r="U4" s="16" t="s">
        <v>86</v>
      </c>
      <c r="V4" s="16" t="s">
        <v>87</v>
      </c>
      <c r="W4" s="16" t="s">
        <v>88</v>
      </c>
    </row>
    <row r="5" spans="1:23">
      <c r="A5" s="41"/>
      <c r="B5" s="76" t="s">
        <v>89</v>
      </c>
      <c r="C5" s="68">
        <v>139</v>
      </c>
      <c r="D5" s="68"/>
      <c r="E5" s="68">
        <f>'BUGS X SPRINT'!K8</f>
        <v>19</v>
      </c>
      <c r="F5" s="85">
        <f>+E5/C5</f>
        <v>0.1366906474820144</v>
      </c>
      <c r="G5" s="68">
        <f>GETPIVOTDATA("Estado",$M$3,"Estado","Cancelado","¿En que Sprint fue encontrado?","Sprint 17")</f>
        <v>2</v>
      </c>
      <c r="H5" s="68">
        <v>13</v>
      </c>
      <c r="I5" s="86">
        <v>4</v>
      </c>
      <c r="J5" s="91">
        <f t="shared" ref="J5:J10" si="0">I5/E5</f>
        <v>0.21052631578947367</v>
      </c>
      <c r="K5" s="37"/>
      <c r="M5" s="15" t="s">
        <v>78</v>
      </c>
      <c r="N5" s="15">
        <v>7</v>
      </c>
      <c r="O5" s="15">
        <v>9</v>
      </c>
      <c r="P5" s="15">
        <v>3</v>
      </c>
      <c r="Q5" s="15">
        <v>1</v>
      </c>
      <c r="R5" s="15"/>
      <c r="S5" s="15">
        <v>25</v>
      </c>
      <c r="T5" s="15">
        <v>1</v>
      </c>
      <c r="U5" s="15"/>
      <c r="V5" s="15"/>
      <c r="W5" s="15">
        <v>46</v>
      </c>
    </row>
    <row r="6" spans="1:23">
      <c r="A6" s="41"/>
      <c r="B6" s="76" t="s">
        <v>90</v>
      </c>
      <c r="C6" s="68">
        <v>105</v>
      </c>
      <c r="D6" s="68"/>
      <c r="E6" s="68">
        <f>'BUGS X SPRINT'!K9</f>
        <v>28</v>
      </c>
      <c r="F6" s="85">
        <f>+E6/C6</f>
        <v>0.26666666666666666</v>
      </c>
      <c r="G6" s="68">
        <f>GETPIVOTDATA("Estado",$M$3,"Estado","Cancelado","¿En que Sprint fue encontrado?","Sprint 18")</f>
        <v>1</v>
      </c>
      <c r="H6" s="68">
        <v>12</v>
      </c>
      <c r="I6" s="86">
        <v>15</v>
      </c>
      <c r="J6" s="91">
        <f>I6/E6</f>
        <v>0.5357142857142857</v>
      </c>
      <c r="K6" s="37"/>
      <c r="M6" s="15" t="s">
        <v>89</v>
      </c>
      <c r="N6" s="15">
        <v>2</v>
      </c>
      <c r="O6" s="15">
        <v>4</v>
      </c>
      <c r="P6" s="15"/>
      <c r="Q6" s="15"/>
      <c r="R6" s="15"/>
      <c r="S6" s="15">
        <v>13</v>
      </c>
      <c r="T6" s="15"/>
      <c r="U6" s="15"/>
      <c r="V6" s="15"/>
      <c r="W6" s="15">
        <v>19</v>
      </c>
    </row>
    <row r="7" spans="1:23">
      <c r="A7" s="42"/>
      <c r="B7" s="76" t="s">
        <v>91</v>
      </c>
      <c r="C7" s="68">
        <v>142</v>
      </c>
      <c r="D7" s="68"/>
      <c r="E7" s="68">
        <f>'BUGS X SPRINT'!K10</f>
        <v>21</v>
      </c>
      <c r="F7" s="85">
        <f>+E7/C7</f>
        <v>0.14788732394366197</v>
      </c>
      <c r="G7" s="68">
        <f>GETPIVOTDATA("Estado",$M$3,"Estado","Cancelado","¿En que Sprint fue encontrado?","Sprint 19")</f>
        <v>2</v>
      </c>
      <c r="H7" s="68">
        <v>2</v>
      </c>
      <c r="I7" s="86">
        <v>17</v>
      </c>
      <c r="J7" s="91">
        <f t="shared" si="0"/>
        <v>0.80952380952380953</v>
      </c>
      <c r="K7" s="37"/>
      <c r="M7" s="15" t="s">
        <v>90</v>
      </c>
      <c r="N7" s="15">
        <v>1</v>
      </c>
      <c r="O7" s="15">
        <v>13</v>
      </c>
      <c r="P7" s="15">
        <v>1</v>
      </c>
      <c r="Q7" s="15"/>
      <c r="R7" s="15"/>
      <c r="S7" s="15">
        <v>12</v>
      </c>
      <c r="T7" s="15">
        <v>1</v>
      </c>
      <c r="U7" s="15"/>
      <c r="V7" s="15"/>
      <c r="W7" s="15">
        <v>28</v>
      </c>
    </row>
    <row r="8" spans="1:23">
      <c r="B8" s="76" t="s">
        <v>92</v>
      </c>
      <c r="C8" s="68">
        <v>136</v>
      </c>
      <c r="D8" s="68" t="s">
        <v>93</v>
      </c>
      <c r="E8" s="68">
        <f>'BUGS X SPRINT'!K11</f>
        <v>19</v>
      </c>
      <c r="F8" s="85">
        <f>+E8/C8</f>
        <v>0.13970588235294118</v>
      </c>
      <c r="G8" s="68">
        <f>GETPIVOTDATA("Estado",$M$3,"Estado","Cancelado","¿En que Sprint fue encontrado?","Sprint 20")</f>
        <v>4</v>
      </c>
      <c r="H8" s="68">
        <v>0</v>
      </c>
      <c r="I8" s="86">
        <v>15</v>
      </c>
      <c r="J8" s="91">
        <f t="shared" si="0"/>
        <v>0.78947368421052633</v>
      </c>
      <c r="K8" s="37"/>
      <c r="M8" s="15" t="s">
        <v>91</v>
      </c>
      <c r="N8" s="15">
        <v>2</v>
      </c>
      <c r="O8" s="15">
        <v>12</v>
      </c>
      <c r="P8" s="15"/>
      <c r="Q8" s="15"/>
      <c r="R8" s="15">
        <v>1</v>
      </c>
      <c r="S8" s="15">
        <v>2</v>
      </c>
      <c r="T8" s="15"/>
      <c r="U8" s="15"/>
      <c r="V8" s="15">
        <v>4</v>
      </c>
      <c r="W8" s="15">
        <v>21</v>
      </c>
    </row>
    <row r="9" spans="1:23">
      <c r="A9" s="35" t="s">
        <v>86</v>
      </c>
      <c r="B9" s="76" t="s">
        <v>48</v>
      </c>
      <c r="C9" s="68">
        <v>35</v>
      </c>
      <c r="D9" s="67"/>
      <c r="E9" s="68">
        <f>'BUGS X SPRINT'!K12</f>
        <v>5</v>
      </c>
      <c r="F9" s="85">
        <f>+E9/C9</f>
        <v>0.14285714285714285</v>
      </c>
      <c r="G9" s="68">
        <v>0</v>
      </c>
      <c r="H9" s="68">
        <v>0</v>
      </c>
      <c r="I9" s="86">
        <v>5</v>
      </c>
      <c r="J9" s="91">
        <f t="shared" si="0"/>
        <v>1</v>
      </c>
      <c r="K9" s="38"/>
      <c r="M9" s="15" t="s">
        <v>92</v>
      </c>
      <c r="N9" s="15">
        <v>4</v>
      </c>
      <c r="O9" s="15">
        <v>11</v>
      </c>
      <c r="P9" s="15">
        <v>1</v>
      </c>
      <c r="Q9" s="15"/>
      <c r="R9" s="15"/>
      <c r="S9" s="15"/>
      <c r="T9" s="15">
        <v>1</v>
      </c>
      <c r="U9" s="15">
        <v>1</v>
      </c>
      <c r="V9" s="15">
        <v>1</v>
      </c>
      <c r="W9" s="15">
        <v>19</v>
      </c>
    </row>
    <row r="10" spans="1:23" ht="15" customHeight="1">
      <c r="B10" s="75" t="s">
        <v>94</v>
      </c>
      <c r="C10" s="92">
        <f>SUM(C4:C9)</f>
        <v>692</v>
      </c>
      <c r="D10" s="92"/>
      <c r="E10" s="93">
        <f>SUM(E4:E9)</f>
        <v>138</v>
      </c>
      <c r="F10" s="94">
        <f>E10/C10</f>
        <v>0.19942196531791909</v>
      </c>
      <c r="G10" s="95">
        <f>SUM(G4:G9)</f>
        <v>16</v>
      </c>
      <c r="H10" s="96">
        <f>SUM(H4:H9)</f>
        <v>52</v>
      </c>
      <c r="I10" s="43">
        <f>SUM(I4:I9)</f>
        <v>70</v>
      </c>
      <c r="J10" s="44">
        <f t="shared" si="0"/>
        <v>0.50724637681159424</v>
      </c>
      <c r="M10" s="15" t="s">
        <v>48</v>
      </c>
      <c r="N10" s="15"/>
      <c r="O10" s="15">
        <v>5</v>
      </c>
      <c r="P10" s="15"/>
      <c r="Q10" s="15"/>
      <c r="R10" s="15"/>
      <c r="S10" s="15"/>
      <c r="T10" s="15"/>
      <c r="U10" s="15"/>
      <c r="V10" s="15"/>
      <c r="W10" s="15">
        <v>5</v>
      </c>
    </row>
    <row r="11" spans="1:23" ht="15" customHeight="1">
      <c r="M11" s="15" t="s">
        <v>88</v>
      </c>
      <c r="N11" s="15">
        <v>16</v>
      </c>
      <c r="O11" s="15">
        <v>54</v>
      </c>
      <c r="P11" s="15">
        <v>5</v>
      </c>
      <c r="Q11" s="15">
        <v>1</v>
      </c>
      <c r="R11" s="15">
        <v>1</v>
      </c>
      <c r="S11" s="15">
        <v>52</v>
      </c>
      <c r="T11" s="15">
        <v>3</v>
      </c>
      <c r="U11" s="15">
        <v>1</v>
      </c>
      <c r="V11" s="15">
        <v>5</v>
      </c>
      <c r="W11" s="101">
        <v>138</v>
      </c>
    </row>
    <row r="14" spans="1:23"/>
    <row r="15" spans="1:23"/>
    <row r="16" spans="1:23"/>
    <row r="17"/>
    <row r="18"/>
    <row r="19"/>
    <row r="20"/>
    <row r="21"/>
    <row r="22"/>
    <row r="23"/>
    <row r="24"/>
  </sheetData>
  <mergeCells count="1">
    <mergeCell ref="M1:T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9F86-E74C-4F3E-BC19-6DB34F363440}">
  <dimension ref="A1:AJ139"/>
  <sheetViews>
    <sheetView tabSelected="1" topLeftCell="X1" workbookViewId="0">
      <selection activeCell="AB2" sqref="AB2"/>
    </sheetView>
  </sheetViews>
  <sheetFormatPr defaultColWidth="11.42578125" defaultRowHeight="15" customHeight="1"/>
  <cols>
    <col min="1" max="1" width="19.7109375" bestFit="1" customWidth="1"/>
    <col min="2" max="2" width="21" bestFit="1" customWidth="1"/>
    <col min="3" max="3" width="19.85546875" customWidth="1"/>
    <col min="4" max="4" width="81.140625" customWidth="1"/>
    <col min="5" max="5" width="17" customWidth="1"/>
    <col min="6" max="6" width="16.7109375" customWidth="1"/>
    <col min="7" max="7" width="26.42578125" customWidth="1"/>
    <col min="8" max="8" width="11.42578125" customWidth="1"/>
    <col min="9" max="9" width="18.42578125" customWidth="1"/>
    <col min="10" max="15" width="16.5703125" customWidth="1"/>
    <col min="16" max="16" width="17.140625" customWidth="1"/>
    <col min="17" max="18" width="18.7109375" customWidth="1"/>
    <col min="19" max="19" width="13.85546875" customWidth="1"/>
    <col min="20" max="21" width="13.7109375" customWidth="1"/>
    <col min="22" max="22" width="14.7109375" customWidth="1"/>
    <col min="23" max="23" width="28.42578125" customWidth="1"/>
    <col min="24" max="24" width="18" customWidth="1"/>
    <col min="25" max="25" width="22.28515625" customWidth="1"/>
    <col min="26" max="27" width="25.28515625" customWidth="1"/>
    <col min="28" max="28" width="11.7109375" customWidth="1"/>
    <col min="29" max="29" width="25.85546875" bestFit="1" customWidth="1"/>
    <col min="30" max="30" width="30.85546875" bestFit="1" customWidth="1"/>
    <col min="31" max="31" width="30.85546875" customWidth="1"/>
    <col min="32" max="32" width="30.85546875" bestFit="1" customWidth="1"/>
    <col min="33" max="33" width="30.140625" bestFit="1" customWidth="1"/>
    <col min="34" max="34" width="20.140625" customWidth="1"/>
  </cols>
  <sheetData>
    <row r="1" spans="1:3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 spans="1:36">
      <c r="A2" s="45" t="s">
        <v>35</v>
      </c>
      <c r="B2" s="45" t="s">
        <v>95</v>
      </c>
      <c r="C2" s="45">
        <v>83062</v>
      </c>
      <c r="D2" s="45" t="s">
        <v>96</v>
      </c>
      <c r="E2" s="45">
        <v>87100</v>
      </c>
      <c r="F2" s="45" t="s">
        <v>38</v>
      </c>
      <c r="G2" s="45" t="s">
        <v>39</v>
      </c>
      <c r="H2" s="45" t="s">
        <v>54</v>
      </c>
      <c r="I2" s="45" t="s">
        <v>84</v>
      </c>
      <c r="J2" s="45" t="s">
        <v>97</v>
      </c>
      <c r="K2" s="45"/>
      <c r="L2" s="45"/>
      <c r="M2" s="45"/>
      <c r="N2" s="45"/>
      <c r="O2" s="45"/>
      <c r="P2" s="45" t="s">
        <v>98</v>
      </c>
      <c r="Q2" s="45" t="s">
        <v>43</v>
      </c>
      <c r="R2" s="45" t="s">
        <v>99</v>
      </c>
      <c r="S2" s="45" t="s">
        <v>100</v>
      </c>
      <c r="T2" s="45" t="s">
        <v>101</v>
      </c>
      <c r="U2" s="45" t="s">
        <v>102</v>
      </c>
      <c r="V2" s="45" t="s">
        <v>103</v>
      </c>
      <c r="W2" s="45" t="s">
        <v>104</v>
      </c>
      <c r="X2" s="60">
        <v>45873.227777777778</v>
      </c>
      <c r="Y2" s="45" t="s">
        <v>105</v>
      </c>
      <c r="Z2" s="45"/>
      <c r="AA2" s="45"/>
      <c r="AB2" t="str">
        <f>IF(LEFT(Jira__32[[#This Row],[Resumen]],3)="POS","POS",IF(LEFT(Jira__32[[#This Row],[Resumen]],3)="BOT","BOT",""))</f>
        <v>BOT</v>
      </c>
      <c r="AC2" s="10" t="s">
        <v>59</v>
      </c>
      <c r="AE2" s="24" t="str" cm="1">
        <f t="array" ref="AE2">_xlfn.IFS(OR(COUNTIF(P2:V2,Versiones!$G$9)&gt;0, COUNTIF(P2:V2,Versiones!$H$8)&gt;0), "Sprint 21",OR(COUNTIF(P2:V2,Versiones!$G$8)&gt;0, COUNTIF(P2:V2,Versiones!$H$8)&gt;0, COUNTIF(P2:V2,Versiones!$I$8)&gt;0), "Sprint 20",OR(COUNTIF(P2:V2,Versiones!$G$7)&gt;0, COUNTIF(P2:V2,Versiones!$H$7)&gt;0, COUNTIF(P2:V2,Versiones!$I$7)&gt;0), "Sprint 19",OR(COUNTIF(P2:V2,Versiones!$G$6)&gt;0, COUNTIF(P2:V2,Versiones!$H$6)&gt;0, COUNTIF(P2:V2,Versiones!$I$6)&gt;0), "Sprint 18",OR(COUNTIF(P2:V2,Versiones!$G$4)&gt;0, COUNTIF(P2:V2,Versiones!$H$4)&gt;0, COUNTIF(P2:V2,Versiones!$G$5)&gt;0, COUNTIF(P2:V2,Versiones!$H$5)&gt;0), "Sprint 17",OR(COUNTIF(P2:V2,Versiones!$G$2)&gt;0, COUNTIF(P2:V2,Versiones!$H$2)&gt;0, COUNTIF(P2:V2,Versiones!$G$3)&gt;0, COUNTIF(P2:V2,Versiones!$H$3)&gt;0), "Sprint 16", OR(COUNTIF(P2:V2,Versiones!$G$2)&gt;0, COUNTIF(P2:V2,Versiones!$H$2)&gt;0, COUNTIF(P2:V2,Versiones!$G$3)&gt;0, COUNTIF(P2:V2,Versiones!$H$3)&gt;0), "Sprint 16",TRUE, "")</f>
        <v>Sprint 16</v>
      </c>
      <c r="AF2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2" t="str" cm="1">
        <f t="array" ref="AG2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2" s="24" t="str" cm="1">
        <f t="array" ref="AH2">_xlfn.IFS(COUNTIF(P2:V2, Versiones!$A$13)&gt;0, "Funcional", COUNTIF(P2:V2, Versiones!$A$14)&gt;0, "Configuración", COUNTIF(P2:V2, Versiones!$A$15)&gt;0, "Look&amp;Feel", COUNTIF(P2:V2, Versiones!$A$16)&gt;0, "Integración", COUNTIF(P2:V2, Versiones!$A$17)&gt;0, "Contenido/Datos", COUNTIF(P2:V2, Versiones!$A$18)&gt;0, "Eventos_Cosmos", COUNTIF(P2:V2, Versiones!$A$19)&gt;0, "Eventos_iOT", COUNTIF(P2:V2, Versiones!$A$20)&gt;0, "Eventos_Fabric", TRUE, "No encontrado")</f>
        <v>Funcional</v>
      </c>
      <c r="AI2" s="24"/>
      <c r="AJ2" s="24"/>
    </row>
    <row r="3" spans="1:36">
      <c r="A3" s="45" t="s">
        <v>35</v>
      </c>
      <c r="B3" s="45" t="s">
        <v>106</v>
      </c>
      <c r="C3" s="45">
        <v>83060</v>
      </c>
      <c r="D3" s="45" t="s">
        <v>107</v>
      </c>
      <c r="E3" s="45">
        <v>87100</v>
      </c>
      <c r="F3" s="45" t="s">
        <v>38</v>
      </c>
      <c r="G3" s="45" t="s">
        <v>39</v>
      </c>
      <c r="H3" s="45" t="s">
        <v>54</v>
      </c>
      <c r="I3" s="45" t="s">
        <v>84</v>
      </c>
      <c r="J3" s="45" t="s">
        <v>108</v>
      </c>
      <c r="K3" s="45" t="s">
        <v>97</v>
      </c>
      <c r="L3" s="45"/>
      <c r="M3" s="45"/>
      <c r="N3" s="45"/>
      <c r="O3" s="45"/>
      <c r="P3" s="45" t="s">
        <v>98</v>
      </c>
      <c r="Q3" s="45" t="s">
        <v>55</v>
      </c>
      <c r="R3" s="45" t="s">
        <v>99</v>
      </c>
      <c r="S3" s="45" t="s">
        <v>101</v>
      </c>
      <c r="T3" s="45" t="s">
        <v>103</v>
      </c>
      <c r="U3" s="45"/>
      <c r="V3" s="45"/>
      <c r="W3" s="45" t="s">
        <v>104</v>
      </c>
      <c r="X3" s="60">
        <v>45873.219444444447</v>
      </c>
      <c r="Y3" s="45" t="s">
        <v>109</v>
      </c>
      <c r="Z3" s="45"/>
      <c r="AA3" s="45"/>
      <c r="AB3" t="str">
        <f>IF(LEFT(Jira__32[[#This Row],[Resumen]],3)="POS","POS",IF(LEFT(Jira__32[[#This Row],[Resumen]],3)="BOT","BOT",""))</f>
        <v>POS</v>
      </c>
      <c r="AC3" s="10" t="s">
        <v>110</v>
      </c>
      <c r="AE3" s="24" t="str" cm="1">
        <f t="array" ref="AE3">_xlfn.IFS(OR(COUNTIF(P3:V3,Versiones!$G$9)&gt;0, COUNTIF(P3:V3,Versiones!$H$8)&gt;0), "Sprint 21",OR(COUNTIF(P3:V3,Versiones!$G$8)&gt;0, COUNTIF(P3:V3,Versiones!$H$8)&gt;0, COUNTIF(P3:V3,Versiones!$I$8)&gt;0), "Sprint 20",OR(COUNTIF(P3:V3,Versiones!$G$7)&gt;0, COUNTIF(P3:V3,Versiones!$H$7)&gt;0, COUNTIF(P3:V3,Versiones!$I$7)&gt;0), "Sprint 19",OR(COUNTIF(P3:V3,Versiones!$G$6)&gt;0, COUNTIF(P3:V3,Versiones!$H$6)&gt;0, COUNTIF(P3:V3,Versiones!$I$6)&gt;0), "Sprint 18",OR(COUNTIF(P3:V3,Versiones!$G$4)&gt;0, COUNTIF(P3:V3,Versiones!$H$4)&gt;0, COUNTIF(P3:V3,Versiones!$G$5)&gt;0, COUNTIF(P3:V3,Versiones!$H$5)&gt;0), "Sprint 17",OR(COUNTIF(P3:V3,Versiones!$G$2)&gt;0, COUNTIF(P3:V3,Versiones!$H$2)&gt;0, COUNTIF(P3:V3,Versiones!$G$3)&gt;0, COUNTIF(P3:V3,Versiones!$H$3)&gt;0), "Sprint 16", OR(COUNTIF(P3:V3,Versiones!$G$2)&gt;0, COUNTIF(P3:V3,Versiones!$H$2)&gt;0, COUNTIF(P3:V3,Versiones!$G$3)&gt;0, COUNTIF(P3:V3,Versiones!$H$3)&gt;0), "Sprint 16",TRUE, "")</f>
        <v>Sprint 16</v>
      </c>
      <c r="AF3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3" t="str" cm="1">
        <f t="array" ref="AG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3" s="24" t="str" cm="1">
        <f t="array" ref="AH3">_xlfn.IFS(COUNTIF(P3:V3, Versiones!$A$13)&gt;0, "Funcional", COUNTIF(P3:V3, Versiones!$A$14)&gt;0, "Configuración", COUNTIF(P3:V3, Versiones!$A$15)&gt;0, "Look&amp;Feel", COUNTIF(P3:V3, Versiones!$A$16)&gt;0, "Integración", COUNTIF(P3:V3, Versiones!$A$17)&gt;0, "Contenido/Datos", COUNTIF(P3:V3, Versiones!$A$18)&gt;0, "Eventos_Cosmos", COUNTIF(P3:V3, Versiones!$A$19)&gt;0, "Eventos_iOT", COUNTIF(P3:V3, Versiones!$A$20)&gt;0, "Eventos_Fabric", TRUE, "No encontrado")</f>
        <v>Look&amp;Feel</v>
      </c>
    </row>
    <row r="4" spans="1:36">
      <c r="A4" s="45" t="s">
        <v>35</v>
      </c>
      <c r="B4" s="45" t="s">
        <v>111</v>
      </c>
      <c r="C4" s="45">
        <v>83058</v>
      </c>
      <c r="D4" s="45" t="s">
        <v>112</v>
      </c>
      <c r="E4" s="45">
        <v>87100</v>
      </c>
      <c r="F4" s="45" t="s">
        <v>38</v>
      </c>
      <c r="G4" s="45" t="s">
        <v>39</v>
      </c>
      <c r="H4" s="45" t="s">
        <v>54</v>
      </c>
      <c r="I4" s="45" t="s">
        <v>81</v>
      </c>
      <c r="J4" s="45" t="s">
        <v>97</v>
      </c>
      <c r="K4" s="45"/>
      <c r="L4" s="45"/>
      <c r="M4" s="45"/>
      <c r="N4" s="45"/>
      <c r="O4" s="45"/>
      <c r="P4" s="45" t="s">
        <v>98</v>
      </c>
      <c r="Q4" s="45" t="s">
        <v>43</v>
      </c>
      <c r="R4" s="45" t="s">
        <v>99</v>
      </c>
      <c r="S4" s="45" t="s">
        <v>101</v>
      </c>
      <c r="T4" s="45" t="s">
        <v>103</v>
      </c>
      <c r="U4" s="45"/>
      <c r="V4" s="45"/>
      <c r="W4" s="45" t="s">
        <v>104</v>
      </c>
      <c r="X4" s="60">
        <v>45873.196527777778</v>
      </c>
      <c r="Y4" s="45"/>
      <c r="Z4" s="45"/>
      <c r="AA4" s="45"/>
      <c r="AB4" t="str">
        <f>IF(LEFT(Jira__32[[#This Row],[Resumen]],3)="POS","POS",IF(LEFT(Jira__32[[#This Row],[Resumen]],3)="BOT","BOT",""))</f>
        <v>POS</v>
      </c>
      <c r="AC4" s="10" t="s">
        <v>110</v>
      </c>
      <c r="AE4" s="24" t="str" cm="1">
        <f t="array" ref="AE4">_xlfn.IFS(OR(COUNTIF(P4:V4,Versiones!$G$9)&gt;0, COUNTIF(P4:V4,Versiones!$H$8)&gt;0), "Sprint 21",OR(COUNTIF(P4:V4,Versiones!$G$8)&gt;0, COUNTIF(P4:V4,Versiones!$H$8)&gt;0, COUNTIF(P4:V4,Versiones!$I$8)&gt;0), "Sprint 20",OR(COUNTIF(P4:V4,Versiones!$G$7)&gt;0, COUNTIF(P4:V4,Versiones!$H$7)&gt;0, COUNTIF(P4:V4,Versiones!$I$7)&gt;0), "Sprint 19",OR(COUNTIF(P4:V4,Versiones!$G$6)&gt;0, COUNTIF(P4:V4,Versiones!$H$6)&gt;0, COUNTIF(P4:V4,Versiones!$I$6)&gt;0), "Sprint 18",OR(COUNTIF(P4:V4,Versiones!$G$4)&gt;0, COUNTIF(P4:V4,Versiones!$H$4)&gt;0, COUNTIF(P4:V4,Versiones!$G$5)&gt;0, COUNTIF(P4:V4,Versiones!$H$5)&gt;0), "Sprint 17",OR(COUNTIF(P4:V4,Versiones!$G$2)&gt;0, COUNTIF(P4:V4,Versiones!$H$2)&gt;0, COUNTIF(P4:V4,Versiones!$G$3)&gt;0, COUNTIF(P4:V4,Versiones!$H$3)&gt;0), "Sprint 16", OR(COUNTIF(P4:V4,Versiones!$G$2)&gt;0, COUNTIF(P4:V4,Versiones!$H$2)&gt;0, COUNTIF(P4:V4,Versiones!$G$3)&gt;0, COUNTIF(P4:V4,Versiones!$H$3)&gt;0), "Sprint 16",TRUE, "")</f>
        <v>Sprint 16</v>
      </c>
      <c r="AF4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4" t="str" cm="1">
        <f t="array" ref="AG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4" s="24" t="str" cm="1">
        <f t="array" ref="AH4">_xlfn.IFS(COUNTIF(P4:V4, Versiones!$A$13)&gt;0, "Funcional", COUNTIF(P4:V4, Versiones!$A$14)&gt;0, "Configuración", COUNTIF(P4:V4, Versiones!$A$15)&gt;0, "Look&amp;Feel", COUNTIF(P4:V4, Versiones!$A$16)&gt;0, "Integración", COUNTIF(P4:V4, Versiones!$A$17)&gt;0, "Contenido/Datos", COUNTIF(P4:V4, Versiones!$A$18)&gt;0, "Eventos_Cosmos", COUNTIF(P4:V4, Versiones!$A$19)&gt;0, "Eventos_iOT", COUNTIF(P4:V4, Versiones!$A$20)&gt;0, "Eventos_Fabric", TRUE, "No encontrado")</f>
        <v>Funcional</v>
      </c>
    </row>
    <row r="5" spans="1:36">
      <c r="A5" s="45" t="s">
        <v>35</v>
      </c>
      <c r="B5" s="45" t="s">
        <v>113</v>
      </c>
      <c r="C5" s="45">
        <v>83056</v>
      </c>
      <c r="D5" s="45" t="s">
        <v>114</v>
      </c>
      <c r="E5" s="45">
        <v>87100</v>
      </c>
      <c r="F5" s="45" t="s">
        <v>38</v>
      </c>
      <c r="G5" s="45" t="s">
        <v>39</v>
      </c>
      <c r="H5" s="45" t="s">
        <v>54</v>
      </c>
      <c r="I5" s="45" t="s">
        <v>81</v>
      </c>
      <c r="J5" s="45" t="s">
        <v>97</v>
      </c>
      <c r="K5" s="45"/>
      <c r="L5" s="45"/>
      <c r="M5" s="45"/>
      <c r="N5" s="45"/>
      <c r="O5" s="45"/>
      <c r="P5" s="45" t="s">
        <v>98</v>
      </c>
      <c r="Q5" s="45" t="s">
        <v>43</v>
      </c>
      <c r="R5" s="45" t="s">
        <v>99</v>
      </c>
      <c r="S5" s="45" t="s">
        <v>101</v>
      </c>
      <c r="T5" s="45" t="s">
        <v>103</v>
      </c>
      <c r="U5" s="45"/>
      <c r="V5" s="45"/>
      <c r="W5" s="45" t="s">
        <v>104</v>
      </c>
      <c r="X5" s="60">
        <v>45873.193749999999</v>
      </c>
      <c r="Y5" s="45"/>
      <c r="Z5" s="45"/>
      <c r="AA5" s="45"/>
      <c r="AB5" t="str">
        <f>IF(LEFT(Jira__32[[#This Row],[Resumen]],3)="POS","POS",IF(LEFT(Jira__32[[#This Row],[Resumen]],3)="BOT","BOT",""))</f>
        <v>POS</v>
      </c>
      <c r="AC5" s="10" t="s">
        <v>110</v>
      </c>
      <c r="AE5" s="24" t="str" cm="1">
        <f t="array" ref="AE5">_xlfn.IFS(OR(COUNTIF(P5:V5,Versiones!$G$9)&gt;0, COUNTIF(P5:V5,Versiones!$H$8)&gt;0), "Sprint 21",OR(COUNTIF(P5:V5,Versiones!$G$8)&gt;0, COUNTIF(P5:V5,Versiones!$H$8)&gt;0, COUNTIF(P5:V5,Versiones!$I$8)&gt;0), "Sprint 20",OR(COUNTIF(P5:V5,Versiones!$G$7)&gt;0, COUNTIF(P5:V5,Versiones!$H$7)&gt;0, COUNTIF(P5:V5,Versiones!$I$7)&gt;0), "Sprint 19",OR(COUNTIF(P5:V5,Versiones!$G$6)&gt;0, COUNTIF(P5:V5,Versiones!$H$6)&gt;0, COUNTIF(P5:V5,Versiones!$I$6)&gt;0), "Sprint 18",OR(COUNTIF(P5:V5,Versiones!$G$4)&gt;0, COUNTIF(P5:V5,Versiones!$H$4)&gt;0, COUNTIF(P5:V5,Versiones!$G$5)&gt;0, COUNTIF(P5:V5,Versiones!$H$5)&gt;0), "Sprint 17",OR(COUNTIF(P5:V5,Versiones!$G$2)&gt;0, COUNTIF(P5:V5,Versiones!$H$2)&gt;0, COUNTIF(P5:V5,Versiones!$G$3)&gt;0, COUNTIF(P5:V5,Versiones!$H$3)&gt;0), "Sprint 16", OR(COUNTIF(P5:V5,Versiones!$G$2)&gt;0, COUNTIF(P5:V5,Versiones!$H$2)&gt;0, COUNTIF(P5:V5,Versiones!$G$3)&gt;0, COUNTIF(P5:V5,Versiones!$H$3)&gt;0), "Sprint 16",TRUE, "")</f>
        <v>Sprint 16</v>
      </c>
      <c r="AF5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5" t="str" cm="1">
        <f t="array" ref="AG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5" s="24" t="str" cm="1">
        <f t="array" ref="AH5">_xlfn.IFS(COUNTIF(P5:V5, Versiones!$A$13)&gt;0, "Funcional", COUNTIF(P5:V5, Versiones!$A$14)&gt;0, "Configuración", COUNTIF(P5:V5, Versiones!$A$15)&gt;0, "Look&amp;Feel", COUNTIF(P5:V5, Versiones!$A$16)&gt;0, "Integración", COUNTIF(P5:V5, Versiones!$A$17)&gt;0, "Contenido/Datos", COUNTIF(P5:V5, Versiones!$A$18)&gt;0, "Eventos_Cosmos", COUNTIF(P5:V5, Versiones!$A$19)&gt;0, "Eventos_iOT", COUNTIF(P5:V5, Versiones!$A$20)&gt;0, "Eventos_Fabric", TRUE, "No encontrado")</f>
        <v>Funcional</v>
      </c>
    </row>
    <row r="6" spans="1:36">
      <c r="A6" s="45" t="s">
        <v>35</v>
      </c>
      <c r="B6" s="45" t="s">
        <v>115</v>
      </c>
      <c r="C6" s="45">
        <v>83054</v>
      </c>
      <c r="D6" s="45" t="s">
        <v>116</v>
      </c>
      <c r="E6" s="45">
        <v>87100</v>
      </c>
      <c r="F6" s="45" t="s">
        <v>38</v>
      </c>
      <c r="G6" s="45" t="s">
        <v>39</v>
      </c>
      <c r="H6" s="45" t="s">
        <v>40</v>
      </c>
      <c r="I6" s="45" t="s">
        <v>85</v>
      </c>
      <c r="J6" s="45" t="s">
        <v>117</v>
      </c>
      <c r="K6" s="45" t="s">
        <v>118</v>
      </c>
      <c r="L6" s="45" t="s">
        <v>42</v>
      </c>
      <c r="M6" s="45"/>
      <c r="N6" s="45"/>
      <c r="O6" s="45"/>
      <c r="P6" s="45" t="s">
        <v>98</v>
      </c>
      <c r="Q6" s="45" t="s">
        <v>55</v>
      </c>
      <c r="R6" s="45" t="s">
        <v>119</v>
      </c>
      <c r="S6" s="45" t="s">
        <v>99</v>
      </c>
      <c r="T6" s="45" t="s">
        <v>100</v>
      </c>
      <c r="U6" s="45" t="s">
        <v>103</v>
      </c>
      <c r="V6" s="45"/>
      <c r="W6" s="45" t="s">
        <v>120</v>
      </c>
      <c r="X6" s="60">
        <v>45873.171527777777</v>
      </c>
      <c r="Y6" s="45" t="s">
        <v>105</v>
      </c>
      <c r="Z6" s="45" t="s">
        <v>121</v>
      </c>
      <c r="AA6" s="45" t="s">
        <v>109</v>
      </c>
      <c r="AB6" t="str">
        <f>IF(LEFT(Jira__32[[#This Row],[Resumen]],3)="POS","POS",IF(LEFT(Jira__32[[#This Row],[Resumen]],3)="BOT","BOT",""))</f>
        <v>BOT</v>
      </c>
      <c r="AC6" s="10" t="s">
        <v>110</v>
      </c>
      <c r="AE6" s="24" t="str" cm="1">
        <f t="array" ref="AE6">_xlfn.IFS(OR(COUNTIF(P6:V6,Versiones!$G$9)&gt;0, COUNTIF(P6:V6,Versiones!$H$8)&gt;0), "Sprint 21",OR(COUNTIF(P6:V6,Versiones!$G$8)&gt;0, COUNTIF(P6:V6,Versiones!$H$8)&gt;0, COUNTIF(P6:V6,Versiones!$I$8)&gt;0), "Sprint 20",OR(COUNTIF(P6:V6,Versiones!$G$7)&gt;0, COUNTIF(P6:V6,Versiones!$H$7)&gt;0, COUNTIF(P6:V6,Versiones!$I$7)&gt;0), "Sprint 19",OR(COUNTIF(P6:V6,Versiones!$G$6)&gt;0, COUNTIF(P6:V6,Versiones!$H$6)&gt;0, COUNTIF(P6:V6,Versiones!$I$6)&gt;0), "Sprint 18",OR(COUNTIF(P6:V6,Versiones!$G$4)&gt;0, COUNTIF(P6:V6,Versiones!$H$4)&gt;0, COUNTIF(P6:V6,Versiones!$G$5)&gt;0, COUNTIF(P6:V6,Versiones!$H$5)&gt;0), "Sprint 17",OR(COUNTIF(P6:V6,Versiones!$G$2)&gt;0, COUNTIF(P6:V6,Versiones!$H$2)&gt;0, COUNTIF(P6:V6,Versiones!$G$3)&gt;0, COUNTIF(P6:V6,Versiones!$H$3)&gt;0), "Sprint 16", OR(COUNTIF(P6:V6,Versiones!$G$2)&gt;0, COUNTIF(P6:V6,Versiones!$H$2)&gt;0, COUNTIF(P6:V6,Versiones!$G$3)&gt;0, COUNTIF(P6:V6,Versiones!$H$3)&gt;0), "Sprint 16",TRUE, "")</f>
        <v>Sprint 16</v>
      </c>
      <c r="AF6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6" t="str" cm="1">
        <f t="array" ref="AG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6" s="24" t="str" cm="1">
        <f t="array" ref="AH6">_xlfn.IFS(COUNTIF(P6:V6, Versiones!$A$13)&gt;0, "Funcional", COUNTIF(P6:V6, Versiones!$A$14)&gt;0, "Configuración", COUNTIF(P6:V6, Versiones!$A$15)&gt;0, "Look&amp;Feel", COUNTIF(P6:V6, Versiones!$A$16)&gt;0, "Integración", COUNTIF(P6:V6, Versiones!$A$17)&gt;0, "Contenido/Datos", COUNTIF(P6:V6, Versiones!$A$18)&gt;0, "Eventos_Cosmos", COUNTIF(P6:V6, Versiones!$A$19)&gt;0, "Eventos_iOT", COUNTIF(P6:V6, Versiones!$A$20)&gt;0, "Eventos_Fabric", TRUE, "No encontrado")</f>
        <v>Look&amp;Feel</v>
      </c>
    </row>
    <row r="7" spans="1:36">
      <c r="A7" s="45" t="s">
        <v>35</v>
      </c>
      <c r="B7" s="45" t="s">
        <v>122</v>
      </c>
      <c r="C7" s="45">
        <v>83052</v>
      </c>
      <c r="D7" s="45" t="s">
        <v>123</v>
      </c>
      <c r="E7" s="45">
        <v>79941</v>
      </c>
      <c r="F7" s="45" t="s">
        <v>124</v>
      </c>
      <c r="G7" s="45" t="s">
        <v>125</v>
      </c>
      <c r="H7" s="45" t="s">
        <v>54</v>
      </c>
      <c r="I7" s="45" t="s">
        <v>41</v>
      </c>
      <c r="J7" s="45" t="s">
        <v>126</v>
      </c>
      <c r="K7" s="45" t="s">
        <v>117</v>
      </c>
      <c r="L7" s="45" t="s">
        <v>118</v>
      </c>
      <c r="M7" s="45" t="s">
        <v>97</v>
      </c>
      <c r="N7" s="45"/>
      <c r="O7" s="45"/>
      <c r="P7" s="45" t="s">
        <v>43</v>
      </c>
      <c r="Q7" s="45" t="s">
        <v>119</v>
      </c>
      <c r="R7" s="45" t="s">
        <v>99</v>
      </c>
      <c r="S7" s="45" t="s">
        <v>100</v>
      </c>
      <c r="T7" s="45" t="s">
        <v>103</v>
      </c>
      <c r="U7" s="45"/>
      <c r="V7" s="45"/>
      <c r="W7" s="45" t="s">
        <v>104</v>
      </c>
      <c r="X7" s="60">
        <v>45873.168749999997</v>
      </c>
      <c r="Y7" s="45" t="s">
        <v>121</v>
      </c>
      <c r="Z7" s="45" t="s">
        <v>109</v>
      </c>
      <c r="AA7" s="45"/>
      <c r="AB7" t="str">
        <f>IF(LEFT(Jira__32[[#This Row],[Resumen]],3)="POS","POS",IF(LEFT(Jira__32[[#This Row],[Resumen]],3)="BOT","BOT",""))</f>
        <v>BOT</v>
      </c>
      <c r="AC7" s="10" t="s">
        <v>110</v>
      </c>
      <c r="AE7" s="24" t="str" cm="1">
        <f t="array" ref="AE7">_xlfn.IFS(OR(COUNTIF(P7:V7,Versiones!$G$9)&gt;0, COUNTIF(P7:V7,Versiones!$H$8)&gt;0), "Sprint 21",OR(COUNTIF(P7:V7,Versiones!$G$8)&gt;0, COUNTIF(P7:V7,Versiones!$H$8)&gt;0, COUNTIF(P7:V7,Versiones!$I$8)&gt;0), "Sprint 20",OR(COUNTIF(P7:V7,Versiones!$G$7)&gt;0, COUNTIF(P7:V7,Versiones!$H$7)&gt;0, COUNTIF(P7:V7,Versiones!$I$7)&gt;0), "Sprint 19",OR(COUNTIF(P7:V7,Versiones!$G$6)&gt;0, COUNTIF(P7:V7,Versiones!$H$6)&gt;0, COUNTIF(P7:V7,Versiones!$I$6)&gt;0), "Sprint 18",OR(COUNTIF(P7:V7,Versiones!$G$4)&gt;0, COUNTIF(P7:V7,Versiones!$H$4)&gt;0, COUNTIF(P7:V7,Versiones!$G$5)&gt;0, COUNTIF(P7:V7,Versiones!$H$5)&gt;0), "Sprint 17",OR(COUNTIF(P7:V7,Versiones!$G$2)&gt;0, COUNTIF(P7:V7,Versiones!$H$2)&gt;0, COUNTIF(P7:V7,Versiones!$G$3)&gt;0, COUNTIF(P7:V7,Versiones!$H$3)&gt;0), "Sprint 16", OR(COUNTIF(P7:V7,Versiones!$G$2)&gt;0, COUNTIF(P7:V7,Versiones!$H$2)&gt;0, COUNTIF(P7:V7,Versiones!$G$3)&gt;0, COUNTIF(P7:V7,Versiones!$H$3)&gt;0), "Sprint 16",TRUE, "")</f>
        <v>Sprint 16</v>
      </c>
      <c r="AF7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7" t="str" cm="1">
        <f t="array" ref="AG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7" s="24" t="str" cm="1">
        <f t="array" ref="AH7">_xlfn.IFS(COUNTIF(P7:V7, Versiones!$A$13)&gt;0, "Funcional", COUNTIF(P7:V7, Versiones!$A$14)&gt;0, "Configuración", COUNTIF(P7:V7, Versiones!$A$15)&gt;0, "Look&amp;Feel", COUNTIF(P7:V7, Versiones!$A$16)&gt;0, "Integración", COUNTIF(P7:V7, Versiones!$A$17)&gt;0, "Contenido/Datos", COUNTIF(P7:V7, Versiones!$A$18)&gt;0, "Eventos_Cosmos", COUNTIF(P7:V7, Versiones!$A$19)&gt;0, "Eventos_iOT", COUNTIF(P7:V7, Versiones!$A$20)&gt;0, "Eventos_Fabric", TRUE, "No encontrado")</f>
        <v>Funcional</v>
      </c>
    </row>
    <row r="8" spans="1:36">
      <c r="A8" s="45" t="s">
        <v>35</v>
      </c>
      <c r="B8" s="45" t="s">
        <v>127</v>
      </c>
      <c r="C8" s="45">
        <v>83049</v>
      </c>
      <c r="D8" s="45" t="s">
        <v>128</v>
      </c>
      <c r="E8" s="45">
        <v>87100</v>
      </c>
      <c r="F8" s="45" t="s">
        <v>38</v>
      </c>
      <c r="G8" s="45" t="s">
        <v>39</v>
      </c>
      <c r="H8" s="45" t="s">
        <v>54</v>
      </c>
      <c r="I8" s="45" t="s">
        <v>84</v>
      </c>
      <c r="J8" s="45" t="s">
        <v>118</v>
      </c>
      <c r="K8" s="45" t="s">
        <v>97</v>
      </c>
      <c r="L8" s="45"/>
      <c r="M8" s="45"/>
      <c r="N8" s="45"/>
      <c r="O8" s="45"/>
      <c r="P8" s="45" t="s">
        <v>129</v>
      </c>
      <c r="Q8" s="45" t="s">
        <v>130</v>
      </c>
      <c r="R8" s="45" t="s">
        <v>119</v>
      </c>
      <c r="S8" s="45" t="s">
        <v>99</v>
      </c>
      <c r="T8" s="45" t="s">
        <v>101</v>
      </c>
      <c r="U8" s="45" t="s">
        <v>103</v>
      </c>
      <c r="V8" s="45"/>
      <c r="W8" s="45" t="s">
        <v>104</v>
      </c>
      <c r="X8" s="60">
        <v>45873.148611111108</v>
      </c>
      <c r="Y8" s="45" t="s">
        <v>109</v>
      </c>
      <c r="Z8" s="45"/>
      <c r="AA8" s="45"/>
      <c r="AB8" t="str">
        <f>IF(LEFT(Jira__32[[#This Row],[Resumen]],3)="POS","POS",IF(LEFT(Jira__32[[#This Row],[Resumen]],3)="BOT","BOT",""))</f>
        <v>POS</v>
      </c>
      <c r="AC8" s="10" t="s">
        <v>47</v>
      </c>
      <c r="AE8" s="24" t="str" cm="1">
        <f t="array" ref="AE8">_xlfn.IFS(OR(COUNTIF(P8:V8,Versiones!$G$9)&gt;0, COUNTIF(P8:V8,Versiones!$H$8)&gt;0), "Sprint 21",OR(COUNTIF(P8:V8,Versiones!$G$8)&gt;0, COUNTIF(P8:V8,Versiones!$H$8)&gt;0, COUNTIF(P8:V8,Versiones!$I$8)&gt;0), "Sprint 20",OR(COUNTIF(P8:V8,Versiones!$G$7)&gt;0, COUNTIF(P8:V8,Versiones!$H$7)&gt;0, COUNTIF(P8:V8,Versiones!$I$7)&gt;0), "Sprint 19",OR(COUNTIF(P8:V8,Versiones!$G$6)&gt;0, COUNTIF(P8:V8,Versiones!$H$6)&gt;0, COUNTIF(P8:V8,Versiones!$I$6)&gt;0), "Sprint 18",OR(COUNTIF(P8:V8,Versiones!$G$4)&gt;0, COUNTIF(P8:V8,Versiones!$H$4)&gt;0, COUNTIF(P8:V8,Versiones!$G$5)&gt;0, COUNTIF(P8:V8,Versiones!$H$5)&gt;0), "Sprint 17",OR(COUNTIF(P8:V8,Versiones!$G$2)&gt;0, COUNTIF(P8:V8,Versiones!$H$2)&gt;0, COUNTIF(P8:V8,Versiones!$G$3)&gt;0, COUNTIF(P8:V8,Versiones!$H$3)&gt;0), "Sprint 16", OR(COUNTIF(P8:V8,Versiones!$G$2)&gt;0, COUNTIF(P8:V8,Versiones!$H$2)&gt;0, COUNTIF(P8:V8,Versiones!$G$3)&gt;0, COUNTIF(P8:V8,Versiones!$H$3)&gt;0), "Sprint 16",TRUE, "")</f>
        <v>Sprint 16</v>
      </c>
      <c r="AF8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8" t="str" cm="1">
        <f t="array" ref="AG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8" s="24" t="str" cm="1">
        <f t="array" ref="AH8">_xlfn.IFS(COUNTIF(P8:V8, Versiones!$A$13)&gt;0, "Funcional", COUNTIF(P8:V8, Versiones!$A$14)&gt;0, "Configuración", COUNTIF(P8:V8, Versiones!$A$15)&gt;0, "Look&amp;Feel", COUNTIF(P8:V8, Versiones!$A$16)&gt;0, "Integración", COUNTIF(P8:V8, Versiones!$A$17)&gt;0, "Contenido/Datos", COUNTIF(P8:V8, Versiones!$A$18)&gt;0, "Eventos_Cosmos", COUNTIF(P8:V8, Versiones!$A$19)&gt;0, "Eventos_iOT", COUNTIF(P8:V8, Versiones!$A$20)&gt;0, "Eventos_Fabric", TRUE, "No encontrado")</f>
        <v>Integración</v>
      </c>
    </row>
    <row r="9" spans="1:36">
      <c r="A9" s="45" t="s">
        <v>35</v>
      </c>
      <c r="B9" s="45" t="s">
        <v>131</v>
      </c>
      <c r="C9" s="45">
        <v>83046</v>
      </c>
      <c r="D9" s="45" t="s">
        <v>132</v>
      </c>
      <c r="E9" s="45">
        <v>87100</v>
      </c>
      <c r="F9" s="45" t="s">
        <v>38</v>
      </c>
      <c r="G9" s="45" t="s">
        <v>39</v>
      </c>
      <c r="H9" s="45" t="s">
        <v>54</v>
      </c>
      <c r="I9" s="45" t="s">
        <v>41</v>
      </c>
      <c r="J9" s="45" t="s">
        <v>97</v>
      </c>
      <c r="K9" s="45"/>
      <c r="L9" s="45"/>
      <c r="M9" s="45"/>
      <c r="N9" s="45"/>
      <c r="O9" s="45"/>
      <c r="P9" s="45" t="s">
        <v>98</v>
      </c>
      <c r="Q9" s="45" t="s">
        <v>130</v>
      </c>
      <c r="R9" s="45" t="s">
        <v>99</v>
      </c>
      <c r="S9" s="45" t="s">
        <v>100</v>
      </c>
      <c r="T9" s="45" t="s">
        <v>103</v>
      </c>
      <c r="U9" s="45"/>
      <c r="V9" s="45"/>
      <c r="W9" s="45" t="s">
        <v>104</v>
      </c>
      <c r="X9" s="60">
        <v>45873.130555555559</v>
      </c>
      <c r="Y9" s="45" t="s">
        <v>105</v>
      </c>
      <c r="Z9" s="45"/>
      <c r="AA9" s="45"/>
      <c r="AB9" t="str">
        <f>IF(LEFT(Jira__32[[#This Row],[Resumen]],3)="POS","POS",IF(LEFT(Jira__32[[#This Row],[Resumen]],3)="BOT","BOT",""))</f>
        <v>BOT</v>
      </c>
      <c r="AC9" s="10" t="s">
        <v>133</v>
      </c>
      <c r="AE9" s="24" t="str" cm="1">
        <f t="array" ref="AE9">_xlfn.IFS(OR(COUNTIF(P9:V9,Versiones!$G$9)&gt;0, COUNTIF(P9:V9,Versiones!$H$8)&gt;0), "Sprint 21",OR(COUNTIF(P9:V9,Versiones!$G$8)&gt;0, COUNTIF(P9:V9,Versiones!$H$8)&gt;0, COUNTIF(P9:V9,Versiones!$I$8)&gt;0), "Sprint 20",OR(COUNTIF(P9:V9,Versiones!$G$7)&gt;0, COUNTIF(P9:V9,Versiones!$H$7)&gt;0, COUNTIF(P9:V9,Versiones!$I$7)&gt;0), "Sprint 19",OR(COUNTIF(P9:V9,Versiones!$G$6)&gt;0, COUNTIF(P9:V9,Versiones!$H$6)&gt;0, COUNTIF(P9:V9,Versiones!$I$6)&gt;0), "Sprint 18",OR(COUNTIF(P9:V9,Versiones!$G$4)&gt;0, COUNTIF(P9:V9,Versiones!$H$4)&gt;0, COUNTIF(P9:V9,Versiones!$G$5)&gt;0, COUNTIF(P9:V9,Versiones!$H$5)&gt;0), "Sprint 17",OR(COUNTIF(P9:V9,Versiones!$G$2)&gt;0, COUNTIF(P9:V9,Versiones!$H$2)&gt;0, COUNTIF(P9:V9,Versiones!$G$3)&gt;0, COUNTIF(P9:V9,Versiones!$H$3)&gt;0), "Sprint 16", OR(COUNTIF(P9:V9,Versiones!$G$2)&gt;0, COUNTIF(P9:V9,Versiones!$H$2)&gt;0, COUNTIF(P9:V9,Versiones!$G$3)&gt;0, COUNTIF(P9:V9,Versiones!$H$3)&gt;0), "Sprint 16",TRUE, "")</f>
        <v>Sprint 16</v>
      </c>
      <c r="AF9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9" t="str" cm="1">
        <f t="array" ref="AG9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9" s="24" t="str" cm="1">
        <f t="array" ref="AH9">_xlfn.IFS(COUNTIF(P9:V9, Versiones!$A$13)&gt;0, "Funcional", COUNTIF(P9:V9, Versiones!$A$14)&gt;0, "Configuración", COUNTIF(P9:V9, Versiones!$A$15)&gt;0, "Look&amp;Feel", COUNTIF(P9:V9, Versiones!$A$16)&gt;0, "Integración", COUNTIF(P9:V9, Versiones!$A$17)&gt;0, "Contenido/Datos", COUNTIF(P9:V9, Versiones!$A$18)&gt;0, "Eventos_Cosmos", COUNTIF(P9:V9, Versiones!$A$19)&gt;0, "Eventos_iOT", COUNTIF(P9:V9, Versiones!$A$20)&gt;0, "Eventos_Fabric", TRUE, "No encontrado")</f>
        <v>Integración</v>
      </c>
    </row>
    <row r="10" spans="1:36">
      <c r="A10" s="45" t="s">
        <v>35</v>
      </c>
      <c r="B10" s="45" t="s">
        <v>134</v>
      </c>
      <c r="C10" s="45">
        <v>83044</v>
      </c>
      <c r="D10" s="45" t="s">
        <v>135</v>
      </c>
      <c r="E10" s="45">
        <v>87100</v>
      </c>
      <c r="F10" s="45" t="s">
        <v>38</v>
      </c>
      <c r="G10" s="45" t="s">
        <v>39</v>
      </c>
      <c r="H10" s="45" t="s">
        <v>54</v>
      </c>
      <c r="I10" s="45" t="s">
        <v>84</v>
      </c>
      <c r="J10" s="45" t="s">
        <v>97</v>
      </c>
      <c r="K10" s="45"/>
      <c r="L10" s="45"/>
      <c r="M10" s="45"/>
      <c r="N10" s="45"/>
      <c r="O10" s="45"/>
      <c r="P10" s="45" t="s">
        <v>98</v>
      </c>
      <c r="Q10" s="45" t="s">
        <v>43</v>
      </c>
      <c r="R10" s="45" t="s">
        <v>99</v>
      </c>
      <c r="S10" s="45" t="s">
        <v>100</v>
      </c>
      <c r="T10" s="45" t="s">
        <v>103</v>
      </c>
      <c r="U10" s="45"/>
      <c r="V10" s="45"/>
      <c r="W10" s="45" t="s">
        <v>104</v>
      </c>
      <c r="X10" s="60">
        <v>45873.129166666666</v>
      </c>
      <c r="Y10" s="45" t="s">
        <v>105</v>
      </c>
      <c r="Z10" s="45"/>
      <c r="AA10" s="45"/>
      <c r="AB10" t="str">
        <f>IF(LEFT(Jira__32[[#This Row],[Resumen]],3)="POS","POS",IF(LEFT(Jira__32[[#This Row],[Resumen]],3)="BOT","BOT",""))</f>
        <v>BOT</v>
      </c>
      <c r="AC10" s="10" t="s">
        <v>47</v>
      </c>
      <c r="AE10" s="24" t="str" cm="1">
        <f t="array" ref="AE10">_xlfn.IFS(OR(COUNTIF(P10:V10,Versiones!$G$9)&gt;0, COUNTIF(P10:V10,Versiones!$H$8)&gt;0), "Sprint 21",OR(COUNTIF(P10:V10,Versiones!$G$8)&gt;0, COUNTIF(P10:V10,Versiones!$H$8)&gt;0, COUNTIF(P10:V10,Versiones!$I$8)&gt;0), "Sprint 20",OR(COUNTIF(P10:V10,Versiones!$G$7)&gt;0, COUNTIF(P10:V10,Versiones!$H$7)&gt;0, COUNTIF(P10:V10,Versiones!$I$7)&gt;0), "Sprint 19",OR(COUNTIF(P10:V10,Versiones!$G$6)&gt;0, COUNTIF(P10:V10,Versiones!$H$6)&gt;0, COUNTIF(P10:V10,Versiones!$I$6)&gt;0), "Sprint 18",OR(COUNTIF(P10:V10,Versiones!$G$4)&gt;0, COUNTIF(P10:V10,Versiones!$H$4)&gt;0, COUNTIF(P10:V10,Versiones!$G$5)&gt;0, COUNTIF(P10:V10,Versiones!$H$5)&gt;0), "Sprint 17",OR(COUNTIF(P10:V10,Versiones!$G$2)&gt;0, COUNTIF(P10:V10,Versiones!$H$2)&gt;0, COUNTIF(P10:V10,Versiones!$G$3)&gt;0, COUNTIF(P10:V10,Versiones!$H$3)&gt;0), "Sprint 16", OR(COUNTIF(P10:V10,Versiones!$G$2)&gt;0, COUNTIF(P10:V10,Versiones!$H$2)&gt;0, COUNTIF(P10:V10,Versiones!$G$3)&gt;0, COUNTIF(P10:V10,Versiones!$H$3)&gt;0), "Sprint 16",TRUE, "")</f>
        <v>Sprint 16</v>
      </c>
      <c r="AF10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0" t="str" cm="1">
        <f t="array" ref="AG10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0" s="24" t="str" cm="1">
        <f t="array" ref="AH10">_xlfn.IFS(COUNTIF(P10:V10, Versiones!$A$13)&gt;0, "Funcional", COUNTIF(P10:V10, Versiones!$A$14)&gt;0, "Configuración", COUNTIF(P10:V10, Versiones!$A$15)&gt;0, "Look&amp;Feel", COUNTIF(P10:V10, Versiones!$A$16)&gt;0, "Integración", COUNTIF(P10:V10, Versiones!$A$17)&gt;0, "Contenido/Datos", COUNTIF(P10:V10, Versiones!$A$18)&gt;0, "Eventos_Cosmos", COUNTIF(P10:V10, Versiones!$A$19)&gt;0, "Eventos_iOT", COUNTIF(P10:V10, Versiones!$A$20)&gt;0, "Eventos_Fabric", TRUE, "No encontrado")</f>
        <v>Funcional</v>
      </c>
    </row>
    <row r="11" spans="1:36">
      <c r="A11" s="45" t="s">
        <v>35</v>
      </c>
      <c r="B11" s="45" t="s">
        <v>136</v>
      </c>
      <c r="C11" s="45">
        <v>83042</v>
      </c>
      <c r="D11" s="45" t="s">
        <v>137</v>
      </c>
      <c r="E11" s="45">
        <v>87100</v>
      </c>
      <c r="F11" s="45" t="s">
        <v>38</v>
      </c>
      <c r="G11" s="45" t="s">
        <v>39</v>
      </c>
      <c r="H11" s="45" t="s">
        <v>54</v>
      </c>
      <c r="I11" s="45" t="s">
        <v>41</v>
      </c>
      <c r="J11" s="45" t="s">
        <v>97</v>
      </c>
      <c r="K11" s="45"/>
      <c r="L11" s="45"/>
      <c r="M11" s="45"/>
      <c r="N11" s="45"/>
      <c r="O11" s="45"/>
      <c r="P11" s="45" t="s">
        <v>98</v>
      </c>
      <c r="Q11" s="45" t="s">
        <v>43</v>
      </c>
      <c r="R11" s="45" t="s">
        <v>99</v>
      </c>
      <c r="S11" s="45" t="s">
        <v>100</v>
      </c>
      <c r="T11" s="45" t="s">
        <v>103</v>
      </c>
      <c r="U11" s="45"/>
      <c r="V11" s="45"/>
      <c r="W11" s="45" t="s">
        <v>104</v>
      </c>
      <c r="X11" s="60">
        <v>45873.128472222219</v>
      </c>
      <c r="Y11" s="45" t="s">
        <v>105</v>
      </c>
      <c r="Z11" s="45"/>
      <c r="AA11" s="45"/>
      <c r="AB11" t="str">
        <f>IF(LEFT(Jira__32[[#This Row],[Resumen]],3)="POS","POS",IF(LEFT(Jira__32[[#This Row],[Resumen]],3)="BOT","BOT",""))</f>
        <v>BOT</v>
      </c>
      <c r="AC11" s="10" t="s">
        <v>133</v>
      </c>
      <c r="AE11" s="24" t="str" cm="1">
        <f t="array" ref="AE11">_xlfn.IFS(OR(COUNTIF(P11:V11,Versiones!$G$9)&gt;0, COUNTIF(P11:V11,Versiones!$H$8)&gt;0), "Sprint 21",OR(COUNTIF(P11:V11,Versiones!$G$8)&gt;0, COUNTIF(P11:V11,Versiones!$H$8)&gt;0, COUNTIF(P11:V11,Versiones!$I$8)&gt;0), "Sprint 20",OR(COUNTIF(P11:V11,Versiones!$G$7)&gt;0, COUNTIF(P11:V11,Versiones!$H$7)&gt;0, COUNTIF(P11:V11,Versiones!$I$7)&gt;0), "Sprint 19",OR(COUNTIF(P11:V11,Versiones!$G$6)&gt;0, COUNTIF(P11:V11,Versiones!$H$6)&gt;0, COUNTIF(P11:V11,Versiones!$I$6)&gt;0), "Sprint 18",OR(COUNTIF(P11:V11,Versiones!$G$4)&gt;0, COUNTIF(P11:V11,Versiones!$H$4)&gt;0, COUNTIF(P11:V11,Versiones!$G$5)&gt;0, COUNTIF(P11:V11,Versiones!$H$5)&gt;0), "Sprint 17",OR(COUNTIF(P11:V11,Versiones!$G$2)&gt;0, COUNTIF(P11:V11,Versiones!$H$2)&gt;0, COUNTIF(P11:V11,Versiones!$G$3)&gt;0, COUNTIF(P11:V11,Versiones!$H$3)&gt;0), "Sprint 16", OR(COUNTIF(P11:V11,Versiones!$G$2)&gt;0, COUNTIF(P11:V11,Versiones!$H$2)&gt;0, COUNTIF(P11:V11,Versiones!$G$3)&gt;0, COUNTIF(P11:V11,Versiones!$H$3)&gt;0), "Sprint 16",TRUE, "")</f>
        <v>Sprint 16</v>
      </c>
      <c r="AF11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1" t="str" cm="1">
        <f t="array" ref="AG11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1" s="24" t="str" cm="1">
        <f t="array" ref="AH11">_xlfn.IFS(COUNTIF(P11:V11, Versiones!$A$13)&gt;0, "Funcional", COUNTIF(P11:V11, Versiones!$A$14)&gt;0, "Configuración", COUNTIF(P11:V11, Versiones!$A$15)&gt;0, "Look&amp;Feel", COUNTIF(P11:V11, Versiones!$A$16)&gt;0, "Integración", COUNTIF(P11:V11, Versiones!$A$17)&gt;0, "Contenido/Datos", COUNTIF(P11:V11, Versiones!$A$18)&gt;0, "Eventos_Cosmos", COUNTIF(P11:V11, Versiones!$A$19)&gt;0, "Eventos_iOT", COUNTIF(P11:V11, Versiones!$A$20)&gt;0, "Eventos_Fabric", TRUE, "No encontrado")</f>
        <v>Funcional</v>
      </c>
    </row>
    <row r="12" spans="1:36">
      <c r="A12" s="45" t="s">
        <v>35</v>
      </c>
      <c r="B12" s="45" t="s">
        <v>138</v>
      </c>
      <c r="C12" s="45">
        <v>83039</v>
      </c>
      <c r="D12" s="45" t="s">
        <v>139</v>
      </c>
      <c r="E12" s="45">
        <v>87100</v>
      </c>
      <c r="F12" s="45" t="s">
        <v>38</v>
      </c>
      <c r="G12" s="45" t="s">
        <v>39</v>
      </c>
      <c r="H12" s="45" t="s">
        <v>54</v>
      </c>
      <c r="I12" s="45" t="s">
        <v>84</v>
      </c>
      <c r="J12" s="45"/>
      <c r="K12" s="45"/>
      <c r="L12" s="45"/>
      <c r="M12" s="45"/>
      <c r="N12" s="45"/>
      <c r="O12" s="45"/>
      <c r="P12" s="45" t="s">
        <v>98</v>
      </c>
      <c r="Q12" s="45" t="s">
        <v>43</v>
      </c>
      <c r="R12" s="45" t="s">
        <v>99</v>
      </c>
      <c r="S12" s="45" t="s">
        <v>101</v>
      </c>
      <c r="T12" s="45" t="s">
        <v>102</v>
      </c>
      <c r="U12" s="45" t="s">
        <v>103</v>
      </c>
      <c r="V12" s="45"/>
      <c r="W12" s="45" t="s">
        <v>104</v>
      </c>
      <c r="X12" s="60">
        <v>45873.106944444444</v>
      </c>
      <c r="Y12" s="45" t="s">
        <v>105</v>
      </c>
      <c r="Z12" s="45"/>
      <c r="AA12" s="45"/>
      <c r="AB12" t="str">
        <f>IF(LEFT(Jira__32[[#This Row],[Resumen]],3)="POS","POS",IF(LEFT(Jira__32[[#This Row],[Resumen]],3)="BOT","BOT",""))</f>
        <v>POS</v>
      </c>
      <c r="AC12" s="10" t="s">
        <v>47</v>
      </c>
      <c r="AE12" s="24" t="str" cm="1">
        <f t="array" ref="AE12">_xlfn.IFS(OR(COUNTIF(P12:V12,Versiones!$G$9)&gt;0, COUNTIF(P12:V12,Versiones!$H$8)&gt;0), "Sprint 21",OR(COUNTIF(P12:V12,Versiones!$G$8)&gt;0, COUNTIF(P12:V12,Versiones!$H$8)&gt;0, COUNTIF(P12:V12,Versiones!$I$8)&gt;0), "Sprint 20",OR(COUNTIF(P12:V12,Versiones!$G$7)&gt;0, COUNTIF(P12:V12,Versiones!$H$7)&gt;0, COUNTIF(P12:V12,Versiones!$I$7)&gt;0), "Sprint 19",OR(COUNTIF(P12:V12,Versiones!$G$6)&gt;0, COUNTIF(P12:V12,Versiones!$H$6)&gt;0, COUNTIF(P12:V12,Versiones!$I$6)&gt;0), "Sprint 18",OR(COUNTIF(P12:V12,Versiones!$G$4)&gt;0, COUNTIF(P12:V12,Versiones!$H$4)&gt;0, COUNTIF(P12:V12,Versiones!$G$5)&gt;0, COUNTIF(P12:V12,Versiones!$H$5)&gt;0), "Sprint 17",OR(COUNTIF(P12:V12,Versiones!$G$2)&gt;0, COUNTIF(P12:V12,Versiones!$H$2)&gt;0, COUNTIF(P12:V12,Versiones!$G$3)&gt;0, COUNTIF(P12:V12,Versiones!$H$3)&gt;0), "Sprint 16", OR(COUNTIF(P12:V12,Versiones!$G$2)&gt;0, COUNTIF(P12:V12,Versiones!$H$2)&gt;0, COUNTIF(P12:V12,Versiones!$G$3)&gt;0, COUNTIF(P12:V12,Versiones!$H$3)&gt;0), "Sprint 16",TRUE, "")</f>
        <v>Sprint 16</v>
      </c>
      <c r="AF12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2" t="str" cm="1">
        <f t="array" ref="AG12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2" s="24" t="str" cm="1">
        <f t="array" ref="AH12">_xlfn.IFS(COUNTIF(P12:V12, Versiones!$A$13)&gt;0, "Funcional", COUNTIF(P12:V12, Versiones!$A$14)&gt;0, "Configuración", COUNTIF(P12:V12, Versiones!$A$15)&gt;0, "Look&amp;Feel", COUNTIF(P12:V12, Versiones!$A$16)&gt;0, "Integración", COUNTIF(P12:V12, Versiones!$A$17)&gt;0, "Contenido/Datos", COUNTIF(P12:V12, Versiones!$A$18)&gt;0, "Eventos_Cosmos", COUNTIF(P12:V12, Versiones!$A$19)&gt;0, "Eventos_iOT", COUNTIF(P12:V12, Versiones!$A$20)&gt;0, "Eventos_Fabric", TRUE, "No encontrado")</f>
        <v>Funcional</v>
      </c>
    </row>
    <row r="13" spans="1:36">
      <c r="A13" s="45" t="s">
        <v>35</v>
      </c>
      <c r="B13" s="45" t="s">
        <v>140</v>
      </c>
      <c r="C13" s="45">
        <v>83035</v>
      </c>
      <c r="D13" s="45" t="s">
        <v>141</v>
      </c>
      <c r="E13" s="45">
        <v>87100</v>
      </c>
      <c r="F13" s="45" t="s">
        <v>38</v>
      </c>
      <c r="G13" s="45" t="s">
        <v>39</v>
      </c>
      <c r="H13" s="45" t="s">
        <v>54</v>
      </c>
      <c r="I13" s="45" t="s">
        <v>82</v>
      </c>
      <c r="J13" s="45" t="s">
        <v>97</v>
      </c>
      <c r="K13" s="45"/>
      <c r="L13" s="45"/>
      <c r="M13" s="45"/>
      <c r="N13" s="45"/>
      <c r="O13" s="45"/>
      <c r="P13" s="45" t="s">
        <v>98</v>
      </c>
      <c r="Q13" s="45" t="s">
        <v>43</v>
      </c>
      <c r="R13" s="45" t="s">
        <v>99</v>
      </c>
      <c r="S13" s="45" t="s">
        <v>101</v>
      </c>
      <c r="T13" s="45" t="s">
        <v>102</v>
      </c>
      <c r="U13" s="45" t="s">
        <v>103</v>
      </c>
      <c r="V13" s="45"/>
      <c r="W13" s="45" t="s">
        <v>104</v>
      </c>
      <c r="X13" s="60">
        <v>45873.095138888886</v>
      </c>
      <c r="Y13" s="45" t="s">
        <v>105</v>
      </c>
      <c r="Z13" s="45"/>
      <c r="AA13" s="45"/>
      <c r="AB13" t="str">
        <f>IF(LEFT(Jira__32[[#This Row],[Resumen]],3)="POS","POS",IF(LEFT(Jira__32[[#This Row],[Resumen]],3)="BOT","BOT",""))</f>
        <v>POS</v>
      </c>
      <c r="AC13" s="10" t="s">
        <v>59</v>
      </c>
      <c r="AE13" s="24" t="str" cm="1">
        <f t="array" ref="AE13">_xlfn.IFS(OR(COUNTIF(P13:V13,Versiones!$G$9)&gt;0, COUNTIF(P13:V13,Versiones!$H$8)&gt;0), "Sprint 21",OR(COUNTIF(P13:V13,Versiones!$G$8)&gt;0, COUNTIF(P13:V13,Versiones!$H$8)&gt;0, COUNTIF(P13:V13,Versiones!$I$8)&gt;0), "Sprint 20",OR(COUNTIF(P13:V13,Versiones!$G$7)&gt;0, COUNTIF(P13:V13,Versiones!$H$7)&gt;0, COUNTIF(P13:V13,Versiones!$I$7)&gt;0), "Sprint 19",OR(COUNTIF(P13:V13,Versiones!$G$6)&gt;0, COUNTIF(P13:V13,Versiones!$H$6)&gt;0, COUNTIF(P13:V13,Versiones!$I$6)&gt;0), "Sprint 18",OR(COUNTIF(P13:V13,Versiones!$G$4)&gt;0, COUNTIF(P13:V13,Versiones!$H$4)&gt;0, COUNTIF(P13:V13,Versiones!$G$5)&gt;0, COUNTIF(P13:V13,Versiones!$H$5)&gt;0), "Sprint 17",OR(COUNTIF(P13:V13,Versiones!$G$2)&gt;0, COUNTIF(P13:V13,Versiones!$H$2)&gt;0, COUNTIF(P13:V13,Versiones!$G$3)&gt;0, COUNTIF(P13:V13,Versiones!$H$3)&gt;0), "Sprint 16", OR(COUNTIF(P13:V13,Versiones!$G$2)&gt;0, COUNTIF(P13:V13,Versiones!$H$2)&gt;0, COUNTIF(P13:V13,Versiones!$G$3)&gt;0, COUNTIF(P13:V13,Versiones!$H$3)&gt;0), "Sprint 16",TRUE, "")</f>
        <v>Sprint 16</v>
      </c>
      <c r="AF13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3" t="str" cm="1">
        <f t="array" ref="AG1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3" s="24" t="str" cm="1">
        <f t="array" ref="AH13">_xlfn.IFS(COUNTIF(P13:V13, Versiones!$A$13)&gt;0, "Funcional", COUNTIF(P13:V13, Versiones!$A$14)&gt;0, "Configuración", COUNTIF(P13:V13, Versiones!$A$15)&gt;0, "Look&amp;Feel", COUNTIF(P13:V13, Versiones!$A$16)&gt;0, "Integración", COUNTIF(P13:V13, Versiones!$A$17)&gt;0, "Contenido/Datos", COUNTIF(P13:V13, Versiones!$A$18)&gt;0, "Eventos_Cosmos", COUNTIF(P13:V13, Versiones!$A$19)&gt;0, "Eventos_iOT", COUNTIF(P13:V13, Versiones!$A$20)&gt;0, "Eventos_Fabric", TRUE, "No encontrado")</f>
        <v>Funcional</v>
      </c>
    </row>
    <row r="14" spans="1:36">
      <c r="A14" s="45" t="s">
        <v>35</v>
      </c>
      <c r="B14" s="45" t="s">
        <v>142</v>
      </c>
      <c r="C14" s="45">
        <v>83033</v>
      </c>
      <c r="D14" s="45" t="s">
        <v>143</v>
      </c>
      <c r="E14" s="45">
        <v>87100</v>
      </c>
      <c r="F14" s="45" t="s">
        <v>38</v>
      </c>
      <c r="G14" s="45" t="s">
        <v>39</v>
      </c>
      <c r="H14" s="45" t="s">
        <v>54</v>
      </c>
      <c r="I14" s="45" t="s">
        <v>84</v>
      </c>
      <c r="J14" s="45" t="s">
        <v>118</v>
      </c>
      <c r="K14" s="45" t="s">
        <v>97</v>
      </c>
      <c r="L14" s="45"/>
      <c r="M14" s="45"/>
      <c r="N14" s="45"/>
      <c r="O14" s="45"/>
      <c r="P14" s="45" t="s">
        <v>98</v>
      </c>
      <c r="Q14" s="45" t="s">
        <v>43</v>
      </c>
      <c r="R14" s="45" t="s">
        <v>99</v>
      </c>
      <c r="S14" s="45" t="s">
        <v>101</v>
      </c>
      <c r="T14" s="45" t="s">
        <v>103</v>
      </c>
      <c r="U14" s="45"/>
      <c r="V14" s="45"/>
      <c r="W14" s="45" t="s">
        <v>104</v>
      </c>
      <c r="X14" s="60">
        <v>45873.061805555553</v>
      </c>
      <c r="Y14" s="45" t="s">
        <v>121</v>
      </c>
      <c r="Z14" s="45"/>
      <c r="AA14" s="45"/>
      <c r="AB14" t="str">
        <f>IF(LEFT(Jira__32[[#This Row],[Resumen]],3)="POS","POS",IF(LEFT(Jira__32[[#This Row],[Resumen]],3)="BOT","BOT",""))</f>
        <v>POS</v>
      </c>
      <c r="AC14" s="10" t="s">
        <v>47</v>
      </c>
      <c r="AE14" s="24" t="str" cm="1">
        <f t="array" ref="AE14">_xlfn.IFS(OR(COUNTIF(P14:V14,Versiones!$G$9)&gt;0, COUNTIF(P14:V14,Versiones!$H$8)&gt;0), "Sprint 21",OR(COUNTIF(P14:V14,Versiones!$G$8)&gt;0, COUNTIF(P14:V14,Versiones!$H$8)&gt;0, COUNTIF(P14:V14,Versiones!$I$8)&gt;0), "Sprint 20",OR(COUNTIF(P14:V14,Versiones!$G$7)&gt;0, COUNTIF(P14:V14,Versiones!$H$7)&gt;0, COUNTIF(P14:V14,Versiones!$I$7)&gt;0), "Sprint 19",OR(COUNTIF(P14:V14,Versiones!$G$6)&gt;0, COUNTIF(P14:V14,Versiones!$H$6)&gt;0, COUNTIF(P14:V14,Versiones!$I$6)&gt;0), "Sprint 18",OR(COUNTIF(P14:V14,Versiones!$G$4)&gt;0, COUNTIF(P14:V14,Versiones!$H$4)&gt;0, COUNTIF(P14:V14,Versiones!$G$5)&gt;0, COUNTIF(P14:V14,Versiones!$H$5)&gt;0), "Sprint 17",OR(COUNTIF(P14:V14,Versiones!$G$2)&gt;0, COUNTIF(P14:V14,Versiones!$H$2)&gt;0, COUNTIF(P14:V14,Versiones!$G$3)&gt;0, COUNTIF(P14:V14,Versiones!$H$3)&gt;0), "Sprint 16", OR(COUNTIF(P14:V14,Versiones!$G$2)&gt;0, COUNTIF(P14:V14,Versiones!$H$2)&gt;0, COUNTIF(P14:V14,Versiones!$G$3)&gt;0, COUNTIF(P14:V14,Versiones!$H$3)&gt;0), "Sprint 16",TRUE, "")</f>
        <v>Sprint 16</v>
      </c>
      <c r="AF14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4" t="str" cm="1">
        <f t="array" ref="AG1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4" s="24" t="str" cm="1">
        <f t="array" ref="AH14">_xlfn.IFS(COUNTIF(P14:V14, Versiones!$A$13)&gt;0, "Funcional", COUNTIF(P14:V14, Versiones!$A$14)&gt;0, "Configuración", COUNTIF(P14:V14, Versiones!$A$15)&gt;0, "Look&amp;Feel", COUNTIF(P14:V14, Versiones!$A$16)&gt;0, "Integración", COUNTIF(P14:V14, Versiones!$A$17)&gt;0, "Contenido/Datos", COUNTIF(P14:V14, Versiones!$A$18)&gt;0, "Eventos_Cosmos", COUNTIF(P14:V14, Versiones!$A$19)&gt;0, "Eventos_iOT", COUNTIF(P14:V14, Versiones!$A$20)&gt;0, "Eventos_Fabric", TRUE, "No encontrado")</f>
        <v>Funcional</v>
      </c>
    </row>
    <row r="15" spans="1:36">
      <c r="A15" s="45" t="s">
        <v>35</v>
      </c>
      <c r="B15" s="45" t="s">
        <v>144</v>
      </c>
      <c r="C15" s="45">
        <v>83030</v>
      </c>
      <c r="D15" s="45" t="s">
        <v>145</v>
      </c>
      <c r="E15" s="45">
        <v>87100</v>
      </c>
      <c r="F15" s="45" t="s">
        <v>38</v>
      </c>
      <c r="G15" s="45" t="s">
        <v>39</v>
      </c>
      <c r="H15" s="45" t="s">
        <v>54</v>
      </c>
      <c r="I15" s="45" t="s">
        <v>41</v>
      </c>
      <c r="J15" s="45" t="s">
        <v>97</v>
      </c>
      <c r="K15" s="45"/>
      <c r="L15" s="45"/>
      <c r="M15" s="45"/>
      <c r="N15" s="45"/>
      <c r="O15" s="45"/>
      <c r="P15" s="45" t="s">
        <v>98</v>
      </c>
      <c r="Q15" s="45" t="s">
        <v>43</v>
      </c>
      <c r="R15" s="45" t="s">
        <v>99</v>
      </c>
      <c r="S15" s="45" t="s">
        <v>101</v>
      </c>
      <c r="T15" s="45" t="s">
        <v>103</v>
      </c>
      <c r="U15" s="45"/>
      <c r="V15" s="45"/>
      <c r="W15" s="45" t="s">
        <v>104</v>
      </c>
      <c r="X15" s="60">
        <v>45873.052777777775</v>
      </c>
      <c r="Y15" s="45" t="s">
        <v>105</v>
      </c>
      <c r="Z15" s="45"/>
      <c r="AA15" s="45"/>
      <c r="AB15" t="str">
        <f>IF(LEFT(Jira__32[[#This Row],[Resumen]],3)="POS","POS",IF(LEFT(Jira__32[[#This Row],[Resumen]],3)="BOT","BOT",""))</f>
        <v>POS</v>
      </c>
      <c r="AC15" s="10" t="s">
        <v>133</v>
      </c>
      <c r="AE15" s="24" t="str" cm="1">
        <f t="array" ref="AE15">_xlfn.IFS(OR(COUNTIF(P15:V15,Versiones!$G$9)&gt;0, COUNTIF(P15:V15,Versiones!$H$8)&gt;0), "Sprint 21",OR(COUNTIF(P15:V15,Versiones!$G$8)&gt;0, COUNTIF(P15:V15,Versiones!$H$8)&gt;0, COUNTIF(P15:V15,Versiones!$I$8)&gt;0), "Sprint 20",OR(COUNTIF(P15:V15,Versiones!$G$7)&gt;0, COUNTIF(P15:V15,Versiones!$H$7)&gt;0, COUNTIF(P15:V15,Versiones!$I$7)&gt;0), "Sprint 19",OR(COUNTIF(P15:V15,Versiones!$G$6)&gt;0, COUNTIF(P15:V15,Versiones!$H$6)&gt;0, COUNTIF(P15:V15,Versiones!$I$6)&gt;0), "Sprint 18",OR(COUNTIF(P15:V15,Versiones!$G$4)&gt;0, COUNTIF(P15:V15,Versiones!$H$4)&gt;0, COUNTIF(P15:V15,Versiones!$G$5)&gt;0, COUNTIF(P15:V15,Versiones!$H$5)&gt;0), "Sprint 17",OR(COUNTIF(P15:V15,Versiones!$G$2)&gt;0, COUNTIF(P15:V15,Versiones!$H$2)&gt;0, COUNTIF(P15:V15,Versiones!$G$3)&gt;0, COUNTIF(P15:V15,Versiones!$H$3)&gt;0), "Sprint 16", OR(COUNTIF(P15:V15,Versiones!$G$2)&gt;0, COUNTIF(P15:V15,Versiones!$H$2)&gt;0, COUNTIF(P15:V15,Versiones!$G$3)&gt;0, COUNTIF(P15:V15,Versiones!$H$3)&gt;0), "Sprint 16",TRUE, "")</f>
        <v>Sprint 16</v>
      </c>
      <c r="AF15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5" t="str" cm="1">
        <f t="array" ref="AG1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5" s="24" t="str" cm="1">
        <f t="array" ref="AH15">_xlfn.IFS(COUNTIF(P15:V15, Versiones!$A$13)&gt;0, "Funcional", COUNTIF(P15:V15, Versiones!$A$14)&gt;0, "Configuración", COUNTIF(P15:V15, Versiones!$A$15)&gt;0, "Look&amp;Feel", COUNTIF(P15:V15, Versiones!$A$16)&gt;0, "Integración", COUNTIF(P15:V15, Versiones!$A$17)&gt;0, "Contenido/Datos", COUNTIF(P15:V15, Versiones!$A$18)&gt;0, "Eventos_Cosmos", COUNTIF(P15:V15, Versiones!$A$19)&gt;0, "Eventos_iOT", COUNTIF(P15:V15, Versiones!$A$20)&gt;0, "Eventos_Fabric", TRUE, "No encontrado")</f>
        <v>Funcional</v>
      </c>
    </row>
    <row r="16" spans="1:36">
      <c r="A16" s="45" t="s">
        <v>35</v>
      </c>
      <c r="B16" s="45" t="s">
        <v>146</v>
      </c>
      <c r="C16" s="45">
        <v>83028</v>
      </c>
      <c r="D16" s="45" t="s">
        <v>147</v>
      </c>
      <c r="E16" s="45">
        <v>87100</v>
      </c>
      <c r="F16" s="45" t="s">
        <v>38</v>
      </c>
      <c r="G16" s="45" t="s">
        <v>39</v>
      </c>
      <c r="H16" s="45" t="s">
        <v>54</v>
      </c>
      <c r="I16" s="45" t="s">
        <v>84</v>
      </c>
      <c r="J16" s="45" t="s">
        <v>97</v>
      </c>
      <c r="K16" s="45"/>
      <c r="L16" s="45"/>
      <c r="M16" s="45"/>
      <c r="N16" s="45"/>
      <c r="O16" s="45"/>
      <c r="P16" s="45" t="s">
        <v>98</v>
      </c>
      <c r="Q16" s="45" t="s">
        <v>43</v>
      </c>
      <c r="R16" s="45" t="s">
        <v>99</v>
      </c>
      <c r="S16" s="45" t="s">
        <v>101</v>
      </c>
      <c r="T16" s="45" t="s">
        <v>102</v>
      </c>
      <c r="U16" s="45" t="s">
        <v>103</v>
      </c>
      <c r="V16" s="45"/>
      <c r="W16" s="45" t="s">
        <v>104</v>
      </c>
      <c r="X16" s="60">
        <v>45873.051388888889</v>
      </c>
      <c r="Y16" s="45" t="s">
        <v>105</v>
      </c>
      <c r="Z16" s="45"/>
      <c r="AA16" s="45"/>
      <c r="AB16" t="str">
        <f>IF(LEFT(Jira__32[[#This Row],[Resumen]],3)="POS","POS",IF(LEFT(Jira__32[[#This Row],[Resumen]],3)="BOT","BOT",""))</f>
        <v>POS</v>
      </c>
      <c r="AC16" s="10" t="s">
        <v>59</v>
      </c>
      <c r="AE16" s="24" t="str" cm="1">
        <f t="array" ref="AE16">_xlfn.IFS(OR(COUNTIF(P16:V16,Versiones!$G$9)&gt;0, COUNTIF(P16:V16,Versiones!$H$8)&gt;0), "Sprint 21",OR(COUNTIF(P16:V16,Versiones!$G$8)&gt;0, COUNTIF(P16:V16,Versiones!$H$8)&gt;0, COUNTIF(P16:V16,Versiones!$I$8)&gt;0), "Sprint 20",OR(COUNTIF(P16:V16,Versiones!$G$7)&gt;0, COUNTIF(P16:V16,Versiones!$H$7)&gt;0, COUNTIF(P16:V16,Versiones!$I$7)&gt;0), "Sprint 19",OR(COUNTIF(P16:V16,Versiones!$G$6)&gt;0, COUNTIF(P16:V16,Versiones!$H$6)&gt;0, COUNTIF(P16:V16,Versiones!$I$6)&gt;0), "Sprint 18",OR(COUNTIF(P16:V16,Versiones!$G$4)&gt;0, COUNTIF(P16:V16,Versiones!$H$4)&gt;0, COUNTIF(P16:V16,Versiones!$G$5)&gt;0, COUNTIF(P16:V16,Versiones!$H$5)&gt;0), "Sprint 17",OR(COUNTIF(P16:V16,Versiones!$G$2)&gt;0, COUNTIF(P16:V16,Versiones!$H$2)&gt;0, COUNTIF(P16:V16,Versiones!$G$3)&gt;0, COUNTIF(P16:V16,Versiones!$H$3)&gt;0), "Sprint 16", OR(COUNTIF(P16:V16,Versiones!$G$2)&gt;0, COUNTIF(P16:V16,Versiones!$H$2)&gt;0, COUNTIF(P16:V16,Versiones!$G$3)&gt;0, COUNTIF(P16:V16,Versiones!$H$3)&gt;0), "Sprint 16",TRUE, "")</f>
        <v>Sprint 16</v>
      </c>
      <c r="AF16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6" t="str" cm="1">
        <f t="array" ref="AG1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6" s="24" t="str" cm="1">
        <f t="array" ref="AH16">_xlfn.IFS(COUNTIF(P16:V16, Versiones!$A$13)&gt;0, "Funcional", COUNTIF(P16:V16, Versiones!$A$14)&gt;0, "Configuración", COUNTIF(P16:V16, Versiones!$A$15)&gt;0, "Look&amp;Feel", COUNTIF(P16:V16, Versiones!$A$16)&gt;0, "Integración", COUNTIF(P16:V16, Versiones!$A$17)&gt;0, "Contenido/Datos", COUNTIF(P16:V16, Versiones!$A$18)&gt;0, "Eventos_Cosmos", COUNTIF(P16:V16, Versiones!$A$19)&gt;0, "Eventos_iOT", COUNTIF(P16:V16, Versiones!$A$20)&gt;0, "Eventos_Fabric", TRUE, "No encontrado")</f>
        <v>Funcional</v>
      </c>
    </row>
    <row r="17" spans="1:34">
      <c r="A17" s="45" t="s">
        <v>35</v>
      </c>
      <c r="B17" s="45" t="s">
        <v>148</v>
      </c>
      <c r="C17" s="45">
        <v>83024</v>
      </c>
      <c r="D17" s="45" t="s">
        <v>149</v>
      </c>
      <c r="E17" s="45">
        <v>87100</v>
      </c>
      <c r="F17" s="45" t="s">
        <v>38</v>
      </c>
      <c r="G17" s="45" t="s">
        <v>39</v>
      </c>
      <c r="H17" s="45" t="s">
        <v>54</v>
      </c>
      <c r="I17" s="45" t="s">
        <v>80</v>
      </c>
      <c r="J17" s="45"/>
      <c r="K17" s="45"/>
      <c r="L17" s="45"/>
      <c r="M17" s="45"/>
      <c r="N17" s="45"/>
      <c r="O17" s="45"/>
      <c r="P17" s="45" t="s">
        <v>98</v>
      </c>
      <c r="Q17" s="45" t="s">
        <v>43</v>
      </c>
      <c r="R17" s="45" t="s">
        <v>99</v>
      </c>
      <c r="S17" s="45" t="s">
        <v>100</v>
      </c>
      <c r="T17" s="45" t="s">
        <v>101</v>
      </c>
      <c r="U17" s="45" t="s">
        <v>102</v>
      </c>
      <c r="V17" s="45" t="s">
        <v>103</v>
      </c>
      <c r="W17" s="45" t="s">
        <v>104</v>
      </c>
      <c r="X17" s="60">
        <v>45873.037499999999</v>
      </c>
      <c r="Y17" s="45" t="s">
        <v>105</v>
      </c>
      <c r="Z17" s="45"/>
      <c r="AA17" s="45"/>
      <c r="AB17" t="str">
        <f>IF(LEFT(Jira__32[[#This Row],[Resumen]],3)="POS","POS",IF(LEFT(Jira__32[[#This Row],[Resumen]],3)="BOT","BOT",""))</f>
        <v>POS</v>
      </c>
      <c r="AC17" s="13" t="s">
        <v>150</v>
      </c>
      <c r="AE17" s="24" t="str" cm="1">
        <f t="array" ref="AE17">_xlfn.IFS(OR(COUNTIF(P17:V17,Versiones!$G$9)&gt;0, COUNTIF(P17:V17,Versiones!$H$8)&gt;0), "Sprint 21",OR(COUNTIF(P17:V17,Versiones!$G$8)&gt;0, COUNTIF(P17:V17,Versiones!$H$8)&gt;0, COUNTIF(P17:V17,Versiones!$I$8)&gt;0), "Sprint 20",OR(COUNTIF(P17:V17,Versiones!$G$7)&gt;0, COUNTIF(P17:V17,Versiones!$H$7)&gt;0, COUNTIF(P17:V17,Versiones!$I$7)&gt;0), "Sprint 19",OR(COUNTIF(P17:V17,Versiones!$G$6)&gt;0, COUNTIF(P17:V17,Versiones!$H$6)&gt;0, COUNTIF(P17:V17,Versiones!$I$6)&gt;0), "Sprint 18",OR(COUNTIF(P17:V17,Versiones!$G$4)&gt;0, COUNTIF(P17:V17,Versiones!$H$4)&gt;0, COUNTIF(P17:V17,Versiones!$G$5)&gt;0, COUNTIF(P17:V17,Versiones!$H$5)&gt;0), "Sprint 17",OR(COUNTIF(P17:V17,Versiones!$G$2)&gt;0, COUNTIF(P17:V17,Versiones!$H$2)&gt;0, COUNTIF(P17:V17,Versiones!$G$3)&gt;0, COUNTIF(P17:V17,Versiones!$H$3)&gt;0), "Sprint 16", OR(COUNTIF(P17:V17,Versiones!$G$2)&gt;0, COUNTIF(P17:V17,Versiones!$H$2)&gt;0, COUNTIF(P17:V17,Versiones!$G$3)&gt;0, COUNTIF(P17:V17,Versiones!$H$3)&gt;0), "Sprint 16",TRUE, "")</f>
        <v>Sprint 16</v>
      </c>
      <c r="AF17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7" t="str" cm="1">
        <f t="array" ref="AG1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7" s="24" t="str" cm="1">
        <f t="array" ref="AH17">_xlfn.IFS(COUNTIF(P17:V17, Versiones!$A$13)&gt;0, "Funcional", COUNTIF(P17:V17, Versiones!$A$14)&gt;0, "Configuración", COUNTIF(P17:V17, Versiones!$A$15)&gt;0, "Look&amp;Feel", COUNTIF(P17:V17, Versiones!$A$16)&gt;0, "Integración", COUNTIF(P17:V17, Versiones!$A$17)&gt;0, "Contenido/Datos", COUNTIF(P17:V17, Versiones!$A$18)&gt;0, "Eventos_Cosmos", COUNTIF(P17:V17, Versiones!$A$19)&gt;0, "Eventos_iOT", COUNTIF(P17:V17, Versiones!$A$20)&gt;0, "Eventos_Fabric", TRUE, "No encontrado")</f>
        <v>Funcional</v>
      </c>
    </row>
    <row r="18" spans="1:34">
      <c r="A18" s="45" t="s">
        <v>35</v>
      </c>
      <c r="B18" s="45" t="s">
        <v>151</v>
      </c>
      <c r="C18" s="45">
        <v>83022</v>
      </c>
      <c r="D18" s="45" t="s">
        <v>152</v>
      </c>
      <c r="E18" s="45">
        <v>87100</v>
      </c>
      <c r="F18" s="45" t="s">
        <v>38</v>
      </c>
      <c r="G18" s="45" t="s">
        <v>39</v>
      </c>
      <c r="H18" s="45" t="s">
        <v>40</v>
      </c>
      <c r="I18" s="45" t="s">
        <v>41</v>
      </c>
      <c r="J18" s="45" t="s">
        <v>42</v>
      </c>
      <c r="K18" s="45"/>
      <c r="L18" s="45"/>
      <c r="M18" s="45"/>
      <c r="N18" s="45"/>
      <c r="O18" s="45"/>
      <c r="P18" s="45" t="s">
        <v>43</v>
      </c>
      <c r="Q18" s="45" t="s">
        <v>99</v>
      </c>
      <c r="R18" s="45"/>
      <c r="S18" s="45"/>
      <c r="T18" s="45"/>
      <c r="U18" s="45"/>
      <c r="V18" s="45"/>
      <c r="W18" s="45" t="s">
        <v>104</v>
      </c>
      <c r="X18" s="60">
        <v>45873.03402777778</v>
      </c>
      <c r="Y18" s="45" t="s">
        <v>105</v>
      </c>
      <c r="Z18" s="45"/>
      <c r="AA18" s="45"/>
      <c r="AB18" t="str">
        <f>IF(LEFT(Jira__32[[#This Row],[Resumen]],3)="POS","POS",IF(LEFT(Jira__32[[#This Row],[Resumen]],3)="BOT","BOT",""))</f>
        <v>POS</v>
      </c>
      <c r="AC18" s="10" t="s">
        <v>133</v>
      </c>
      <c r="AE18" s="24" t="str" cm="1">
        <f t="array" ref="AE18">_xlfn.IFS(OR(COUNTIF(P18:V18,Versiones!$G$9)&gt;0, COUNTIF(P18:V18,Versiones!$H$8)&gt;0), "Sprint 21",OR(COUNTIF(P18:V18,Versiones!$G$8)&gt;0, COUNTIF(P18:V18,Versiones!$H$8)&gt;0, COUNTIF(P18:V18,Versiones!$I$8)&gt;0), "Sprint 20",OR(COUNTIF(P18:V18,Versiones!$G$7)&gt;0, COUNTIF(P18:V18,Versiones!$H$7)&gt;0, COUNTIF(P18:V18,Versiones!$I$7)&gt;0), "Sprint 19",OR(COUNTIF(P18:V18,Versiones!$G$6)&gt;0, COUNTIF(P18:V18,Versiones!$H$6)&gt;0, COUNTIF(P18:V18,Versiones!$I$6)&gt;0), "Sprint 18",OR(COUNTIF(P18:V18,Versiones!$G$4)&gt;0, COUNTIF(P18:V18,Versiones!$H$4)&gt;0, COUNTIF(P18:V18,Versiones!$G$5)&gt;0, COUNTIF(P18:V18,Versiones!$H$5)&gt;0), "Sprint 17",OR(COUNTIF(P18:V18,Versiones!$G$2)&gt;0, COUNTIF(P18:V18,Versiones!$H$2)&gt;0, COUNTIF(P18:V18,Versiones!$G$3)&gt;0, COUNTIF(P18:V18,Versiones!$H$3)&gt;0), "Sprint 16", OR(COUNTIF(P18:V18,Versiones!$G$2)&gt;0, COUNTIF(P18:V18,Versiones!$H$2)&gt;0, COUNTIF(P18:V18,Versiones!$G$3)&gt;0, COUNTIF(P18:V18,Versiones!$H$3)&gt;0), "Sprint 16",TRUE, "")</f>
        <v>Sprint 16</v>
      </c>
      <c r="AF18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8" t="str" cm="1">
        <f t="array" ref="AG1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8" s="24" t="str" cm="1">
        <f t="array" ref="AH18">_xlfn.IFS(COUNTIF(P18:V18, Versiones!$A$13)&gt;0, "Funcional", COUNTIF(P18:V18, Versiones!$A$14)&gt;0, "Configuración", COUNTIF(P18:V18, Versiones!$A$15)&gt;0, "Look&amp;Feel", COUNTIF(P18:V18, Versiones!$A$16)&gt;0, "Integración", COUNTIF(P18:V18, Versiones!$A$17)&gt;0, "Contenido/Datos", COUNTIF(P18:V18, Versiones!$A$18)&gt;0, "Eventos_Cosmos", COUNTIF(P18:V18, Versiones!$A$19)&gt;0, "Eventos_iOT", COUNTIF(P18:V18, Versiones!$A$20)&gt;0, "Eventos_Fabric", TRUE, "No encontrado")</f>
        <v>Funcional</v>
      </c>
    </row>
    <row r="19" spans="1:34">
      <c r="A19" s="45" t="s">
        <v>35</v>
      </c>
      <c r="B19" s="45" t="s">
        <v>153</v>
      </c>
      <c r="C19" s="45">
        <v>83020</v>
      </c>
      <c r="D19" s="45" t="s">
        <v>154</v>
      </c>
      <c r="E19" s="45">
        <v>87100</v>
      </c>
      <c r="F19" s="45" t="s">
        <v>38</v>
      </c>
      <c r="G19" s="45" t="s">
        <v>39</v>
      </c>
      <c r="H19" s="45" t="s">
        <v>54</v>
      </c>
      <c r="I19" s="45" t="s">
        <v>84</v>
      </c>
      <c r="J19" s="45" t="s">
        <v>117</v>
      </c>
      <c r="K19" s="45" t="s">
        <v>118</v>
      </c>
      <c r="L19" s="45" t="s">
        <v>97</v>
      </c>
      <c r="M19" s="45"/>
      <c r="N19" s="45"/>
      <c r="O19" s="45"/>
      <c r="P19" s="45" t="s">
        <v>43</v>
      </c>
      <c r="Q19" s="45" t="s">
        <v>99</v>
      </c>
      <c r="R19" s="45"/>
      <c r="S19" s="45"/>
      <c r="T19" s="45"/>
      <c r="U19" s="45"/>
      <c r="V19" s="45"/>
      <c r="W19" s="45" t="s">
        <v>104</v>
      </c>
      <c r="X19" s="60">
        <v>45873.032638888886</v>
      </c>
      <c r="Y19" s="45" t="s">
        <v>105</v>
      </c>
      <c r="Z19" s="45"/>
      <c r="AA19" s="45"/>
      <c r="AB19" t="str">
        <f>IF(LEFT(Jira__32[[#This Row],[Resumen]],3)="POS","POS",IF(LEFT(Jira__32[[#This Row],[Resumen]],3)="BOT","BOT",""))</f>
        <v>POS</v>
      </c>
      <c r="AC19" s="10" t="s">
        <v>110</v>
      </c>
      <c r="AE19" s="24" t="str" cm="1">
        <f t="array" ref="AE19">_xlfn.IFS(OR(COUNTIF(P19:V19,Versiones!$G$9)&gt;0, COUNTIF(P19:V19,Versiones!$H$8)&gt;0), "Sprint 21",OR(COUNTIF(P19:V19,Versiones!$G$8)&gt;0, COUNTIF(P19:V19,Versiones!$H$8)&gt;0, COUNTIF(P19:V19,Versiones!$I$8)&gt;0), "Sprint 20",OR(COUNTIF(P19:V19,Versiones!$G$7)&gt;0, COUNTIF(P19:V19,Versiones!$H$7)&gt;0, COUNTIF(P19:V19,Versiones!$I$7)&gt;0), "Sprint 19",OR(COUNTIF(P19:V19,Versiones!$G$6)&gt;0, COUNTIF(P19:V19,Versiones!$H$6)&gt;0, COUNTIF(P19:V19,Versiones!$I$6)&gt;0), "Sprint 18",OR(COUNTIF(P19:V19,Versiones!$G$4)&gt;0, COUNTIF(P19:V19,Versiones!$H$4)&gt;0, COUNTIF(P19:V19,Versiones!$G$5)&gt;0, COUNTIF(P19:V19,Versiones!$H$5)&gt;0), "Sprint 17",OR(COUNTIF(P19:V19,Versiones!$G$2)&gt;0, COUNTIF(P19:V19,Versiones!$H$2)&gt;0, COUNTIF(P19:V19,Versiones!$G$3)&gt;0, COUNTIF(P19:V19,Versiones!$H$3)&gt;0), "Sprint 16", OR(COUNTIF(P19:V19,Versiones!$G$2)&gt;0, COUNTIF(P19:V19,Versiones!$H$2)&gt;0, COUNTIF(P19:V19,Versiones!$G$3)&gt;0, COUNTIF(P19:V19,Versiones!$H$3)&gt;0), "Sprint 16",TRUE, "")</f>
        <v>Sprint 16</v>
      </c>
      <c r="AF19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9" t="str" cm="1">
        <f t="array" ref="AG19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9" s="24" t="str" cm="1">
        <f t="array" ref="AH19">_xlfn.IFS(COUNTIF(P19:V19, Versiones!$A$13)&gt;0, "Funcional", COUNTIF(P19:V19, Versiones!$A$14)&gt;0, "Configuración", COUNTIF(P19:V19, Versiones!$A$15)&gt;0, "Look&amp;Feel", COUNTIF(P19:V19, Versiones!$A$16)&gt;0, "Integración", COUNTIF(P19:V19, Versiones!$A$17)&gt;0, "Contenido/Datos", COUNTIF(P19:V19, Versiones!$A$18)&gt;0, "Eventos_Cosmos", COUNTIF(P19:V19, Versiones!$A$19)&gt;0, "Eventos_iOT", COUNTIF(P19:V19, Versiones!$A$20)&gt;0, "Eventos_Fabric", TRUE, "No encontrado")</f>
        <v>Funcional</v>
      </c>
    </row>
    <row r="20" spans="1:34">
      <c r="A20" s="45" t="s">
        <v>35</v>
      </c>
      <c r="B20" s="45" t="s">
        <v>155</v>
      </c>
      <c r="C20" s="45">
        <v>83017</v>
      </c>
      <c r="D20" s="45" t="s">
        <v>156</v>
      </c>
      <c r="E20" s="45">
        <v>87100</v>
      </c>
      <c r="F20" s="45" t="s">
        <v>38</v>
      </c>
      <c r="G20" s="45" t="s">
        <v>39</v>
      </c>
      <c r="H20" s="45" t="s">
        <v>54</v>
      </c>
      <c r="I20" s="45" t="s">
        <v>84</v>
      </c>
      <c r="J20" s="45" t="s">
        <v>108</v>
      </c>
      <c r="K20" s="45" t="s">
        <v>97</v>
      </c>
      <c r="L20" s="45"/>
      <c r="M20" s="45"/>
      <c r="N20" s="45"/>
      <c r="O20" s="45"/>
      <c r="P20" s="45" t="s">
        <v>43</v>
      </c>
      <c r="Q20" s="45" t="s">
        <v>99</v>
      </c>
      <c r="R20" s="45" t="s">
        <v>101</v>
      </c>
      <c r="S20" s="45" t="s">
        <v>103</v>
      </c>
      <c r="T20" s="45"/>
      <c r="U20" s="45"/>
      <c r="V20" s="45"/>
      <c r="W20" s="45" t="s">
        <v>104</v>
      </c>
      <c r="X20" s="60">
        <v>45873.026388888888</v>
      </c>
      <c r="Y20" s="45" t="s">
        <v>109</v>
      </c>
      <c r="Z20" s="45"/>
      <c r="AA20" s="45"/>
      <c r="AB20" t="str">
        <f>IF(LEFT(Jira__32[[#This Row],[Resumen]],3)="POS","POS",IF(LEFT(Jira__32[[#This Row],[Resumen]],3)="BOT","BOT",""))</f>
        <v>POS</v>
      </c>
      <c r="AC20" s="10" t="s">
        <v>133</v>
      </c>
      <c r="AE20" s="24" t="str" cm="1">
        <f t="array" ref="AE20">_xlfn.IFS(OR(COUNTIF(P20:V20,Versiones!$G$9)&gt;0, COUNTIF(P20:V20,Versiones!$H$8)&gt;0), "Sprint 21",OR(COUNTIF(P20:V20,Versiones!$G$8)&gt;0, COUNTIF(P20:V20,Versiones!$H$8)&gt;0, COUNTIF(P20:V20,Versiones!$I$8)&gt;0), "Sprint 20",OR(COUNTIF(P20:V20,Versiones!$G$7)&gt;0, COUNTIF(P20:V20,Versiones!$H$7)&gt;0, COUNTIF(P20:V20,Versiones!$I$7)&gt;0), "Sprint 19",OR(COUNTIF(P20:V20,Versiones!$G$6)&gt;0, COUNTIF(P20:V20,Versiones!$H$6)&gt;0, COUNTIF(P20:V20,Versiones!$I$6)&gt;0), "Sprint 18",OR(COUNTIF(P20:V20,Versiones!$G$4)&gt;0, COUNTIF(P20:V20,Versiones!$H$4)&gt;0, COUNTIF(P20:V20,Versiones!$G$5)&gt;0, COUNTIF(P20:V20,Versiones!$H$5)&gt;0), "Sprint 17",OR(COUNTIF(P20:V20,Versiones!$G$2)&gt;0, COUNTIF(P20:V20,Versiones!$H$2)&gt;0, COUNTIF(P20:V20,Versiones!$G$3)&gt;0, COUNTIF(P20:V20,Versiones!$H$3)&gt;0), "Sprint 16", OR(COUNTIF(P20:V20,Versiones!$G$2)&gt;0, COUNTIF(P20:V20,Versiones!$H$2)&gt;0, COUNTIF(P20:V20,Versiones!$G$3)&gt;0, COUNTIF(P20:V20,Versiones!$H$3)&gt;0), "Sprint 16",TRUE, "")</f>
        <v>Sprint 16</v>
      </c>
      <c r="AF20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20" t="str" cm="1">
        <f t="array" ref="AG20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20" s="24" t="str" cm="1">
        <f t="array" ref="AH20">_xlfn.IFS(COUNTIF(P20:V20, Versiones!$A$13)&gt;0, "Funcional", COUNTIF(P20:V20, Versiones!$A$14)&gt;0, "Configuración", COUNTIF(P20:V20, Versiones!$A$15)&gt;0, "Look&amp;Feel", COUNTIF(P20:V20, Versiones!$A$16)&gt;0, "Integración", COUNTIF(P20:V20, Versiones!$A$17)&gt;0, "Contenido/Datos", COUNTIF(P20:V20, Versiones!$A$18)&gt;0, "Eventos_Cosmos", COUNTIF(P20:V20, Versiones!$A$19)&gt;0, "Eventos_iOT", COUNTIF(P20:V20, Versiones!$A$20)&gt;0, "Eventos_Fabric", TRUE, "No encontrado")</f>
        <v>Funcional</v>
      </c>
    </row>
    <row r="21" spans="1:34">
      <c r="A21" s="45" t="s">
        <v>35</v>
      </c>
      <c r="B21" s="45" t="s">
        <v>157</v>
      </c>
      <c r="C21" s="45">
        <v>83014</v>
      </c>
      <c r="D21" s="45" t="s">
        <v>158</v>
      </c>
      <c r="E21" s="45">
        <v>87100</v>
      </c>
      <c r="F21" s="45" t="s">
        <v>38</v>
      </c>
      <c r="G21" s="45" t="s">
        <v>39</v>
      </c>
      <c r="H21" s="45" t="s">
        <v>54</v>
      </c>
      <c r="I21" s="45" t="s">
        <v>84</v>
      </c>
      <c r="J21" s="45" t="s">
        <v>97</v>
      </c>
      <c r="K21" s="45"/>
      <c r="L21" s="45"/>
      <c r="M21" s="45"/>
      <c r="N21" s="45"/>
      <c r="O21" s="45"/>
      <c r="P21" s="45" t="s">
        <v>98</v>
      </c>
      <c r="Q21" s="45" t="s">
        <v>55</v>
      </c>
      <c r="R21" s="45" t="s">
        <v>99</v>
      </c>
      <c r="S21" s="45" t="s">
        <v>101</v>
      </c>
      <c r="T21" s="45" t="s">
        <v>102</v>
      </c>
      <c r="U21" s="45" t="s">
        <v>103</v>
      </c>
      <c r="V21" s="45"/>
      <c r="W21" s="45" t="s">
        <v>104</v>
      </c>
      <c r="X21" s="60">
        <v>45873.01666666667</v>
      </c>
      <c r="Y21" s="45" t="s">
        <v>105</v>
      </c>
      <c r="Z21" s="45"/>
      <c r="AA21" s="45"/>
      <c r="AB21" t="str">
        <f>IF(LEFT(Jira__32[[#This Row],[Resumen]],3)="POS","POS",IF(LEFT(Jira__32[[#This Row],[Resumen]],3)="BOT","BOT",""))</f>
        <v>POS</v>
      </c>
      <c r="AC21" s="10" t="s">
        <v>133</v>
      </c>
      <c r="AE21" s="24" t="str" cm="1">
        <f t="array" ref="AE21">_xlfn.IFS(OR(COUNTIF(P21:V21,Versiones!$G$9)&gt;0, COUNTIF(P21:V21,Versiones!$H$8)&gt;0), "Sprint 21",OR(COUNTIF(P21:V21,Versiones!$G$8)&gt;0, COUNTIF(P21:V21,Versiones!$H$8)&gt;0, COUNTIF(P21:V21,Versiones!$I$8)&gt;0), "Sprint 20",OR(COUNTIF(P21:V21,Versiones!$G$7)&gt;0, COUNTIF(P21:V21,Versiones!$H$7)&gt;0, COUNTIF(P21:V21,Versiones!$I$7)&gt;0), "Sprint 19",OR(COUNTIF(P21:V21,Versiones!$G$6)&gt;0, COUNTIF(P21:V21,Versiones!$H$6)&gt;0, COUNTIF(P21:V21,Versiones!$I$6)&gt;0), "Sprint 18",OR(COUNTIF(P21:V21,Versiones!$G$4)&gt;0, COUNTIF(P21:V21,Versiones!$H$4)&gt;0, COUNTIF(P21:V21,Versiones!$G$5)&gt;0, COUNTIF(P21:V21,Versiones!$H$5)&gt;0), "Sprint 17",OR(COUNTIF(P21:V21,Versiones!$G$2)&gt;0, COUNTIF(P21:V21,Versiones!$H$2)&gt;0, COUNTIF(P21:V21,Versiones!$G$3)&gt;0, COUNTIF(P21:V21,Versiones!$H$3)&gt;0), "Sprint 16", OR(COUNTIF(P21:V21,Versiones!$G$2)&gt;0, COUNTIF(P21:V21,Versiones!$H$2)&gt;0, COUNTIF(P21:V21,Versiones!$G$3)&gt;0, COUNTIF(P21:V21,Versiones!$H$3)&gt;0), "Sprint 16",TRUE, "")</f>
        <v>Sprint 16</v>
      </c>
      <c r="AF21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21" t="str" cm="1">
        <f t="array" ref="AG21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21" s="24" t="str" cm="1">
        <f t="array" ref="AH21">_xlfn.IFS(COUNTIF(P21:V21, Versiones!$A$13)&gt;0, "Funcional", COUNTIF(P21:V21, Versiones!$A$14)&gt;0, "Configuración", COUNTIF(P21:V21, Versiones!$A$15)&gt;0, "Look&amp;Feel", COUNTIF(P21:V21, Versiones!$A$16)&gt;0, "Integración", COUNTIF(P21:V21, Versiones!$A$17)&gt;0, "Contenido/Datos", COUNTIF(P21:V21, Versiones!$A$18)&gt;0, "Eventos_Cosmos", COUNTIF(P21:V21, Versiones!$A$19)&gt;0, "Eventos_iOT", COUNTIF(P21:V21, Versiones!$A$20)&gt;0, "Eventos_Fabric", TRUE, "No encontrado")</f>
        <v>Look&amp;Feel</v>
      </c>
    </row>
    <row r="22" spans="1:34">
      <c r="A22" s="45" t="s">
        <v>35</v>
      </c>
      <c r="B22" s="45" t="s">
        <v>159</v>
      </c>
      <c r="C22" s="45">
        <v>83012</v>
      </c>
      <c r="D22" s="45" t="s">
        <v>160</v>
      </c>
      <c r="E22" s="45">
        <v>87100</v>
      </c>
      <c r="F22" s="45" t="s">
        <v>38</v>
      </c>
      <c r="G22" s="45" t="s">
        <v>39</v>
      </c>
      <c r="H22" s="45" t="s">
        <v>54</v>
      </c>
      <c r="I22" s="45" t="s">
        <v>81</v>
      </c>
      <c r="J22" s="45" t="s">
        <v>97</v>
      </c>
      <c r="K22" s="45"/>
      <c r="L22" s="45"/>
      <c r="M22" s="45"/>
      <c r="N22" s="45"/>
      <c r="O22" s="45"/>
      <c r="P22" s="45" t="s">
        <v>98</v>
      </c>
      <c r="Q22" s="45" t="s">
        <v>43</v>
      </c>
      <c r="R22" s="45" t="s">
        <v>99</v>
      </c>
      <c r="S22" s="45" t="s">
        <v>101</v>
      </c>
      <c r="T22" s="45" t="s">
        <v>103</v>
      </c>
      <c r="U22" s="45"/>
      <c r="V22" s="45"/>
      <c r="W22" s="45" t="s">
        <v>104</v>
      </c>
      <c r="X22" s="60">
        <v>45873.01458333333</v>
      </c>
      <c r="Y22" s="45"/>
      <c r="Z22" s="45"/>
      <c r="AA22" s="45"/>
      <c r="AB22" t="str">
        <f>IF(LEFT(Jira__32[[#This Row],[Resumen]],3)="POS","POS",IF(LEFT(Jira__32[[#This Row],[Resumen]],3)="BOT","BOT",""))</f>
        <v>POS</v>
      </c>
      <c r="AC22" s="10" t="s">
        <v>133</v>
      </c>
      <c r="AE22" s="24" t="str" cm="1">
        <f t="array" ref="AE22">_xlfn.IFS(OR(COUNTIF(P22:V22,Versiones!$G$9)&gt;0, COUNTIF(P22:V22,Versiones!$H$8)&gt;0), "Sprint 21",OR(COUNTIF(P22:V22,Versiones!$G$8)&gt;0, COUNTIF(P22:V22,Versiones!$H$8)&gt;0, COUNTIF(P22:V22,Versiones!$I$8)&gt;0), "Sprint 20",OR(COUNTIF(P22:V22,Versiones!$G$7)&gt;0, COUNTIF(P22:V22,Versiones!$H$7)&gt;0, COUNTIF(P22:V22,Versiones!$I$7)&gt;0), "Sprint 19",OR(COUNTIF(P22:V22,Versiones!$G$6)&gt;0, COUNTIF(P22:V22,Versiones!$H$6)&gt;0, COUNTIF(P22:V22,Versiones!$I$6)&gt;0), "Sprint 18",OR(COUNTIF(P22:V22,Versiones!$G$4)&gt;0, COUNTIF(P22:V22,Versiones!$H$4)&gt;0, COUNTIF(P22:V22,Versiones!$G$5)&gt;0, COUNTIF(P22:V22,Versiones!$H$5)&gt;0), "Sprint 17",OR(COUNTIF(P22:V22,Versiones!$G$2)&gt;0, COUNTIF(P22:V22,Versiones!$H$2)&gt;0, COUNTIF(P22:V22,Versiones!$G$3)&gt;0, COUNTIF(P22:V22,Versiones!$H$3)&gt;0), "Sprint 16", OR(COUNTIF(P22:V22,Versiones!$G$2)&gt;0, COUNTIF(P22:V22,Versiones!$H$2)&gt;0, COUNTIF(P22:V22,Versiones!$G$3)&gt;0, COUNTIF(P22:V22,Versiones!$H$3)&gt;0), "Sprint 16",TRUE, "")</f>
        <v>Sprint 16</v>
      </c>
      <c r="AF22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22" t="str" cm="1">
        <f t="array" ref="AG22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22" s="24" t="str" cm="1">
        <f t="array" ref="AH22">_xlfn.IFS(COUNTIF(P22:V22, Versiones!$A$13)&gt;0, "Funcional", COUNTIF(P22:V22, Versiones!$A$14)&gt;0, "Configuración", COUNTIF(P22:V22, Versiones!$A$15)&gt;0, "Look&amp;Feel", COUNTIF(P22:V22, Versiones!$A$16)&gt;0, "Integración", COUNTIF(P22:V22, Versiones!$A$17)&gt;0, "Contenido/Datos", COUNTIF(P22:V22, Versiones!$A$18)&gt;0, "Eventos_Cosmos", COUNTIF(P22:V22, Versiones!$A$19)&gt;0, "Eventos_iOT", COUNTIF(P22:V22, Versiones!$A$20)&gt;0, "Eventos_Fabric", TRUE, "No encontrado")</f>
        <v>Funcional</v>
      </c>
    </row>
    <row r="23" spans="1:34">
      <c r="A23" s="45" t="s">
        <v>35</v>
      </c>
      <c r="B23" s="45" t="s">
        <v>161</v>
      </c>
      <c r="C23" s="45">
        <v>83010</v>
      </c>
      <c r="D23" s="45" t="s">
        <v>162</v>
      </c>
      <c r="E23" s="45">
        <v>87100</v>
      </c>
      <c r="F23" s="45" t="s">
        <v>38</v>
      </c>
      <c r="G23" s="45" t="s">
        <v>39</v>
      </c>
      <c r="H23" s="45" t="s">
        <v>54</v>
      </c>
      <c r="I23" s="45" t="s">
        <v>84</v>
      </c>
      <c r="J23" s="45" t="s">
        <v>108</v>
      </c>
      <c r="K23" s="45" t="s">
        <v>97</v>
      </c>
      <c r="L23" s="45"/>
      <c r="M23" s="45"/>
      <c r="N23" s="45"/>
      <c r="O23" s="45"/>
      <c r="P23" s="45" t="s">
        <v>98</v>
      </c>
      <c r="Q23" s="45" t="s">
        <v>43</v>
      </c>
      <c r="R23" s="45" t="s">
        <v>99</v>
      </c>
      <c r="S23" s="45" t="s">
        <v>101</v>
      </c>
      <c r="T23" s="45" t="s">
        <v>103</v>
      </c>
      <c r="U23" s="45"/>
      <c r="V23" s="45"/>
      <c r="W23" s="45" t="s">
        <v>104</v>
      </c>
      <c r="X23" s="60">
        <v>45873.012499999997</v>
      </c>
      <c r="Y23" s="45" t="s">
        <v>109</v>
      </c>
      <c r="Z23" s="45"/>
      <c r="AA23" s="45"/>
      <c r="AB23" t="str">
        <f>IF(LEFT(Jira__32[[#This Row],[Resumen]],3)="POS","POS",IF(LEFT(Jira__32[[#This Row],[Resumen]],3)="BOT","BOT",""))</f>
        <v>POS</v>
      </c>
      <c r="AC23" s="10" t="s">
        <v>133</v>
      </c>
      <c r="AE23" s="24" t="str" cm="1">
        <f t="array" ref="AE23">_xlfn.IFS(OR(COUNTIF(P23:V23,Versiones!$G$9)&gt;0, COUNTIF(P23:V23,Versiones!$H$8)&gt;0), "Sprint 21",OR(COUNTIF(P23:V23,Versiones!$G$8)&gt;0, COUNTIF(P23:V23,Versiones!$H$8)&gt;0, COUNTIF(P23:V23,Versiones!$I$8)&gt;0), "Sprint 20",OR(COUNTIF(P23:V23,Versiones!$G$7)&gt;0, COUNTIF(P23:V23,Versiones!$H$7)&gt;0, COUNTIF(P23:V23,Versiones!$I$7)&gt;0), "Sprint 19",OR(COUNTIF(P23:V23,Versiones!$G$6)&gt;0, COUNTIF(P23:V23,Versiones!$H$6)&gt;0, COUNTIF(P23:V23,Versiones!$I$6)&gt;0), "Sprint 18",OR(COUNTIF(P23:V23,Versiones!$G$4)&gt;0, COUNTIF(P23:V23,Versiones!$H$4)&gt;0, COUNTIF(P23:V23,Versiones!$G$5)&gt;0, COUNTIF(P23:V23,Versiones!$H$5)&gt;0), "Sprint 17",OR(COUNTIF(P23:V23,Versiones!$G$2)&gt;0, COUNTIF(P23:V23,Versiones!$H$2)&gt;0, COUNTIF(P23:V23,Versiones!$G$3)&gt;0, COUNTIF(P23:V23,Versiones!$H$3)&gt;0), "Sprint 16", OR(COUNTIF(P23:V23,Versiones!$G$2)&gt;0, COUNTIF(P23:V23,Versiones!$H$2)&gt;0, COUNTIF(P23:V23,Versiones!$G$3)&gt;0, COUNTIF(P23:V23,Versiones!$H$3)&gt;0), "Sprint 16",TRUE, "")</f>
        <v>Sprint 16</v>
      </c>
      <c r="AF23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23" t="str" cm="1">
        <f t="array" ref="AG2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23" s="24" t="str" cm="1">
        <f t="array" ref="AH23">_xlfn.IFS(COUNTIF(P23:V23, Versiones!$A$13)&gt;0, "Funcional", COUNTIF(P23:V23, Versiones!$A$14)&gt;0, "Configuración", COUNTIF(P23:V23, Versiones!$A$15)&gt;0, "Look&amp;Feel", COUNTIF(P23:V23, Versiones!$A$16)&gt;0, "Integración", COUNTIF(P23:V23, Versiones!$A$17)&gt;0, "Contenido/Datos", COUNTIF(P23:V23, Versiones!$A$18)&gt;0, "Eventos_Cosmos", COUNTIF(P23:V23, Versiones!$A$19)&gt;0, "Eventos_iOT", COUNTIF(P23:V23, Versiones!$A$20)&gt;0, "Eventos_Fabric", TRUE, "No encontrado")</f>
        <v>Funcional</v>
      </c>
    </row>
    <row r="24" spans="1:34">
      <c r="A24" s="45" t="s">
        <v>35</v>
      </c>
      <c r="B24" s="45" t="s">
        <v>163</v>
      </c>
      <c r="C24" s="45">
        <v>83006</v>
      </c>
      <c r="D24" s="45" t="s">
        <v>164</v>
      </c>
      <c r="E24" s="45">
        <v>87100</v>
      </c>
      <c r="F24" s="45" t="s">
        <v>38</v>
      </c>
      <c r="G24" s="45" t="s">
        <v>39</v>
      </c>
      <c r="H24" s="45" t="s">
        <v>54</v>
      </c>
      <c r="I24" s="45" t="s">
        <v>84</v>
      </c>
      <c r="J24" s="45" t="s">
        <v>117</v>
      </c>
      <c r="K24" s="45" t="s">
        <v>118</v>
      </c>
      <c r="L24" s="45" t="s">
        <v>97</v>
      </c>
      <c r="M24" s="45"/>
      <c r="N24" s="45"/>
      <c r="O24" s="45"/>
      <c r="P24" s="45" t="s">
        <v>98</v>
      </c>
      <c r="Q24" s="45" t="s">
        <v>43</v>
      </c>
      <c r="R24" s="45" t="s">
        <v>99</v>
      </c>
      <c r="S24" s="45" t="s">
        <v>101</v>
      </c>
      <c r="T24" s="45" t="s">
        <v>103</v>
      </c>
      <c r="U24" s="45"/>
      <c r="V24" s="45"/>
      <c r="W24" s="45" t="s">
        <v>104</v>
      </c>
      <c r="X24" s="60">
        <v>45872.991666666669</v>
      </c>
      <c r="Y24" s="45" t="s">
        <v>121</v>
      </c>
      <c r="Z24" s="45"/>
      <c r="AA24" s="45"/>
      <c r="AB24" t="str">
        <f>IF(LEFT(Jira__32[[#This Row],[Resumen]],3)="POS","POS",IF(LEFT(Jira__32[[#This Row],[Resumen]],3)="BOT","BOT",""))</f>
        <v>POS</v>
      </c>
      <c r="AC24" s="10" t="s">
        <v>133</v>
      </c>
      <c r="AE24" s="24" t="str" cm="1">
        <f t="array" ref="AE24">_xlfn.IFS(OR(COUNTIF(P24:V24,Versiones!$G$9)&gt;0, COUNTIF(P24:V24,Versiones!$H$8)&gt;0), "Sprint 21",OR(COUNTIF(P24:V24,Versiones!$G$8)&gt;0, COUNTIF(P24:V24,Versiones!$H$8)&gt;0, COUNTIF(P24:V24,Versiones!$I$8)&gt;0), "Sprint 20",OR(COUNTIF(P24:V24,Versiones!$G$7)&gt;0, COUNTIF(P24:V24,Versiones!$H$7)&gt;0, COUNTIF(P24:V24,Versiones!$I$7)&gt;0), "Sprint 19",OR(COUNTIF(P24:V24,Versiones!$G$6)&gt;0, COUNTIF(P24:V24,Versiones!$H$6)&gt;0, COUNTIF(P24:V24,Versiones!$I$6)&gt;0), "Sprint 18",OR(COUNTIF(P24:V24,Versiones!$G$4)&gt;0, COUNTIF(P24:V24,Versiones!$H$4)&gt;0, COUNTIF(P24:V24,Versiones!$G$5)&gt;0, COUNTIF(P24:V24,Versiones!$H$5)&gt;0), "Sprint 17",OR(COUNTIF(P24:V24,Versiones!$G$2)&gt;0, COUNTIF(P24:V24,Versiones!$H$2)&gt;0, COUNTIF(P24:V24,Versiones!$G$3)&gt;0, COUNTIF(P24:V24,Versiones!$H$3)&gt;0), "Sprint 16", OR(COUNTIF(P24:V24,Versiones!$G$2)&gt;0, COUNTIF(P24:V24,Versiones!$H$2)&gt;0, COUNTIF(P24:V24,Versiones!$G$3)&gt;0, COUNTIF(P24:V24,Versiones!$H$3)&gt;0), "Sprint 16",TRUE, "")</f>
        <v>Sprint 16</v>
      </c>
      <c r="AF24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24" t="str" cm="1">
        <f t="array" ref="AG2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24" s="24" t="str" cm="1">
        <f t="array" ref="AH24">_xlfn.IFS(COUNTIF(P24:V24, Versiones!$A$13)&gt;0, "Funcional", COUNTIF(P24:V24, Versiones!$A$14)&gt;0, "Configuración", COUNTIF(P24:V24, Versiones!$A$15)&gt;0, "Look&amp;Feel", COUNTIF(P24:V24, Versiones!$A$16)&gt;0, "Integración", COUNTIF(P24:V24, Versiones!$A$17)&gt;0, "Contenido/Datos", COUNTIF(P24:V24, Versiones!$A$18)&gt;0, "Eventos_Cosmos", COUNTIF(P24:V24, Versiones!$A$19)&gt;0, "Eventos_iOT", COUNTIF(P24:V24, Versiones!$A$20)&gt;0, "Eventos_Fabric", TRUE, "No encontrado")</f>
        <v>Funcional</v>
      </c>
    </row>
    <row r="25" spans="1:34">
      <c r="A25" s="45" t="s">
        <v>35</v>
      </c>
      <c r="B25" s="45" t="s">
        <v>165</v>
      </c>
      <c r="C25" s="45">
        <v>82992</v>
      </c>
      <c r="D25" s="45" t="s">
        <v>166</v>
      </c>
      <c r="E25" s="45">
        <v>87100</v>
      </c>
      <c r="F25" s="45" t="s">
        <v>38</v>
      </c>
      <c r="G25" s="45" t="s">
        <v>39</v>
      </c>
      <c r="H25" s="45" t="s">
        <v>54</v>
      </c>
      <c r="I25" s="45" t="s">
        <v>84</v>
      </c>
      <c r="J25" s="45" t="s">
        <v>97</v>
      </c>
      <c r="K25" s="45"/>
      <c r="L25" s="45"/>
      <c r="M25" s="45"/>
      <c r="N25" s="45"/>
      <c r="O25" s="45"/>
      <c r="P25" s="45" t="s">
        <v>98</v>
      </c>
      <c r="Q25" s="45" t="s">
        <v>55</v>
      </c>
      <c r="R25" s="45" t="s">
        <v>99</v>
      </c>
      <c r="S25" s="45" t="s">
        <v>101</v>
      </c>
      <c r="T25" s="45" t="s">
        <v>103</v>
      </c>
      <c r="U25" s="45"/>
      <c r="V25" s="45"/>
      <c r="W25" s="45" t="s">
        <v>104</v>
      </c>
      <c r="X25" s="60">
        <v>45872.974305555559</v>
      </c>
      <c r="Y25" s="45" t="s">
        <v>105</v>
      </c>
      <c r="Z25" s="45"/>
      <c r="AA25" s="45"/>
      <c r="AB25" t="str">
        <f>IF(LEFT(Jira__32[[#This Row],[Resumen]],3)="POS","POS",IF(LEFT(Jira__32[[#This Row],[Resumen]],3)="BOT","BOT",""))</f>
        <v>POS</v>
      </c>
      <c r="AC25" s="10" t="s">
        <v>133</v>
      </c>
      <c r="AE25" s="24" t="str" cm="1">
        <f t="array" ref="AE25">_xlfn.IFS(OR(COUNTIF(P25:V25,Versiones!$G$9)&gt;0, COUNTIF(P25:V25,Versiones!$H$8)&gt;0), "Sprint 21",OR(COUNTIF(P25:V25,Versiones!$G$8)&gt;0, COUNTIF(P25:V25,Versiones!$H$8)&gt;0, COUNTIF(P25:V25,Versiones!$I$8)&gt;0), "Sprint 20",OR(COUNTIF(P25:V25,Versiones!$G$7)&gt;0, COUNTIF(P25:V25,Versiones!$H$7)&gt;0, COUNTIF(P25:V25,Versiones!$I$7)&gt;0), "Sprint 19",OR(COUNTIF(P25:V25,Versiones!$G$6)&gt;0, COUNTIF(P25:V25,Versiones!$H$6)&gt;0, COUNTIF(P25:V25,Versiones!$I$6)&gt;0), "Sprint 18",OR(COUNTIF(P25:V25,Versiones!$G$4)&gt;0, COUNTIF(P25:V25,Versiones!$H$4)&gt;0, COUNTIF(P25:V25,Versiones!$G$5)&gt;0, COUNTIF(P25:V25,Versiones!$H$5)&gt;0), "Sprint 17",OR(COUNTIF(P25:V25,Versiones!$G$2)&gt;0, COUNTIF(P25:V25,Versiones!$H$2)&gt;0, COUNTIF(P25:V25,Versiones!$G$3)&gt;0, COUNTIF(P25:V25,Versiones!$H$3)&gt;0), "Sprint 16", OR(COUNTIF(P25:V25,Versiones!$G$2)&gt;0, COUNTIF(P25:V25,Versiones!$H$2)&gt;0, COUNTIF(P25:V25,Versiones!$G$3)&gt;0, COUNTIF(P25:V25,Versiones!$H$3)&gt;0), "Sprint 16",TRUE, "")</f>
        <v>Sprint 16</v>
      </c>
      <c r="AF25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25" t="str" cm="1">
        <f t="array" ref="AG2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25" s="24" t="str" cm="1">
        <f t="array" ref="AH25">_xlfn.IFS(COUNTIF(P25:V25, Versiones!$A$13)&gt;0, "Funcional", COUNTIF(P25:V25, Versiones!$A$14)&gt;0, "Configuración", COUNTIF(P25:V25, Versiones!$A$15)&gt;0, "Look&amp;Feel", COUNTIF(P25:V25, Versiones!$A$16)&gt;0, "Integración", COUNTIF(P25:V25, Versiones!$A$17)&gt;0, "Contenido/Datos", COUNTIF(P25:V25, Versiones!$A$18)&gt;0, "Eventos_Cosmos", COUNTIF(P25:V25, Versiones!$A$19)&gt;0, "Eventos_iOT", COUNTIF(P25:V25, Versiones!$A$20)&gt;0, "Eventos_Fabric", TRUE, "No encontrado")</f>
        <v>Look&amp;Feel</v>
      </c>
    </row>
    <row r="26" spans="1:34">
      <c r="A26" s="45" t="s">
        <v>35</v>
      </c>
      <c r="B26" s="45" t="s">
        <v>167</v>
      </c>
      <c r="C26" s="45">
        <v>82987</v>
      </c>
      <c r="D26" s="45" t="s">
        <v>168</v>
      </c>
      <c r="E26" s="45">
        <v>87100</v>
      </c>
      <c r="F26" s="45" t="s">
        <v>38</v>
      </c>
      <c r="G26" s="45" t="s">
        <v>39</v>
      </c>
      <c r="H26" s="45" t="s">
        <v>54</v>
      </c>
      <c r="I26" s="45" t="s">
        <v>84</v>
      </c>
      <c r="J26" s="45" t="s">
        <v>126</v>
      </c>
      <c r="K26" s="45" t="s">
        <v>117</v>
      </c>
      <c r="L26" s="45" t="s">
        <v>118</v>
      </c>
      <c r="M26" s="45" t="s">
        <v>97</v>
      </c>
      <c r="N26" s="45"/>
      <c r="O26" s="45"/>
      <c r="P26" s="45" t="s">
        <v>43</v>
      </c>
      <c r="Q26" s="45" t="s">
        <v>119</v>
      </c>
      <c r="R26" s="45" t="s">
        <v>99</v>
      </c>
      <c r="S26" s="45" t="s">
        <v>101</v>
      </c>
      <c r="T26" s="45" t="s">
        <v>103</v>
      </c>
      <c r="U26" s="45"/>
      <c r="V26" s="45"/>
      <c r="W26" s="45" t="s">
        <v>104</v>
      </c>
      <c r="X26" s="60">
        <v>45872.969444444447</v>
      </c>
      <c r="Y26" s="45" t="s">
        <v>109</v>
      </c>
      <c r="Z26" s="45"/>
      <c r="AA26" s="45"/>
      <c r="AB26" t="str">
        <f>IF(LEFT(Jira__32[[#This Row],[Resumen]],3)="POS","POS",IF(LEFT(Jira__32[[#This Row],[Resumen]],3)="BOT","BOT",""))</f>
        <v>POS</v>
      </c>
      <c r="AC26" s="10" t="s">
        <v>133</v>
      </c>
      <c r="AE26" s="24" t="str" cm="1">
        <f t="array" ref="AE26">_xlfn.IFS(OR(COUNTIF(P26:V26,Versiones!$G$9)&gt;0, COUNTIF(P26:V26,Versiones!$H$8)&gt;0), "Sprint 21",OR(COUNTIF(P26:V26,Versiones!$G$8)&gt;0, COUNTIF(P26:V26,Versiones!$H$8)&gt;0, COUNTIF(P26:V26,Versiones!$I$8)&gt;0), "Sprint 20",OR(COUNTIF(P26:V26,Versiones!$G$7)&gt;0, COUNTIF(P26:V26,Versiones!$H$7)&gt;0, COUNTIF(P26:V26,Versiones!$I$7)&gt;0), "Sprint 19",OR(COUNTIF(P26:V26,Versiones!$G$6)&gt;0, COUNTIF(P26:V26,Versiones!$H$6)&gt;0, COUNTIF(P26:V26,Versiones!$I$6)&gt;0), "Sprint 18",OR(COUNTIF(P26:V26,Versiones!$G$4)&gt;0, COUNTIF(P26:V26,Versiones!$H$4)&gt;0, COUNTIF(P26:V26,Versiones!$G$5)&gt;0, COUNTIF(P26:V26,Versiones!$H$5)&gt;0), "Sprint 17",OR(COUNTIF(P26:V26,Versiones!$G$2)&gt;0, COUNTIF(P26:V26,Versiones!$H$2)&gt;0, COUNTIF(P26:V26,Versiones!$G$3)&gt;0, COUNTIF(P26:V26,Versiones!$H$3)&gt;0), "Sprint 16", OR(COUNTIF(P26:V26,Versiones!$G$2)&gt;0, COUNTIF(P26:V26,Versiones!$H$2)&gt;0, COUNTIF(P26:V26,Versiones!$G$3)&gt;0, COUNTIF(P26:V26,Versiones!$H$3)&gt;0), "Sprint 16",TRUE, "")</f>
        <v>Sprint 16</v>
      </c>
      <c r="AF26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26" t="str" cm="1">
        <f t="array" ref="AG2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26" s="24" t="str" cm="1">
        <f t="array" ref="AH26">_xlfn.IFS(COUNTIF(P26:V26, Versiones!$A$13)&gt;0, "Funcional", COUNTIF(P26:V26, Versiones!$A$14)&gt;0, "Configuración", COUNTIF(P26:V26, Versiones!$A$15)&gt;0, "Look&amp;Feel", COUNTIF(P26:V26, Versiones!$A$16)&gt;0, "Integración", COUNTIF(P26:V26, Versiones!$A$17)&gt;0, "Contenido/Datos", COUNTIF(P26:V26, Versiones!$A$18)&gt;0, "Eventos_Cosmos", COUNTIF(P26:V26, Versiones!$A$19)&gt;0, "Eventos_iOT", COUNTIF(P26:V26, Versiones!$A$20)&gt;0, "Eventos_Fabric", TRUE, "No encontrado")</f>
        <v>Funcional</v>
      </c>
    </row>
    <row r="27" spans="1:34">
      <c r="A27" s="45" t="s">
        <v>35</v>
      </c>
      <c r="B27" s="45" t="s">
        <v>169</v>
      </c>
      <c r="C27" s="45">
        <v>82982</v>
      </c>
      <c r="D27" s="45" t="s">
        <v>170</v>
      </c>
      <c r="E27" s="45">
        <v>87100</v>
      </c>
      <c r="F27" s="45" t="s">
        <v>38</v>
      </c>
      <c r="G27" s="45" t="s">
        <v>39</v>
      </c>
      <c r="H27" s="45" t="s">
        <v>54</v>
      </c>
      <c r="I27" s="45" t="s">
        <v>80</v>
      </c>
      <c r="J27" s="45"/>
      <c r="K27" s="45"/>
      <c r="L27" s="45"/>
      <c r="M27" s="45"/>
      <c r="N27" s="45"/>
      <c r="O27" s="45"/>
      <c r="P27" s="45" t="s">
        <v>98</v>
      </c>
      <c r="Q27" s="45" t="s">
        <v>43</v>
      </c>
      <c r="R27" s="45" t="s">
        <v>99</v>
      </c>
      <c r="S27" s="45" t="s">
        <v>101</v>
      </c>
      <c r="T27" s="45" t="s">
        <v>103</v>
      </c>
      <c r="U27" s="45"/>
      <c r="V27" s="45"/>
      <c r="W27" s="45" t="s">
        <v>104</v>
      </c>
      <c r="X27" s="60">
        <v>45872.95208333333</v>
      </c>
      <c r="Y27" s="45" t="s">
        <v>121</v>
      </c>
      <c r="Z27" s="45"/>
      <c r="AA27" s="45"/>
      <c r="AB27" t="str">
        <f>IF(LEFT(Jira__32[[#This Row],[Resumen]],3)="POS","POS",IF(LEFT(Jira__32[[#This Row],[Resumen]],3)="BOT","BOT",""))</f>
        <v>POS</v>
      </c>
      <c r="AC27" s="13" t="s">
        <v>150</v>
      </c>
      <c r="AE27" s="24" t="str" cm="1">
        <f t="array" ref="AE27">_xlfn.IFS(OR(COUNTIF(P27:V27,Versiones!$G$9)&gt;0, COUNTIF(P27:V27,Versiones!$H$8)&gt;0), "Sprint 21",OR(COUNTIF(P27:V27,Versiones!$G$8)&gt;0, COUNTIF(P27:V27,Versiones!$H$8)&gt;0, COUNTIF(P27:V27,Versiones!$I$8)&gt;0), "Sprint 20",OR(COUNTIF(P27:V27,Versiones!$G$7)&gt;0, COUNTIF(P27:V27,Versiones!$H$7)&gt;0, COUNTIF(P27:V27,Versiones!$I$7)&gt;0), "Sprint 19",OR(COUNTIF(P27:V27,Versiones!$G$6)&gt;0, COUNTIF(P27:V27,Versiones!$H$6)&gt;0, COUNTIF(P27:V27,Versiones!$I$6)&gt;0), "Sprint 18",OR(COUNTIF(P27:V27,Versiones!$G$4)&gt;0, COUNTIF(P27:V27,Versiones!$H$4)&gt;0, COUNTIF(P27:V27,Versiones!$G$5)&gt;0, COUNTIF(P27:V27,Versiones!$H$5)&gt;0), "Sprint 17",OR(COUNTIF(P27:V27,Versiones!$G$2)&gt;0, COUNTIF(P27:V27,Versiones!$H$2)&gt;0, COUNTIF(P27:V27,Versiones!$G$3)&gt;0, COUNTIF(P27:V27,Versiones!$H$3)&gt;0), "Sprint 16", OR(COUNTIF(P27:V27,Versiones!$G$2)&gt;0, COUNTIF(P27:V27,Versiones!$H$2)&gt;0, COUNTIF(P27:V27,Versiones!$G$3)&gt;0, COUNTIF(P27:V27,Versiones!$H$3)&gt;0), "Sprint 16",TRUE, "")</f>
        <v>Sprint 16</v>
      </c>
      <c r="AF27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27" t="str" cm="1">
        <f t="array" ref="AG2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27" s="24" t="str" cm="1">
        <f t="array" ref="AH27">_xlfn.IFS(COUNTIF(P27:V27, Versiones!$A$13)&gt;0, "Funcional", COUNTIF(P27:V27, Versiones!$A$14)&gt;0, "Configuración", COUNTIF(P27:V27, Versiones!$A$15)&gt;0, "Look&amp;Feel", COUNTIF(P27:V27, Versiones!$A$16)&gt;0, "Integración", COUNTIF(P27:V27, Versiones!$A$17)&gt;0, "Contenido/Datos", COUNTIF(P27:V27, Versiones!$A$18)&gt;0, "Eventos_Cosmos", COUNTIF(P27:V27, Versiones!$A$19)&gt;0, "Eventos_iOT", COUNTIF(P27:V27, Versiones!$A$20)&gt;0, "Eventos_Fabric", TRUE, "No encontrado")</f>
        <v>Funcional</v>
      </c>
    </row>
    <row r="28" spans="1:34">
      <c r="A28" s="45" t="s">
        <v>35</v>
      </c>
      <c r="B28" s="45" t="s">
        <v>171</v>
      </c>
      <c r="C28" s="45">
        <v>82968</v>
      </c>
      <c r="D28" s="45" t="s">
        <v>172</v>
      </c>
      <c r="E28" s="45">
        <v>87100</v>
      </c>
      <c r="F28" s="45" t="s">
        <v>38</v>
      </c>
      <c r="G28" s="45" t="s">
        <v>39</v>
      </c>
      <c r="H28" s="45" t="s">
        <v>54</v>
      </c>
      <c r="I28" s="45" t="s">
        <v>41</v>
      </c>
      <c r="J28" s="45" t="s">
        <v>97</v>
      </c>
      <c r="K28" s="45"/>
      <c r="L28" s="45"/>
      <c r="M28" s="45"/>
      <c r="N28" s="45"/>
      <c r="O28" s="45"/>
      <c r="P28" s="45" t="s">
        <v>98</v>
      </c>
      <c r="Q28" s="45" t="s">
        <v>55</v>
      </c>
      <c r="R28" s="45" t="s">
        <v>99</v>
      </c>
      <c r="S28" s="45" t="s">
        <v>100</v>
      </c>
      <c r="T28" s="45" t="s">
        <v>103</v>
      </c>
      <c r="U28" s="45"/>
      <c r="V28" s="45"/>
      <c r="W28" s="45" t="s">
        <v>104</v>
      </c>
      <c r="X28" s="60">
        <v>45872.915277777778</v>
      </c>
      <c r="Y28" s="45" t="s">
        <v>105</v>
      </c>
      <c r="Z28" s="45"/>
      <c r="AA28" s="45"/>
      <c r="AB28" t="str">
        <f>IF(LEFT(Jira__32[[#This Row],[Resumen]],3)="POS","POS",IF(LEFT(Jira__32[[#This Row],[Resumen]],3)="BOT","BOT",""))</f>
        <v>POS</v>
      </c>
      <c r="AC28" s="10" t="s">
        <v>173</v>
      </c>
      <c r="AE28" s="24" t="str" cm="1">
        <f t="array" ref="AE28">_xlfn.IFS(OR(COUNTIF(P28:V28,Versiones!$G$9)&gt;0, COUNTIF(P28:V28,Versiones!$H$8)&gt;0), "Sprint 21",OR(COUNTIF(P28:V28,Versiones!$G$8)&gt;0, COUNTIF(P28:V28,Versiones!$H$8)&gt;0, COUNTIF(P28:V28,Versiones!$I$8)&gt;0), "Sprint 20",OR(COUNTIF(P28:V28,Versiones!$G$7)&gt;0, COUNTIF(P28:V28,Versiones!$H$7)&gt;0, COUNTIF(P28:V28,Versiones!$I$7)&gt;0), "Sprint 19",OR(COUNTIF(P28:V28,Versiones!$G$6)&gt;0, COUNTIF(P28:V28,Versiones!$H$6)&gt;0, COUNTIF(P28:V28,Versiones!$I$6)&gt;0), "Sprint 18",OR(COUNTIF(P28:V28,Versiones!$G$4)&gt;0, COUNTIF(P28:V28,Versiones!$H$4)&gt;0, COUNTIF(P28:V28,Versiones!$G$5)&gt;0, COUNTIF(P28:V28,Versiones!$H$5)&gt;0), "Sprint 17",OR(COUNTIF(P28:V28,Versiones!$G$2)&gt;0, COUNTIF(P28:V28,Versiones!$H$2)&gt;0, COUNTIF(P28:V28,Versiones!$G$3)&gt;0, COUNTIF(P28:V28,Versiones!$H$3)&gt;0), "Sprint 16", OR(COUNTIF(P28:V28,Versiones!$G$2)&gt;0, COUNTIF(P28:V28,Versiones!$H$2)&gt;0, COUNTIF(P28:V28,Versiones!$G$3)&gt;0, COUNTIF(P28:V28,Versiones!$H$3)&gt;0), "Sprint 16",TRUE, "")</f>
        <v>Sprint 16</v>
      </c>
      <c r="AF28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28" t="str" cm="1">
        <f t="array" ref="AG2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28" s="24" t="str" cm="1">
        <f t="array" ref="AH28">_xlfn.IFS(COUNTIF(P28:V28, Versiones!$A$13)&gt;0, "Funcional", COUNTIF(P28:V28, Versiones!$A$14)&gt;0, "Configuración", COUNTIF(P28:V28, Versiones!$A$15)&gt;0, "Look&amp;Feel", COUNTIF(P28:V28, Versiones!$A$16)&gt;0, "Integración", COUNTIF(P28:V28, Versiones!$A$17)&gt;0, "Contenido/Datos", COUNTIF(P28:V28, Versiones!$A$18)&gt;0, "Eventos_Cosmos", COUNTIF(P28:V28, Versiones!$A$19)&gt;0, "Eventos_iOT", COUNTIF(P28:V28, Versiones!$A$20)&gt;0, "Eventos_Fabric", TRUE, "No encontrado")</f>
        <v>Look&amp;Feel</v>
      </c>
    </row>
    <row r="29" spans="1:34">
      <c r="A29" s="45" t="s">
        <v>35</v>
      </c>
      <c r="B29" s="45" t="s">
        <v>174</v>
      </c>
      <c r="C29" s="45">
        <v>82878</v>
      </c>
      <c r="D29" s="45" t="s">
        <v>175</v>
      </c>
      <c r="E29" s="45">
        <v>87100</v>
      </c>
      <c r="F29" s="45" t="s">
        <v>38</v>
      </c>
      <c r="G29" s="45" t="s">
        <v>39</v>
      </c>
      <c r="H29" s="45" t="s">
        <v>54</v>
      </c>
      <c r="I29" s="45" t="s">
        <v>84</v>
      </c>
      <c r="J29" s="45" t="s">
        <v>126</v>
      </c>
      <c r="K29" s="45" t="s">
        <v>117</v>
      </c>
      <c r="L29" s="45" t="s">
        <v>118</v>
      </c>
      <c r="M29" s="45" t="s">
        <v>97</v>
      </c>
      <c r="N29" s="45"/>
      <c r="O29" s="45"/>
      <c r="P29" s="45" t="s">
        <v>43</v>
      </c>
      <c r="Q29" s="45" t="s">
        <v>99</v>
      </c>
      <c r="R29" s="45" t="s">
        <v>100</v>
      </c>
      <c r="S29" s="45" t="s">
        <v>102</v>
      </c>
      <c r="T29" s="45" t="s">
        <v>103</v>
      </c>
      <c r="U29" s="45"/>
      <c r="V29" s="45"/>
      <c r="W29" s="45" t="s">
        <v>104</v>
      </c>
      <c r="X29" s="60">
        <v>45872.51666666667</v>
      </c>
      <c r="Y29" s="45" t="s">
        <v>105</v>
      </c>
      <c r="Z29" s="45" t="s">
        <v>121</v>
      </c>
      <c r="AA29" s="45"/>
      <c r="AB29" t="str">
        <f>IF(LEFT(Jira__32[[#This Row],[Resumen]],3)="POS","POS",IF(LEFT(Jira__32[[#This Row],[Resumen]],3)="BOT","BOT",""))</f>
        <v>BOT</v>
      </c>
      <c r="AC29" s="10" t="s">
        <v>176</v>
      </c>
      <c r="AE29" s="24" t="str" cm="1">
        <f t="array" ref="AE29">_xlfn.IFS(OR(COUNTIF(P29:V29,Versiones!$G$9)&gt;0, COUNTIF(P29:V29,Versiones!$H$8)&gt;0), "Sprint 21",OR(COUNTIF(P29:V29,Versiones!$G$8)&gt;0, COUNTIF(P29:V29,Versiones!$H$8)&gt;0, COUNTIF(P29:V29,Versiones!$I$8)&gt;0), "Sprint 20",OR(COUNTIF(P29:V29,Versiones!$G$7)&gt;0, COUNTIF(P29:V29,Versiones!$H$7)&gt;0, COUNTIF(P29:V29,Versiones!$I$7)&gt;0), "Sprint 19",OR(COUNTIF(P29:V29,Versiones!$G$6)&gt;0, COUNTIF(P29:V29,Versiones!$H$6)&gt;0, COUNTIF(P29:V29,Versiones!$I$6)&gt;0), "Sprint 18",OR(COUNTIF(P29:V29,Versiones!$G$4)&gt;0, COUNTIF(P29:V29,Versiones!$H$4)&gt;0, COUNTIF(P29:V29,Versiones!$G$5)&gt;0, COUNTIF(P29:V29,Versiones!$H$5)&gt;0), "Sprint 17",OR(COUNTIF(P29:V29,Versiones!$G$2)&gt;0, COUNTIF(P29:V29,Versiones!$H$2)&gt;0, COUNTIF(P29:V29,Versiones!$G$3)&gt;0, COUNTIF(P29:V29,Versiones!$H$3)&gt;0), "Sprint 16", OR(COUNTIF(P29:V29,Versiones!$G$2)&gt;0, COUNTIF(P29:V29,Versiones!$H$2)&gt;0, COUNTIF(P29:V29,Versiones!$G$3)&gt;0, COUNTIF(P29:V29,Versiones!$H$3)&gt;0), "Sprint 16",TRUE, "")</f>
        <v>Sprint 16</v>
      </c>
      <c r="AF29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29" t="str" cm="1">
        <f t="array" ref="AG29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29" s="24" t="str" cm="1">
        <f t="array" ref="AH29">_xlfn.IFS(COUNTIF(P29:V29, Versiones!$A$13)&gt;0, "Funcional", COUNTIF(P29:V29, Versiones!$A$14)&gt;0, "Configuración", COUNTIF(P29:V29, Versiones!$A$15)&gt;0, "Look&amp;Feel", COUNTIF(P29:V29, Versiones!$A$16)&gt;0, "Integración", COUNTIF(P29:V29, Versiones!$A$17)&gt;0, "Contenido/Datos", COUNTIF(P29:V29, Versiones!$A$18)&gt;0, "Eventos_Cosmos", COUNTIF(P29:V29, Versiones!$A$19)&gt;0, "Eventos_iOT", COUNTIF(P29:V29, Versiones!$A$20)&gt;0, "Eventos_Fabric", TRUE, "No encontrado")</f>
        <v>Funcional</v>
      </c>
    </row>
    <row r="30" spans="1:34">
      <c r="A30" s="45" t="s">
        <v>35</v>
      </c>
      <c r="B30" s="45" t="s">
        <v>177</v>
      </c>
      <c r="C30" s="45">
        <v>82873</v>
      </c>
      <c r="D30" s="45" t="s">
        <v>178</v>
      </c>
      <c r="E30" s="45">
        <v>87100</v>
      </c>
      <c r="F30" s="45" t="s">
        <v>38</v>
      </c>
      <c r="G30" s="45" t="s">
        <v>39</v>
      </c>
      <c r="H30" s="45" t="s">
        <v>54</v>
      </c>
      <c r="I30" s="45" t="s">
        <v>84</v>
      </c>
      <c r="J30" s="45" t="s">
        <v>179</v>
      </c>
      <c r="K30" s="45" t="s">
        <v>126</v>
      </c>
      <c r="L30" s="45" t="s">
        <v>117</v>
      </c>
      <c r="M30" s="45" t="s">
        <v>118</v>
      </c>
      <c r="N30" s="45" t="s">
        <v>97</v>
      </c>
      <c r="O30" s="45"/>
      <c r="P30" s="45" t="s">
        <v>43</v>
      </c>
      <c r="Q30" s="45" t="s">
        <v>99</v>
      </c>
      <c r="R30" s="45" t="s">
        <v>100</v>
      </c>
      <c r="S30" s="45" t="s">
        <v>103</v>
      </c>
      <c r="T30" s="45"/>
      <c r="U30" s="45"/>
      <c r="V30" s="45"/>
      <c r="W30" s="45" t="s">
        <v>104</v>
      </c>
      <c r="X30" s="60">
        <v>45872.511111111111</v>
      </c>
      <c r="Y30" s="45" t="s">
        <v>105</v>
      </c>
      <c r="Z30" s="45"/>
      <c r="AA30" s="45"/>
      <c r="AB30" t="str">
        <f>IF(LEFT(Jira__32[[#This Row],[Resumen]],3)="POS","POS",IF(LEFT(Jira__32[[#This Row],[Resumen]],3)="BOT","BOT",""))</f>
        <v>BOT</v>
      </c>
      <c r="AC30" s="10" t="s">
        <v>176</v>
      </c>
      <c r="AE30" s="24" t="str" cm="1">
        <f t="array" ref="AE30">_xlfn.IFS(OR(COUNTIF(P30:V30,Versiones!$G$9)&gt;0, COUNTIF(P30:V30,Versiones!$H$8)&gt;0), "Sprint 21",OR(COUNTIF(P30:V30,Versiones!$G$8)&gt;0, COUNTIF(P30:V30,Versiones!$H$8)&gt;0, COUNTIF(P30:V30,Versiones!$I$8)&gt;0), "Sprint 20",OR(COUNTIF(P30:V30,Versiones!$G$7)&gt;0, COUNTIF(P30:V30,Versiones!$H$7)&gt;0, COUNTIF(P30:V30,Versiones!$I$7)&gt;0), "Sprint 19",OR(COUNTIF(P30:V30,Versiones!$G$6)&gt;0, COUNTIF(P30:V30,Versiones!$H$6)&gt;0, COUNTIF(P30:V30,Versiones!$I$6)&gt;0), "Sprint 18",OR(COUNTIF(P30:V30,Versiones!$G$4)&gt;0, COUNTIF(P30:V30,Versiones!$H$4)&gt;0, COUNTIF(P30:V30,Versiones!$G$5)&gt;0, COUNTIF(P30:V30,Versiones!$H$5)&gt;0), "Sprint 17",OR(COUNTIF(P30:V30,Versiones!$G$2)&gt;0, COUNTIF(P30:V30,Versiones!$H$2)&gt;0, COUNTIF(P30:V30,Versiones!$G$3)&gt;0, COUNTIF(P30:V30,Versiones!$H$3)&gt;0), "Sprint 16", OR(COUNTIF(P30:V30,Versiones!$G$2)&gt;0, COUNTIF(P30:V30,Versiones!$H$2)&gt;0, COUNTIF(P30:V30,Versiones!$G$3)&gt;0, COUNTIF(P30:V30,Versiones!$H$3)&gt;0), "Sprint 16",TRUE, "")</f>
        <v>Sprint 16</v>
      </c>
      <c r="AF30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30" t="str" cm="1">
        <f t="array" ref="AG30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30" s="24" t="str" cm="1">
        <f t="array" ref="AH30">_xlfn.IFS(COUNTIF(P30:V30, Versiones!$A$13)&gt;0, "Funcional", COUNTIF(P30:V30, Versiones!$A$14)&gt;0, "Configuración", COUNTIF(P30:V30, Versiones!$A$15)&gt;0, "Look&amp;Feel", COUNTIF(P30:V30, Versiones!$A$16)&gt;0, "Integración", COUNTIF(P30:V30, Versiones!$A$17)&gt;0, "Contenido/Datos", COUNTIF(P30:V30, Versiones!$A$18)&gt;0, "Eventos_Cosmos", COUNTIF(P30:V30, Versiones!$A$19)&gt;0, "Eventos_iOT", COUNTIF(P30:V30, Versiones!$A$20)&gt;0, "Eventos_Fabric", TRUE, "No encontrado")</f>
        <v>Funcional</v>
      </c>
    </row>
    <row r="31" spans="1:34">
      <c r="A31" s="45" t="s">
        <v>35</v>
      </c>
      <c r="B31" s="45" t="s">
        <v>62</v>
      </c>
      <c r="C31" s="45">
        <v>102710</v>
      </c>
      <c r="D31" s="45" t="s">
        <v>63</v>
      </c>
      <c r="E31" s="45">
        <v>87100</v>
      </c>
      <c r="F31" s="45" t="s">
        <v>38</v>
      </c>
      <c r="G31" s="45" t="s">
        <v>39</v>
      </c>
      <c r="H31" s="45" t="s">
        <v>54</v>
      </c>
      <c r="I31" s="45" t="s">
        <v>41</v>
      </c>
      <c r="J31" s="45" t="s">
        <v>42</v>
      </c>
      <c r="K31" s="45"/>
      <c r="L31" s="45"/>
      <c r="M31" s="45"/>
      <c r="N31" s="45"/>
      <c r="O31" s="45"/>
      <c r="P31" s="45" t="s">
        <v>64</v>
      </c>
      <c r="Q31" s="45" t="s">
        <v>44</v>
      </c>
      <c r="R31" s="45"/>
      <c r="S31" s="45"/>
      <c r="T31" s="45"/>
      <c r="U31" s="45"/>
      <c r="V31" s="45"/>
      <c r="W31" s="45" t="s">
        <v>65</v>
      </c>
      <c r="X31" s="60">
        <v>45947.709027777775</v>
      </c>
      <c r="Y31" s="45"/>
      <c r="Z31" s="45"/>
      <c r="AA31" s="45"/>
      <c r="AB31" t="str">
        <f>IF(LEFT(Jira__32[[#This Row],[Resumen]],3)="POS","POS",IF(LEFT(Jira__32[[#This Row],[Resumen]],3)="BOT","BOT",""))</f>
        <v/>
      </c>
      <c r="AC31" s="10" t="s">
        <v>47</v>
      </c>
      <c r="AE31" s="24" t="str" cm="1">
        <f t="array" ref="AE31">_xlfn.IFS(OR(COUNTIF(P31:V31,Versiones!$G$9)&gt;0, COUNTIF(P31:V31,Versiones!$H$8)&gt;0), "Sprint 21",OR(COUNTIF(P31:V31,Versiones!$G$8)&gt;0, COUNTIF(P31:V31,Versiones!$H$8)&gt;0, COUNTIF(P31:V31,Versiones!$I$8)&gt;0), "Sprint 20",OR(COUNTIF(P31:V31,Versiones!$G$7)&gt;0, COUNTIF(P31:V31,Versiones!$H$7)&gt;0, COUNTIF(P31:V31,Versiones!$I$7)&gt;0), "Sprint 19",OR(COUNTIF(P31:V31,Versiones!$G$6)&gt;0, COUNTIF(P31:V31,Versiones!$H$6)&gt;0, COUNTIF(P31:V31,Versiones!$I$6)&gt;0), "Sprint 18",OR(COUNTIF(P31:V31,Versiones!$G$4)&gt;0, COUNTIF(P31:V31,Versiones!$H$4)&gt;0, COUNTIF(P31:V31,Versiones!$G$5)&gt;0, COUNTIF(P31:V31,Versiones!$H$5)&gt;0), "Sprint 17",OR(COUNTIF(P31:V31,Versiones!$G$2)&gt;0, COUNTIF(P31:V31,Versiones!$H$2)&gt;0, COUNTIF(P31:V31,Versiones!$G$3)&gt;0, COUNTIF(P31:V31,Versiones!$H$3)&gt;0), "Sprint 16", OR(COUNTIF(P31:V31,Versiones!$G$2)&gt;0, COUNTIF(P31:V31,Versiones!$H$2)&gt;0, COUNTIF(P31:V31,Versiones!$G$3)&gt;0, COUNTIF(P31:V31,Versiones!$H$3)&gt;0), "Sprint 16",TRUE, "")</f>
        <v>Sprint 21</v>
      </c>
      <c r="AF31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31" t="str" cm="1">
        <f t="array" ref="AG31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31" s="24" t="str" cm="1">
        <f t="array" ref="AH31">_xlfn.IFS(COUNTIF(P31:V31, Versiones!$A$13)&gt;0, "Funcional", COUNTIF(P31:V31, Versiones!$A$14)&gt;0, "Configuración", COUNTIF(P31:V31, Versiones!$A$15)&gt;0, "Look&amp;Feel", COUNTIF(P31:V31, Versiones!$A$16)&gt;0, "Integración", COUNTIF(P31:V31, Versiones!$A$17)&gt;0, "Contenido/Datos", COUNTIF(P31:V31, Versiones!$A$18)&gt;0, "Eventos_Cosmos", COUNTIF(P31:V31, Versiones!$A$19)&gt;0, "Eventos_iOT", COUNTIF(P31:V31, Versiones!$A$20)&gt;0, "Eventos_Fabric", TRUE, "No encontrado")</f>
        <v>Contenido/Datos</v>
      </c>
    </row>
    <row r="32" spans="1:34">
      <c r="A32" s="45" t="s">
        <v>35</v>
      </c>
      <c r="B32" s="45" t="s">
        <v>36</v>
      </c>
      <c r="C32" s="45">
        <v>102674</v>
      </c>
      <c r="D32" s="45" t="s">
        <v>37</v>
      </c>
      <c r="E32" s="45">
        <v>87100</v>
      </c>
      <c r="F32" s="45" t="s">
        <v>38</v>
      </c>
      <c r="G32" s="45" t="s">
        <v>39</v>
      </c>
      <c r="H32" s="45" t="s">
        <v>40</v>
      </c>
      <c r="I32" s="45" t="s">
        <v>41</v>
      </c>
      <c r="J32" s="45" t="s">
        <v>42</v>
      </c>
      <c r="K32" s="45"/>
      <c r="L32" s="45"/>
      <c r="M32" s="45"/>
      <c r="N32" s="45"/>
      <c r="O32" s="45"/>
      <c r="P32" s="45" t="s">
        <v>43</v>
      </c>
      <c r="Q32" s="45" t="s">
        <v>44</v>
      </c>
      <c r="R32" s="45"/>
      <c r="S32" s="45"/>
      <c r="T32" s="45"/>
      <c r="U32" s="45"/>
      <c r="V32" s="45"/>
      <c r="W32" s="45" t="s">
        <v>45</v>
      </c>
      <c r="X32" s="60">
        <v>45947.628472222219</v>
      </c>
      <c r="Y32" s="45"/>
      <c r="Z32" s="45"/>
      <c r="AA32" s="45"/>
      <c r="AB32" t="str">
        <f>IF(LEFT(Jira__32[[#This Row],[Resumen]],3)="POS","POS",IF(LEFT(Jira__32[[#This Row],[Resumen]],3)="BOT","BOT",""))</f>
        <v>BOT</v>
      </c>
      <c r="AC32" s="10" t="s">
        <v>47</v>
      </c>
      <c r="AE32" s="24" t="str" cm="1">
        <f t="array" ref="AE32">_xlfn.IFS(OR(COUNTIF(P32:V32,Versiones!$G$9)&gt;0, COUNTIF(P32:V32,Versiones!$H$8)&gt;0), "Sprint 21",OR(COUNTIF(P32:V32,Versiones!$G$8)&gt;0, COUNTIF(P32:V32,Versiones!$H$8)&gt;0, COUNTIF(P32:V32,Versiones!$I$8)&gt;0), "Sprint 20",OR(COUNTIF(P32:V32,Versiones!$G$7)&gt;0, COUNTIF(P32:V32,Versiones!$H$7)&gt;0, COUNTIF(P32:V32,Versiones!$I$7)&gt;0), "Sprint 19",OR(COUNTIF(P32:V32,Versiones!$G$6)&gt;0, COUNTIF(P32:V32,Versiones!$H$6)&gt;0, COUNTIF(P32:V32,Versiones!$I$6)&gt;0), "Sprint 18",OR(COUNTIF(P32:V32,Versiones!$G$4)&gt;0, COUNTIF(P32:V32,Versiones!$H$4)&gt;0, COUNTIF(P32:V32,Versiones!$G$5)&gt;0, COUNTIF(P32:V32,Versiones!$H$5)&gt;0), "Sprint 17",OR(COUNTIF(P32:V32,Versiones!$G$2)&gt;0, COUNTIF(P32:V32,Versiones!$H$2)&gt;0, COUNTIF(P32:V32,Versiones!$G$3)&gt;0, COUNTIF(P32:V32,Versiones!$H$3)&gt;0), "Sprint 16", OR(COUNTIF(P32:V32,Versiones!$G$2)&gt;0, COUNTIF(P32:V32,Versiones!$H$2)&gt;0, COUNTIF(P32:V32,Versiones!$G$3)&gt;0, COUNTIF(P32:V32,Versiones!$H$3)&gt;0), "Sprint 16",TRUE, "")</f>
        <v>Sprint 21</v>
      </c>
      <c r="AF32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32" t="str" cm="1">
        <f t="array" ref="AG32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32" s="24" t="str" cm="1">
        <f t="array" ref="AH32">_xlfn.IFS(COUNTIF(P32:V32, Versiones!$A$13)&gt;0, "Funcional", COUNTIF(P32:V32, Versiones!$A$14)&gt;0, "Configuración", COUNTIF(P32:V32, Versiones!$A$15)&gt;0, "Look&amp;Feel", COUNTIF(P32:V32, Versiones!$A$16)&gt;0, "Integración", COUNTIF(P32:V32, Versiones!$A$17)&gt;0, "Contenido/Datos", COUNTIF(P32:V32, Versiones!$A$18)&gt;0, "Eventos_Cosmos", COUNTIF(P32:V32, Versiones!$A$19)&gt;0, "Eventos_iOT", COUNTIF(P32:V32, Versiones!$A$20)&gt;0, "Eventos_Fabric", TRUE, "No encontrado")</f>
        <v>Funcional</v>
      </c>
    </row>
    <row r="33" spans="1:34">
      <c r="A33" s="45" t="s">
        <v>35</v>
      </c>
      <c r="B33" s="45" t="s">
        <v>60</v>
      </c>
      <c r="C33" s="45">
        <v>102586</v>
      </c>
      <c r="D33" s="45" t="s">
        <v>61</v>
      </c>
      <c r="E33" s="45">
        <v>87100</v>
      </c>
      <c r="F33" s="45" t="s">
        <v>38</v>
      </c>
      <c r="G33" s="45" t="s">
        <v>39</v>
      </c>
      <c r="H33" s="45" t="s">
        <v>54</v>
      </c>
      <c r="I33" s="45" t="s">
        <v>41</v>
      </c>
      <c r="J33" s="45"/>
      <c r="K33" s="45"/>
      <c r="L33" s="45"/>
      <c r="M33" s="45"/>
      <c r="N33" s="45"/>
      <c r="O33" s="45"/>
      <c r="P33" s="45" t="s">
        <v>55</v>
      </c>
      <c r="Q33" s="45" t="s">
        <v>44</v>
      </c>
      <c r="R33" s="45"/>
      <c r="S33" s="45"/>
      <c r="T33" s="45"/>
      <c r="U33" s="45"/>
      <c r="V33" s="45"/>
      <c r="W33" s="45" t="s">
        <v>45</v>
      </c>
      <c r="X33" s="60">
        <v>45947.398611111108</v>
      </c>
      <c r="Y33" s="45"/>
      <c r="Z33" s="45"/>
      <c r="AA33" s="45"/>
      <c r="AB33" t="str">
        <f>IF(LEFT(Jira__32[[#This Row],[Resumen]],3)="POS","POS",IF(LEFT(Jira__32[[#This Row],[Resumen]],3)="BOT","BOT",""))</f>
        <v>POS</v>
      </c>
      <c r="AC33" s="10" t="s">
        <v>47</v>
      </c>
      <c r="AE33" s="24" t="str" cm="1">
        <f t="array" ref="AE33">_xlfn.IFS(OR(COUNTIF(P33:V33,Versiones!$G$9)&gt;0, COUNTIF(P33:V33,Versiones!$H$8)&gt;0), "Sprint 21",OR(COUNTIF(P33:V33,Versiones!$G$8)&gt;0, COUNTIF(P33:V33,Versiones!$H$8)&gt;0, COUNTIF(P33:V33,Versiones!$I$8)&gt;0), "Sprint 20",OR(COUNTIF(P33:V33,Versiones!$G$7)&gt;0, COUNTIF(P33:V33,Versiones!$H$7)&gt;0, COUNTIF(P33:V33,Versiones!$I$7)&gt;0), "Sprint 19",OR(COUNTIF(P33:V33,Versiones!$G$6)&gt;0, COUNTIF(P33:V33,Versiones!$H$6)&gt;0, COUNTIF(P33:V33,Versiones!$I$6)&gt;0), "Sprint 18",OR(COUNTIF(P33:V33,Versiones!$G$4)&gt;0, COUNTIF(P33:V33,Versiones!$H$4)&gt;0, COUNTIF(P33:V33,Versiones!$G$5)&gt;0, COUNTIF(P33:V33,Versiones!$H$5)&gt;0), "Sprint 17",OR(COUNTIF(P33:V33,Versiones!$G$2)&gt;0, COUNTIF(P33:V33,Versiones!$H$2)&gt;0, COUNTIF(P33:V33,Versiones!$G$3)&gt;0, COUNTIF(P33:V33,Versiones!$H$3)&gt;0), "Sprint 16", OR(COUNTIF(P33:V33,Versiones!$G$2)&gt;0, COUNTIF(P33:V33,Versiones!$H$2)&gt;0, COUNTIF(P33:V33,Versiones!$G$3)&gt;0, COUNTIF(P33:V33,Versiones!$H$3)&gt;0), "Sprint 16",TRUE, "")</f>
        <v>Sprint 21</v>
      </c>
      <c r="AF33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33" t="str" cm="1">
        <f t="array" ref="AG3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33" s="24" t="str" cm="1">
        <f t="array" ref="AH33">_xlfn.IFS(COUNTIF(P33:V33, Versiones!$A$13)&gt;0, "Funcional", COUNTIF(P33:V33, Versiones!$A$14)&gt;0, "Configuración", COUNTIF(P33:V33, Versiones!$A$15)&gt;0, "Look&amp;Feel", COUNTIF(P33:V33, Versiones!$A$16)&gt;0, "Integración", COUNTIF(P33:V33, Versiones!$A$17)&gt;0, "Contenido/Datos", COUNTIF(P33:V33, Versiones!$A$18)&gt;0, "Eventos_Cosmos", COUNTIF(P33:V33, Versiones!$A$19)&gt;0, "Eventos_iOT", COUNTIF(P33:V33, Versiones!$A$20)&gt;0, "Eventos_Fabric", TRUE, "No encontrado")</f>
        <v>Look&amp;Feel</v>
      </c>
    </row>
    <row r="34" spans="1:34">
      <c r="A34" s="45" t="s">
        <v>35</v>
      </c>
      <c r="B34" s="45" t="s">
        <v>56</v>
      </c>
      <c r="C34" s="45">
        <v>102584</v>
      </c>
      <c r="D34" s="45" t="s">
        <v>57</v>
      </c>
      <c r="E34" s="45">
        <v>87100</v>
      </c>
      <c r="F34" s="45" t="s">
        <v>38</v>
      </c>
      <c r="G34" s="45" t="s">
        <v>39</v>
      </c>
      <c r="H34" s="45" t="s">
        <v>54</v>
      </c>
      <c r="I34" s="45" t="s">
        <v>41</v>
      </c>
      <c r="J34" s="45"/>
      <c r="K34" s="45"/>
      <c r="L34" s="45"/>
      <c r="M34" s="45"/>
      <c r="N34" s="45"/>
      <c r="O34" s="45"/>
      <c r="P34" s="45" t="s">
        <v>55</v>
      </c>
      <c r="Q34" s="45" t="s">
        <v>44</v>
      </c>
      <c r="R34" s="45"/>
      <c r="S34" s="45"/>
      <c r="T34" s="45"/>
      <c r="U34" s="45"/>
      <c r="V34" s="45"/>
      <c r="W34" s="45" t="s">
        <v>45</v>
      </c>
      <c r="X34" s="60">
        <v>45947.382638888892</v>
      </c>
      <c r="Y34" s="45"/>
      <c r="Z34" s="45"/>
      <c r="AA34" s="45"/>
      <c r="AB34" t="str">
        <f>IF(LEFT(Jira__32[[#This Row],[Resumen]],3)="POS","POS",IF(LEFT(Jira__32[[#This Row],[Resumen]],3)="BOT","BOT",""))</f>
        <v>POS</v>
      </c>
      <c r="AC34" s="10" t="s">
        <v>59</v>
      </c>
      <c r="AE34" s="24" t="str" cm="1">
        <f t="array" ref="AE34">_xlfn.IFS(OR(COUNTIF(P34:V34,Versiones!$G$9)&gt;0, COUNTIF(P34:V34,Versiones!$H$8)&gt;0), "Sprint 21",OR(COUNTIF(P34:V34,Versiones!$G$8)&gt;0, COUNTIF(P34:V34,Versiones!$H$8)&gt;0, COUNTIF(P34:V34,Versiones!$I$8)&gt;0), "Sprint 20",OR(COUNTIF(P34:V34,Versiones!$G$7)&gt;0, COUNTIF(P34:V34,Versiones!$H$7)&gt;0, COUNTIF(P34:V34,Versiones!$I$7)&gt;0), "Sprint 19",OR(COUNTIF(P34:V34,Versiones!$G$6)&gt;0, COUNTIF(P34:V34,Versiones!$H$6)&gt;0, COUNTIF(P34:V34,Versiones!$I$6)&gt;0), "Sprint 18",OR(COUNTIF(P34:V34,Versiones!$G$4)&gt;0, COUNTIF(P34:V34,Versiones!$H$4)&gt;0, COUNTIF(P34:V34,Versiones!$G$5)&gt;0, COUNTIF(P34:V34,Versiones!$H$5)&gt;0), "Sprint 17",OR(COUNTIF(P34:V34,Versiones!$G$2)&gt;0, COUNTIF(P34:V34,Versiones!$H$2)&gt;0, COUNTIF(P34:V34,Versiones!$G$3)&gt;0, COUNTIF(P34:V34,Versiones!$H$3)&gt;0), "Sprint 16", OR(COUNTIF(P34:V34,Versiones!$G$2)&gt;0, COUNTIF(P34:V34,Versiones!$H$2)&gt;0, COUNTIF(P34:V34,Versiones!$G$3)&gt;0, COUNTIF(P34:V34,Versiones!$H$3)&gt;0), "Sprint 16",TRUE, "")</f>
        <v>Sprint 21</v>
      </c>
      <c r="AF34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34" t="str" cm="1">
        <f t="array" ref="AG3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34" s="24" t="str" cm="1">
        <f t="array" ref="AH34">_xlfn.IFS(COUNTIF(P34:V34, Versiones!$A$13)&gt;0, "Funcional", COUNTIF(P34:V34, Versiones!$A$14)&gt;0, "Configuración", COUNTIF(P34:V34, Versiones!$A$15)&gt;0, "Look&amp;Feel", COUNTIF(P34:V34, Versiones!$A$16)&gt;0, "Integración", COUNTIF(P34:V34, Versiones!$A$17)&gt;0, "Contenido/Datos", COUNTIF(P34:V34, Versiones!$A$18)&gt;0, "Eventos_Cosmos", COUNTIF(P34:V34, Versiones!$A$19)&gt;0, "Eventos_iOT", COUNTIF(P34:V34, Versiones!$A$20)&gt;0, "Eventos_Fabric", TRUE, "No encontrado")</f>
        <v>Look&amp;Feel</v>
      </c>
    </row>
    <row r="35" spans="1:34">
      <c r="A35" s="45" t="s">
        <v>35</v>
      </c>
      <c r="B35" s="45" t="s">
        <v>52</v>
      </c>
      <c r="C35" s="45">
        <v>102295</v>
      </c>
      <c r="D35" s="45" t="s">
        <v>53</v>
      </c>
      <c r="E35" s="45">
        <v>87100</v>
      </c>
      <c r="F35" s="45" t="s">
        <v>38</v>
      </c>
      <c r="G35" s="45" t="s">
        <v>39</v>
      </c>
      <c r="H35" s="45" t="s">
        <v>54</v>
      </c>
      <c r="I35" s="45" t="s">
        <v>41</v>
      </c>
      <c r="J35" s="45"/>
      <c r="K35" s="45"/>
      <c r="L35" s="45"/>
      <c r="M35" s="45"/>
      <c r="N35" s="45"/>
      <c r="O35" s="45"/>
      <c r="P35" s="45" t="s">
        <v>55</v>
      </c>
      <c r="Q35" s="45" t="s">
        <v>44</v>
      </c>
      <c r="R35" s="45"/>
      <c r="S35" s="45"/>
      <c r="T35" s="45"/>
      <c r="U35" s="45"/>
      <c r="V35" s="45"/>
      <c r="W35" s="45" t="s">
        <v>45</v>
      </c>
      <c r="X35" s="60">
        <v>45946.556944444441</v>
      </c>
      <c r="Y35" s="45"/>
      <c r="Z35" s="45"/>
      <c r="AA35" s="45"/>
      <c r="AB35" t="str">
        <f>IF(LEFT(Jira__32[[#This Row],[Resumen]],3)="POS","POS",IF(LEFT(Jira__32[[#This Row],[Resumen]],3)="BOT","BOT",""))</f>
        <v>BOT</v>
      </c>
      <c r="AC35" s="14" t="s">
        <v>47</v>
      </c>
      <c r="AE35" s="24" t="str" cm="1">
        <f t="array" ref="AE35">_xlfn.IFS(OR(COUNTIF(P35:V35,Versiones!$G$9)&gt;0, COUNTIF(P35:V35,Versiones!$H$8)&gt;0), "Sprint 21",OR(COUNTIF(P35:V35,Versiones!$G$8)&gt;0, COUNTIF(P35:V35,Versiones!$H$8)&gt;0, COUNTIF(P35:V35,Versiones!$I$8)&gt;0), "Sprint 20",OR(COUNTIF(P35:V35,Versiones!$G$7)&gt;0, COUNTIF(P35:V35,Versiones!$H$7)&gt;0, COUNTIF(P35:V35,Versiones!$I$7)&gt;0), "Sprint 19",OR(COUNTIF(P35:V35,Versiones!$G$6)&gt;0, COUNTIF(P35:V35,Versiones!$H$6)&gt;0, COUNTIF(P35:V35,Versiones!$I$6)&gt;0), "Sprint 18",OR(COUNTIF(P35:V35,Versiones!$G$4)&gt;0, COUNTIF(P35:V35,Versiones!$H$4)&gt;0, COUNTIF(P35:V35,Versiones!$G$5)&gt;0, COUNTIF(P35:V35,Versiones!$H$5)&gt;0), "Sprint 17",OR(COUNTIF(P35:V35,Versiones!$G$2)&gt;0, COUNTIF(P35:V35,Versiones!$H$2)&gt;0, COUNTIF(P35:V35,Versiones!$G$3)&gt;0, COUNTIF(P35:V35,Versiones!$H$3)&gt;0), "Sprint 16", OR(COUNTIF(P35:V35,Versiones!$G$2)&gt;0, COUNTIF(P35:V35,Versiones!$H$2)&gt;0, COUNTIF(P35:V35,Versiones!$G$3)&gt;0, COUNTIF(P35:V35,Versiones!$H$3)&gt;0), "Sprint 16",TRUE, "")</f>
        <v>Sprint 21</v>
      </c>
      <c r="AF35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35" t="str" cm="1">
        <f t="array" ref="AG3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35" s="24" t="str" cm="1">
        <f t="array" ref="AH35">_xlfn.IFS(COUNTIF(P35:V35, Versiones!$A$13)&gt;0, "Funcional", COUNTIF(P35:V35, Versiones!$A$14)&gt;0, "Configuración", COUNTIF(P35:V35, Versiones!$A$15)&gt;0, "Look&amp;Feel", COUNTIF(P35:V35, Versiones!$A$16)&gt;0, "Integración", COUNTIF(P35:V35, Versiones!$A$17)&gt;0, "Contenido/Datos", COUNTIF(P35:V35, Versiones!$A$18)&gt;0, "Eventos_Cosmos", COUNTIF(P35:V35, Versiones!$A$19)&gt;0, "Eventos_iOT", COUNTIF(P35:V35, Versiones!$A$20)&gt;0, "Eventos_Fabric", TRUE, "No encontrado")</f>
        <v>Look&amp;Feel</v>
      </c>
    </row>
    <row r="36" spans="1:34">
      <c r="A36" s="45" t="s">
        <v>35</v>
      </c>
      <c r="B36" s="45" t="s">
        <v>180</v>
      </c>
      <c r="C36" s="45">
        <v>99976</v>
      </c>
      <c r="D36" s="45" t="s">
        <v>181</v>
      </c>
      <c r="E36" s="45">
        <v>87100</v>
      </c>
      <c r="F36" s="45" t="s">
        <v>38</v>
      </c>
      <c r="G36" s="45" t="s">
        <v>39</v>
      </c>
      <c r="H36" s="45" t="s">
        <v>54</v>
      </c>
      <c r="I36" s="45" t="s">
        <v>41</v>
      </c>
      <c r="J36" s="45" t="s">
        <v>97</v>
      </c>
      <c r="K36" s="45"/>
      <c r="L36" s="45"/>
      <c r="M36" s="45"/>
      <c r="N36" s="45"/>
      <c r="O36" s="45"/>
      <c r="P36" s="45" t="s">
        <v>43</v>
      </c>
      <c r="Q36" s="45" t="s">
        <v>182</v>
      </c>
      <c r="R36" s="45"/>
      <c r="S36" s="45"/>
      <c r="T36" s="45"/>
      <c r="U36" s="45"/>
      <c r="V36" s="45"/>
      <c r="W36" s="45" t="s">
        <v>45</v>
      </c>
      <c r="X36" s="60">
        <v>45937.668749999997</v>
      </c>
      <c r="Y36" s="45"/>
      <c r="Z36" s="45"/>
      <c r="AA36" s="45"/>
      <c r="AB36" t="str">
        <f>IF(LEFT(Jira__32[[#This Row],[Resumen]],3)="POS","POS",IF(LEFT(Jira__32[[#This Row],[Resumen]],3)="BOT","BOT",""))</f>
        <v>BOT</v>
      </c>
      <c r="AC36" s="10" t="s">
        <v>59</v>
      </c>
      <c r="AE36" s="24" t="str" cm="1">
        <f t="array" ref="AE36">_xlfn.IFS(OR(COUNTIF(P36:V36,Versiones!$G$9)&gt;0, COUNTIF(P36:V36,Versiones!$H$8)&gt;0), "Sprint 21",OR(COUNTIF(P36:V36,Versiones!$G$8)&gt;0, COUNTIF(P36:V36,Versiones!$H$8)&gt;0, COUNTIF(P36:V36,Versiones!$I$8)&gt;0), "Sprint 20",OR(COUNTIF(P36:V36,Versiones!$G$7)&gt;0, COUNTIF(P36:V36,Versiones!$H$7)&gt;0, COUNTIF(P36:V36,Versiones!$I$7)&gt;0), "Sprint 19",OR(COUNTIF(P36:V36,Versiones!$G$6)&gt;0, COUNTIF(P36:V36,Versiones!$H$6)&gt;0, COUNTIF(P36:V36,Versiones!$I$6)&gt;0), "Sprint 18",OR(COUNTIF(P36:V36,Versiones!$G$4)&gt;0, COUNTIF(P36:V36,Versiones!$H$4)&gt;0, COUNTIF(P36:V36,Versiones!$G$5)&gt;0, COUNTIF(P36:V36,Versiones!$H$5)&gt;0), "Sprint 17",OR(COUNTIF(P36:V36,Versiones!$G$2)&gt;0, COUNTIF(P36:V36,Versiones!$H$2)&gt;0, COUNTIF(P36:V36,Versiones!$G$3)&gt;0, COUNTIF(P36:V36,Versiones!$H$3)&gt;0), "Sprint 16", OR(COUNTIF(P36:V36,Versiones!$G$2)&gt;0, COUNTIF(P36:V36,Versiones!$H$2)&gt;0, COUNTIF(P36:V36,Versiones!$G$3)&gt;0, COUNTIF(P36:V36,Versiones!$H$3)&gt;0), "Sprint 16",TRUE, "")</f>
        <v>Sprint 20</v>
      </c>
      <c r="AF36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36" t="str" cm="1">
        <f t="array" ref="AG3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36" s="24" t="str" cm="1">
        <f t="array" ref="AH36">_xlfn.IFS(COUNTIF(P36:V36, Versiones!$A$13)&gt;0, "Funcional", COUNTIF(P36:V36, Versiones!$A$14)&gt;0, "Configuración", COUNTIF(P36:V36, Versiones!$A$15)&gt;0, "Look&amp;Feel", COUNTIF(P36:V36, Versiones!$A$16)&gt;0, "Integración", COUNTIF(P36:V36, Versiones!$A$17)&gt;0, "Contenido/Datos", COUNTIF(P36:V36, Versiones!$A$18)&gt;0, "Eventos_Cosmos", COUNTIF(P36:V36, Versiones!$A$19)&gt;0, "Eventos_iOT", COUNTIF(P36:V36, Versiones!$A$20)&gt;0, "Eventos_Fabric", TRUE, "No encontrado")</f>
        <v>Funcional</v>
      </c>
    </row>
    <row r="37" spans="1:34">
      <c r="A37" s="45" t="s">
        <v>35</v>
      </c>
      <c r="B37" s="45" t="s">
        <v>183</v>
      </c>
      <c r="C37" s="45">
        <v>99972</v>
      </c>
      <c r="D37" s="45" t="s">
        <v>184</v>
      </c>
      <c r="E37" s="45">
        <v>87100</v>
      </c>
      <c r="F37" s="45" t="s">
        <v>38</v>
      </c>
      <c r="G37" s="45" t="s">
        <v>39</v>
      </c>
      <c r="H37" s="45" t="s">
        <v>40</v>
      </c>
      <c r="I37" s="45" t="s">
        <v>41</v>
      </c>
      <c r="J37" s="45" t="s">
        <v>42</v>
      </c>
      <c r="K37" s="45"/>
      <c r="L37" s="45"/>
      <c r="M37" s="45"/>
      <c r="N37" s="45"/>
      <c r="O37" s="45"/>
      <c r="P37" s="45" t="s">
        <v>129</v>
      </c>
      <c r="Q37" s="45" t="s">
        <v>55</v>
      </c>
      <c r="R37" s="45" t="s">
        <v>182</v>
      </c>
      <c r="S37" s="45"/>
      <c r="T37" s="45"/>
      <c r="U37" s="45"/>
      <c r="V37" s="45"/>
      <c r="W37" s="45" t="s">
        <v>185</v>
      </c>
      <c r="X37" s="60">
        <v>45937.665277777778</v>
      </c>
      <c r="Y37" s="45" t="s">
        <v>186</v>
      </c>
      <c r="Z37" s="45"/>
      <c r="AA37" s="45"/>
      <c r="AB37" t="str">
        <f>IF(LEFT(Jira__32[[#This Row],[Resumen]],3)="POS","POS",IF(LEFT(Jira__32[[#This Row],[Resumen]],3)="BOT","BOT",""))</f>
        <v>POS</v>
      </c>
      <c r="AC37" s="14" t="s">
        <v>187</v>
      </c>
      <c r="AE37" s="24" t="str" cm="1">
        <f t="array" ref="AE37">_xlfn.IFS(OR(COUNTIF(P37:V37,Versiones!$G$9)&gt;0, COUNTIF(P37:V37,Versiones!$H$8)&gt;0), "Sprint 21",OR(COUNTIF(P37:V37,Versiones!$G$8)&gt;0, COUNTIF(P37:V37,Versiones!$H$8)&gt;0, COUNTIF(P37:V37,Versiones!$I$8)&gt;0), "Sprint 20",OR(COUNTIF(P37:V37,Versiones!$G$7)&gt;0, COUNTIF(P37:V37,Versiones!$H$7)&gt;0, COUNTIF(P37:V37,Versiones!$I$7)&gt;0), "Sprint 19",OR(COUNTIF(P37:V37,Versiones!$G$6)&gt;0, COUNTIF(P37:V37,Versiones!$H$6)&gt;0, COUNTIF(P37:V37,Versiones!$I$6)&gt;0), "Sprint 18",OR(COUNTIF(P37:V37,Versiones!$G$4)&gt;0, COUNTIF(P37:V37,Versiones!$H$4)&gt;0, COUNTIF(P37:V37,Versiones!$G$5)&gt;0, COUNTIF(P37:V37,Versiones!$H$5)&gt;0), "Sprint 17",OR(COUNTIF(P37:V37,Versiones!$G$2)&gt;0, COUNTIF(P37:V37,Versiones!$H$2)&gt;0, COUNTIF(P37:V37,Versiones!$G$3)&gt;0, COUNTIF(P37:V37,Versiones!$H$3)&gt;0), "Sprint 16", OR(COUNTIF(P37:V37,Versiones!$G$2)&gt;0, COUNTIF(P37:V37,Versiones!$H$2)&gt;0, COUNTIF(P37:V37,Versiones!$G$3)&gt;0, COUNTIF(P37:V37,Versiones!$H$3)&gt;0), "Sprint 16",TRUE, "")</f>
        <v>Sprint 20</v>
      </c>
      <c r="AF37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v0.8</v>
      </c>
      <c r="AG37" t="str" cm="1">
        <f t="array" ref="AG3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20</v>
      </c>
      <c r="AH37" s="24" t="str" cm="1">
        <f t="array" ref="AH37">_xlfn.IFS(COUNTIF(P37:V37, Versiones!$A$13)&gt;0, "Funcional", COUNTIF(P37:V37, Versiones!$A$14)&gt;0, "Configuración", COUNTIF(P37:V37, Versiones!$A$15)&gt;0, "Look&amp;Feel", COUNTIF(P37:V37, Versiones!$A$16)&gt;0, "Integración", COUNTIF(P37:V37, Versiones!$A$17)&gt;0, "Contenido/Datos", COUNTIF(P37:V37, Versiones!$A$18)&gt;0, "Eventos_Cosmos", COUNTIF(P37:V37, Versiones!$A$19)&gt;0, "Eventos_iOT", COUNTIF(P37:V37, Versiones!$A$20)&gt;0, "Eventos_Fabric", TRUE, "No encontrado")</f>
        <v>Look&amp;Feel</v>
      </c>
    </row>
    <row r="38" spans="1:34">
      <c r="A38" s="45" t="s">
        <v>35</v>
      </c>
      <c r="B38" s="45" t="s">
        <v>188</v>
      </c>
      <c r="C38" s="45">
        <v>99963</v>
      </c>
      <c r="D38" s="45" t="s">
        <v>189</v>
      </c>
      <c r="E38" s="45">
        <v>87100</v>
      </c>
      <c r="F38" s="45" t="s">
        <v>38</v>
      </c>
      <c r="G38" s="45" t="s">
        <v>39</v>
      </c>
      <c r="H38" s="45" t="s">
        <v>40</v>
      </c>
      <c r="I38" s="45" t="s">
        <v>41</v>
      </c>
      <c r="J38" s="45" t="s">
        <v>42</v>
      </c>
      <c r="K38" s="45"/>
      <c r="L38" s="45"/>
      <c r="M38" s="45"/>
      <c r="N38" s="45"/>
      <c r="O38" s="45"/>
      <c r="P38" s="45" t="s">
        <v>129</v>
      </c>
      <c r="Q38" s="45" t="s">
        <v>55</v>
      </c>
      <c r="R38" s="45" t="s">
        <v>182</v>
      </c>
      <c r="S38" s="45"/>
      <c r="T38" s="45"/>
      <c r="U38" s="45"/>
      <c r="V38" s="45"/>
      <c r="W38" s="45" t="s">
        <v>185</v>
      </c>
      <c r="X38" s="60">
        <v>45937.654166666667</v>
      </c>
      <c r="Y38" s="45" t="s">
        <v>186</v>
      </c>
      <c r="Z38" s="45"/>
      <c r="AA38" s="45"/>
      <c r="AB38" t="str">
        <f>IF(LEFT(Jira__32[[#This Row],[Resumen]],3)="POS","POS",IF(LEFT(Jira__32[[#This Row],[Resumen]],3)="BOT","BOT",""))</f>
        <v>POS</v>
      </c>
      <c r="AC38" s="10" t="s">
        <v>47</v>
      </c>
      <c r="AE38" s="24" t="str" cm="1">
        <f t="array" ref="AE38">_xlfn.IFS(OR(COUNTIF(P38:V38,Versiones!$G$9)&gt;0, COUNTIF(P38:V38,Versiones!$H$8)&gt;0), "Sprint 21",OR(COUNTIF(P38:V38,Versiones!$G$8)&gt;0, COUNTIF(P38:V38,Versiones!$H$8)&gt;0, COUNTIF(P38:V38,Versiones!$I$8)&gt;0), "Sprint 20",OR(COUNTIF(P38:V38,Versiones!$G$7)&gt;0, COUNTIF(P38:V38,Versiones!$H$7)&gt;0, COUNTIF(P38:V38,Versiones!$I$7)&gt;0), "Sprint 19",OR(COUNTIF(P38:V38,Versiones!$G$6)&gt;0, COUNTIF(P38:V38,Versiones!$H$6)&gt;0, COUNTIF(P38:V38,Versiones!$I$6)&gt;0), "Sprint 18",OR(COUNTIF(P38:V38,Versiones!$G$4)&gt;0, COUNTIF(P38:V38,Versiones!$H$4)&gt;0, COUNTIF(P38:V38,Versiones!$G$5)&gt;0, COUNTIF(P38:V38,Versiones!$H$5)&gt;0), "Sprint 17",OR(COUNTIF(P38:V38,Versiones!$G$2)&gt;0, COUNTIF(P38:V38,Versiones!$H$2)&gt;0, COUNTIF(P38:V38,Versiones!$G$3)&gt;0, COUNTIF(P38:V38,Versiones!$H$3)&gt;0), "Sprint 16", OR(COUNTIF(P38:V38,Versiones!$G$2)&gt;0, COUNTIF(P38:V38,Versiones!$H$2)&gt;0, COUNTIF(P38:V38,Versiones!$G$3)&gt;0, COUNTIF(P38:V38,Versiones!$H$3)&gt;0), "Sprint 16",TRUE, "")</f>
        <v>Sprint 20</v>
      </c>
      <c r="AF38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v0.8</v>
      </c>
      <c r="AG38" t="str" cm="1">
        <f t="array" ref="AG3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20</v>
      </c>
      <c r="AH38" s="24" t="str" cm="1">
        <f t="array" ref="AH38">_xlfn.IFS(COUNTIF(P38:V38, Versiones!$A$13)&gt;0, "Funcional", COUNTIF(P38:V38, Versiones!$A$14)&gt;0, "Configuración", COUNTIF(P38:V38, Versiones!$A$15)&gt;0, "Look&amp;Feel", COUNTIF(P38:V38, Versiones!$A$16)&gt;0, "Integración", COUNTIF(P38:V38, Versiones!$A$17)&gt;0, "Contenido/Datos", COUNTIF(P38:V38, Versiones!$A$18)&gt;0, "Eventos_Cosmos", COUNTIF(P38:V38, Versiones!$A$19)&gt;0, "Eventos_iOT", COUNTIF(P38:V38, Versiones!$A$20)&gt;0, "Eventos_Fabric", TRUE, "No encontrado")</f>
        <v>Look&amp;Feel</v>
      </c>
    </row>
    <row r="39" spans="1:34">
      <c r="A39" s="45" t="s">
        <v>35</v>
      </c>
      <c r="B39" s="45" t="s">
        <v>190</v>
      </c>
      <c r="C39" s="45">
        <v>99800</v>
      </c>
      <c r="D39" s="45" t="s">
        <v>191</v>
      </c>
      <c r="E39" s="45">
        <v>87100</v>
      </c>
      <c r="F39" s="45" t="s">
        <v>38</v>
      </c>
      <c r="G39" s="45" t="s">
        <v>39</v>
      </c>
      <c r="H39" s="45" t="s">
        <v>192</v>
      </c>
      <c r="I39" s="45" t="s">
        <v>41</v>
      </c>
      <c r="J39" s="45" t="s">
        <v>42</v>
      </c>
      <c r="K39" s="45"/>
      <c r="L39" s="45"/>
      <c r="M39" s="45"/>
      <c r="N39" s="45"/>
      <c r="O39" s="45"/>
      <c r="P39" s="45" t="s">
        <v>43</v>
      </c>
      <c r="Q39" s="45" t="s">
        <v>182</v>
      </c>
      <c r="R39" s="45"/>
      <c r="S39" s="45"/>
      <c r="T39" s="45"/>
      <c r="U39" s="45"/>
      <c r="V39" s="45"/>
      <c r="W39" s="45" t="s">
        <v>45</v>
      </c>
      <c r="X39" s="60">
        <v>45937.372916666667</v>
      </c>
      <c r="Y39" s="45"/>
      <c r="Z39" s="45"/>
      <c r="AA39" s="45"/>
      <c r="AB39" t="str">
        <f>IF(LEFT(Jira__32[[#This Row],[Resumen]],3)="POS","POS",IF(LEFT(Jira__32[[#This Row],[Resumen]],3)="BOT","BOT",""))</f>
        <v>BOT</v>
      </c>
      <c r="AC39" s="10" t="s">
        <v>173</v>
      </c>
      <c r="AE39" s="24" t="str" cm="1">
        <f t="array" ref="AE39">_xlfn.IFS(OR(COUNTIF(P39:V39,Versiones!$G$9)&gt;0, COUNTIF(P39:V39,Versiones!$H$8)&gt;0), "Sprint 21",OR(COUNTIF(P39:V39,Versiones!$G$8)&gt;0, COUNTIF(P39:V39,Versiones!$H$8)&gt;0, COUNTIF(P39:V39,Versiones!$I$8)&gt;0), "Sprint 20",OR(COUNTIF(P39:V39,Versiones!$G$7)&gt;0, COUNTIF(P39:V39,Versiones!$H$7)&gt;0, COUNTIF(P39:V39,Versiones!$I$7)&gt;0), "Sprint 19",OR(COUNTIF(P39:V39,Versiones!$G$6)&gt;0, COUNTIF(P39:V39,Versiones!$H$6)&gt;0, COUNTIF(P39:V39,Versiones!$I$6)&gt;0), "Sprint 18",OR(COUNTIF(P39:V39,Versiones!$G$4)&gt;0, COUNTIF(P39:V39,Versiones!$H$4)&gt;0, COUNTIF(P39:V39,Versiones!$G$5)&gt;0, COUNTIF(P39:V39,Versiones!$H$5)&gt;0), "Sprint 17",OR(COUNTIF(P39:V39,Versiones!$G$2)&gt;0, COUNTIF(P39:V39,Versiones!$H$2)&gt;0, COUNTIF(P39:V39,Versiones!$G$3)&gt;0, COUNTIF(P39:V39,Versiones!$H$3)&gt;0), "Sprint 16", OR(COUNTIF(P39:V39,Versiones!$G$2)&gt;0, COUNTIF(P39:V39,Versiones!$H$2)&gt;0, COUNTIF(P39:V39,Versiones!$G$3)&gt;0, COUNTIF(P39:V39,Versiones!$H$3)&gt;0), "Sprint 16",TRUE, "")</f>
        <v>Sprint 20</v>
      </c>
      <c r="AF39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39" t="str" cm="1">
        <f t="array" ref="AG39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39" s="24" t="str" cm="1">
        <f t="array" ref="AH39">_xlfn.IFS(COUNTIF(P39:V39, Versiones!$A$13)&gt;0, "Funcional", COUNTIF(P39:V39, Versiones!$A$14)&gt;0, "Configuración", COUNTIF(P39:V39, Versiones!$A$15)&gt;0, "Look&amp;Feel", COUNTIF(P39:V39, Versiones!$A$16)&gt;0, "Integración", COUNTIF(P39:V39, Versiones!$A$17)&gt;0, "Contenido/Datos", COUNTIF(P39:V39, Versiones!$A$18)&gt;0, "Eventos_Cosmos", COUNTIF(P39:V39, Versiones!$A$19)&gt;0, "Eventos_iOT", COUNTIF(P39:V39, Versiones!$A$20)&gt;0, "Eventos_Fabric", TRUE, "No encontrado")</f>
        <v>Funcional</v>
      </c>
    </row>
    <row r="40" spans="1:34">
      <c r="A40" s="45" t="s">
        <v>35</v>
      </c>
      <c r="B40" s="45" t="s">
        <v>193</v>
      </c>
      <c r="C40" s="45">
        <v>99744</v>
      </c>
      <c r="D40" s="45" t="s">
        <v>194</v>
      </c>
      <c r="E40" s="45">
        <v>87100</v>
      </c>
      <c r="F40" s="45" t="s">
        <v>38</v>
      </c>
      <c r="G40" s="45" t="s">
        <v>39</v>
      </c>
      <c r="H40" s="45" t="s">
        <v>40</v>
      </c>
      <c r="I40" s="45" t="s">
        <v>80</v>
      </c>
      <c r="J40" s="45" t="s">
        <v>42</v>
      </c>
      <c r="K40" s="45"/>
      <c r="L40" s="45"/>
      <c r="M40" s="45"/>
      <c r="N40" s="45"/>
      <c r="O40" s="45"/>
      <c r="P40" s="45" t="s">
        <v>43</v>
      </c>
      <c r="Q40" s="45" t="s">
        <v>182</v>
      </c>
      <c r="R40" s="45"/>
      <c r="S40" s="45"/>
      <c r="T40" s="45"/>
      <c r="U40" s="45"/>
      <c r="V40" s="45"/>
      <c r="W40" s="45" t="s">
        <v>45</v>
      </c>
      <c r="X40" s="60">
        <v>45936.698611111111</v>
      </c>
      <c r="Y40" s="45"/>
      <c r="Z40" s="45"/>
      <c r="AA40" s="45"/>
      <c r="AB40" t="str">
        <f>IF(LEFT(Jira__32[[#This Row],[Resumen]],3)="POS","POS",IF(LEFT(Jira__32[[#This Row],[Resumen]],3)="BOT","BOT",""))</f>
        <v>BOT</v>
      </c>
      <c r="AC40" s="13" t="s">
        <v>80</v>
      </c>
      <c r="AD40" s="24" t="s">
        <v>187</v>
      </c>
      <c r="AE40" s="24" t="str" cm="1">
        <f t="array" ref="AE40">_xlfn.IFS(OR(COUNTIF(P40:V40,Versiones!$G$9)&gt;0, COUNTIF(P40:V40,Versiones!$H$8)&gt;0), "Sprint 21",OR(COUNTIF(P40:V40,Versiones!$G$8)&gt;0, COUNTIF(P40:V40,Versiones!$H$8)&gt;0, COUNTIF(P40:V40,Versiones!$I$8)&gt;0), "Sprint 20",OR(COUNTIF(P40:V40,Versiones!$G$7)&gt;0, COUNTIF(P40:V40,Versiones!$H$7)&gt;0, COUNTIF(P40:V40,Versiones!$I$7)&gt;0), "Sprint 19",OR(COUNTIF(P40:V40,Versiones!$G$6)&gt;0, COUNTIF(P40:V40,Versiones!$H$6)&gt;0, COUNTIF(P40:V40,Versiones!$I$6)&gt;0), "Sprint 18",OR(COUNTIF(P40:V40,Versiones!$G$4)&gt;0, COUNTIF(P40:V40,Versiones!$H$4)&gt;0, COUNTIF(P40:V40,Versiones!$G$5)&gt;0, COUNTIF(P40:V40,Versiones!$H$5)&gt;0), "Sprint 17",OR(COUNTIF(P40:V40,Versiones!$G$2)&gt;0, COUNTIF(P40:V40,Versiones!$H$2)&gt;0, COUNTIF(P40:V40,Versiones!$G$3)&gt;0, COUNTIF(P40:V40,Versiones!$H$3)&gt;0), "Sprint 16", OR(COUNTIF(P40:V40,Versiones!$G$2)&gt;0, COUNTIF(P40:V40,Versiones!$H$2)&gt;0, COUNTIF(P40:V40,Versiones!$G$3)&gt;0, COUNTIF(P40:V40,Versiones!$H$3)&gt;0), "Sprint 16",TRUE, "")</f>
        <v>Sprint 20</v>
      </c>
      <c r="AF40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40" t="str" cm="1">
        <f t="array" ref="AG40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40" s="24" t="str" cm="1">
        <f t="array" ref="AH40">_xlfn.IFS(COUNTIF(P40:V40, Versiones!$A$13)&gt;0, "Funcional", COUNTIF(P40:V40, Versiones!$A$14)&gt;0, "Configuración", COUNTIF(P40:V40, Versiones!$A$15)&gt;0, "Look&amp;Feel", COUNTIF(P40:V40, Versiones!$A$16)&gt;0, "Integración", COUNTIF(P40:V40, Versiones!$A$17)&gt;0, "Contenido/Datos", COUNTIF(P40:V40, Versiones!$A$18)&gt;0, "Eventos_Cosmos", COUNTIF(P40:V40, Versiones!$A$19)&gt;0, "Eventos_iOT", COUNTIF(P40:V40, Versiones!$A$20)&gt;0, "Eventos_Fabric", TRUE, "No encontrado")</f>
        <v>Funcional</v>
      </c>
    </row>
    <row r="41" spans="1:34">
      <c r="A41" s="45" t="s">
        <v>35</v>
      </c>
      <c r="B41" s="45" t="s">
        <v>195</v>
      </c>
      <c r="C41" s="45">
        <v>99727</v>
      </c>
      <c r="D41" s="45" t="s">
        <v>196</v>
      </c>
      <c r="E41" s="45">
        <v>87100</v>
      </c>
      <c r="F41" s="45" t="s">
        <v>38</v>
      </c>
      <c r="G41" s="45" t="s">
        <v>39</v>
      </c>
      <c r="H41" s="45" t="s">
        <v>54</v>
      </c>
      <c r="I41" s="45" t="s">
        <v>41</v>
      </c>
      <c r="J41" s="45" t="s">
        <v>97</v>
      </c>
      <c r="K41" s="45"/>
      <c r="L41" s="45"/>
      <c r="M41" s="45"/>
      <c r="N41" s="45"/>
      <c r="O41" s="45"/>
      <c r="P41" s="45" t="s">
        <v>55</v>
      </c>
      <c r="Q41" s="45" t="s">
        <v>182</v>
      </c>
      <c r="R41" s="45"/>
      <c r="S41" s="45"/>
      <c r="T41" s="45"/>
      <c r="U41" s="45"/>
      <c r="V41" s="45"/>
      <c r="W41" s="45" t="s">
        <v>45</v>
      </c>
      <c r="X41" s="60">
        <v>45936.668749999997</v>
      </c>
      <c r="Y41" s="45"/>
      <c r="Z41" s="45"/>
      <c r="AA41" s="45"/>
      <c r="AB41" t="str">
        <f>IF(LEFT(Jira__32[[#This Row],[Resumen]],3)="POS","POS",IF(LEFT(Jira__32[[#This Row],[Resumen]],3)="BOT","BOT",""))</f>
        <v>BOT</v>
      </c>
      <c r="AC41" s="10" t="s">
        <v>197</v>
      </c>
      <c r="AE41" s="24" t="str" cm="1">
        <f t="array" ref="AE41">_xlfn.IFS(OR(COUNTIF(P41:V41,Versiones!$G$9)&gt;0, COUNTIF(P41:V41,Versiones!$H$8)&gt;0), "Sprint 21",OR(COUNTIF(P41:V41,Versiones!$G$8)&gt;0, COUNTIF(P41:V41,Versiones!$H$8)&gt;0, COUNTIF(P41:V41,Versiones!$I$8)&gt;0), "Sprint 20",OR(COUNTIF(P41:V41,Versiones!$G$7)&gt;0, COUNTIF(P41:V41,Versiones!$H$7)&gt;0, COUNTIF(P41:V41,Versiones!$I$7)&gt;0), "Sprint 19",OR(COUNTIF(P41:V41,Versiones!$G$6)&gt;0, COUNTIF(P41:V41,Versiones!$H$6)&gt;0, COUNTIF(P41:V41,Versiones!$I$6)&gt;0), "Sprint 18",OR(COUNTIF(P41:V41,Versiones!$G$4)&gt;0, COUNTIF(P41:V41,Versiones!$H$4)&gt;0, COUNTIF(P41:V41,Versiones!$G$5)&gt;0, COUNTIF(P41:V41,Versiones!$H$5)&gt;0), "Sprint 17",OR(COUNTIF(P41:V41,Versiones!$G$2)&gt;0, COUNTIF(P41:V41,Versiones!$H$2)&gt;0, COUNTIF(P41:V41,Versiones!$G$3)&gt;0, COUNTIF(P41:V41,Versiones!$H$3)&gt;0), "Sprint 16", OR(COUNTIF(P41:V41,Versiones!$G$2)&gt;0, COUNTIF(P41:V41,Versiones!$H$2)&gt;0, COUNTIF(P41:V41,Versiones!$G$3)&gt;0, COUNTIF(P41:V41,Versiones!$H$3)&gt;0), "Sprint 16",TRUE, "")</f>
        <v>Sprint 20</v>
      </c>
      <c r="AF41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41" t="str" cm="1">
        <f t="array" ref="AG41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41" s="24" t="str" cm="1">
        <f t="array" ref="AH41">_xlfn.IFS(COUNTIF(P41:V41, Versiones!$A$13)&gt;0, "Funcional", COUNTIF(P41:V41, Versiones!$A$14)&gt;0, "Configuración", COUNTIF(P41:V41, Versiones!$A$15)&gt;0, "Look&amp;Feel", COUNTIF(P41:V41, Versiones!$A$16)&gt;0, "Integración", COUNTIF(P41:V41, Versiones!$A$17)&gt;0, "Contenido/Datos", COUNTIF(P41:V41, Versiones!$A$18)&gt;0, "Eventos_Cosmos", COUNTIF(P41:V41, Versiones!$A$19)&gt;0, "Eventos_iOT", COUNTIF(P41:V41, Versiones!$A$20)&gt;0, "Eventos_Fabric", TRUE, "No encontrado")</f>
        <v>Look&amp;Feel</v>
      </c>
    </row>
    <row r="42" spans="1:34">
      <c r="A42" s="45" t="s">
        <v>35</v>
      </c>
      <c r="B42" s="45" t="s">
        <v>198</v>
      </c>
      <c r="C42" s="45">
        <v>99706</v>
      </c>
      <c r="D42" s="45" t="s">
        <v>199</v>
      </c>
      <c r="E42" s="45">
        <v>87100</v>
      </c>
      <c r="F42" s="45" t="s">
        <v>38</v>
      </c>
      <c r="G42" s="45" t="s">
        <v>39</v>
      </c>
      <c r="H42" s="45" t="s">
        <v>40</v>
      </c>
      <c r="I42" s="45" t="s">
        <v>80</v>
      </c>
      <c r="J42" s="45" t="s">
        <v>200</v>
      </c>
      <c r="K42" s="45" t="s">
        <v>42</v>
      </c>
      <c r="L42" s="45"/>
      <c r="M42" s="45"/>
      <c r="N42" s="45"/>
      <c r="O42" s="45"/>
      <c r="P42" s="45" t="s">
        <v>43</v>
      </c>
      <c r="Q42" s="45" t="s">
        <v>182</v>
      </c>
      <c r="R42" s="45"/>
      <c r="S42" s="45"/>
      <c r="T42" s="45"/>
      <c r="U42" s="45"/>
      <c r="V42" s="45"/>
      <c r="W42" s="45" t="s">
        <v>185</v>
      </c>
      <c r="X42" s="60">
        <v>45936.61041666667</v>
      </c>
      <c r="Y42" s="45"/>
      <c r="Z42" s="45"/>
      <c r="AA42" s="45"/>
      <c r="AB42" t="str">
        <f>IF(LEFT(Jira__32[[#This Row],[Resumen]],3)="POS","POS",IF(LEFT(Jira__32[[#This Row],[Resumen]],3)="BOT","BOT",""))</f>
        <v>BOT</v>
      </c>
      <c r="AC42" s="10" t="s">
        <v>59</v>
      </c>
      <c r="AE42" s="24" t="str" cm="1">
        <f t="array" ref="AE42">_xlfn.IFS(OR(COUNTIF(P42:V42,Versiones!$G$9)&gt;0, COUNTIF(P42:V42,Versiones!$H$8)&gt;0), "Sprint 21",OR(COUNTIF(P42:V42,Versiones!$G$8)&gt;0, COUNTIF(P42:V42,Versiones!$H$8)&gt;0, COUNTIF(P42:V42,Versiones!$I$8)&gt;0), "Sprint 20",OR(COUNTIF(P42:V42,Versiones!$G$7)&gt;0, COUNTIF(P42:V42,Versiones!$H$7)&gt;0, COUNTIF(P42:V42,Versiones!$I$7)&gt;0), "Sprint 19",OR(COUNTIF(P42:V42,Versiones!$G$6)&gt;0, COUNTIF(P42:V42,Versiones!$H$6)&gt;0, COUNTIF(P42:V42,Versiones!$I$6)&gt;0), "Sprint 18",OR(COUNTIF(P42:V42,Versiones!$G$4)&gt;0, COUNTIF(P42:V42,Versiones!$H$4)&gt;0, COUNTIF(P42:V42,Versiones!$G$5)&gt;0, COUNTIF(P42:V42,Versiones!$H$5)&gt;0), "Sprint 17",OR(COUNTIF(P42:V42,Versiones!$G$2)&gt;0, COUNTIF(P42:V42,Versiones!$H$2)&gt;0, COUNTIF(P42:V42,Versiones!$G$3)&gt;0, COUNTIF(P42:V42,Versiones!$H$3)&gt;0), "Sprint 16", OR(COUNTIF(P42:V42,Versiones!$G$2)&gt;0, COUNTIF(P42:V42,Versiones!$H$2)&gt;0, COUNTIF(P42:V42,Versiones!$G$3)&gt;0, COUNTIF(P42:V42,Versiones!$H$3)&gt;0), "Sprint 16",TRUE, "")</f>
        <v>Sprint 20</v>
      </c>
      <c r="AF42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42" t="str" cm="1">
        <f t="array" ref="AG42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42" s="24" t="str" cm="1">
        <f t="array" ref="AH42">_xlfn.IFS(COUNTIF(P42:V42, Versiones!$A$13)&gt;0, "Funcional", COUNTIF(P42:V42, Versiones!$A$14)&gt;0, "Configuración", COUNTIF(P42:V42, Versiones!$A$15)&gt;0, "Look&amp;Feel", COUNTIF(P42:V42, Versiones!$A$16)&gt;0, "Integración", COUNTIF(P42:V42, Versiones!$A$17)&gt;0, "Contenido/Datos", COUNTIF(P42:V42, Versiones!$A$18)&gt;0, "Eventos_Cosmos", COUNTIF(P42:V42, Versiones!$A$19)&gt;0, "Eventos_iOT", COUNTIF(P42:V42, Versiones!$A$20)&gt;0, "Eventos_Fabric", TRUE, "No encontrado")</f>
        <v>Funcional</v>
      </c>
    </row>
    <row r="43" spans="1:34">
      <c r="A43" s="45" t="s">
        <v>35</v>
      </c>
      <c r="B43" s="45" t="s">
        <v>201</v>
      </c>
      <c r="C43" s="45">
        <v>99292</v>
      </c>
      <c r="D43" s="45" t="s">
        <v>202</v>
      </c>
      <c r="E43" s="45">
        <v>87100</v>
      </c>
      <c r="F43" s="45" t="s">
        <v>38</v>
      </c>
      <c r="G43" s="45" t="s">
        <v>39</v>
      </c>
      <c r="H43" s="45" t="s">
        <v>40</v>
      </c>
      <c r="I43" s="45" t="s">
        <v>41</v>
      </c>
      <c r="J43" s="45" t="s">
        <v>42</v>
      </c>
      <c r="K43" s="45"/>
      <c r="L43" s="45"/>
      <c r="M43" s="45"/>
      <c r="N43" s="45"/>
      <c r="O43" s="45"/>
      <c r="P43" s="45" t="s">
        <v>43</v>
      </c>
      <c r="Q43" s="45" t="s">
        <v>182</v>
      </c>
      <c r="R43" s="45"/>
      <c r="S43" s="45"/>
      <c r="T43" s="45"/>
      <c r="U43" s="45"/>
      <c r="V43" s="45"/>
      <c r="W43" s="45" t="s">
        <v>45</v>
      </c>
      <c r="X43" s="60">
        <v>45933.638888888891</v>
      </c>
      <c r="Y43" s="45"/>
      <c r="Z43" s="45"/>
      <c r="AA43" s="45"/>
      <c r="AB43" t="str">
        <f>IF(LEFT(Jira__32[[#This Row],[Resumen]],3)="POS","POS",IF(LEFT(Jira__32[[#This Row],[Resumen]],3)="BOT","BOT",""))</f>
        <v>POS</v>
      </c>
      <c r="AC43" s="10" t="s">
        <v>47</v>
      </c>
      <c r="AE43" s="24" t="str" cm="1">
        <f t="array" ref="AE43">_xlfn.IFS(OR(COUNTIF(P43:V43,Versiones!$G$9)&gt;0, COUNTIF(P43:V43,Versiones!$H$8)&gt;0), "Sprint 21",OR(COUNTIF(P43:V43,Versiones!$G$8)&gt;0, COUNTIF(P43:V43,Versiones!$H$8)&gt;0, COUNTIF(P43:V43,Versiones!$I$8)&gt;0), "Sprint 20",OR(COUNTIF(P43:V43,Versiones!$G$7)&gt;0, COUNTIF(P43:V43,Versiones!$H$7)&gt;0, COUNTIF(P43:V43,Versiones!$I$7)&gt;0), "Sprint 19",OR(COUNTIF(P43:V43,Versiones!$G$6)&gt;0, COUNTIF(P43:V43,Versiones!$H$6)&gt;0, COUNTIF(P43:V43,Versiones!$I$6)&gt;0), "Sprint 18",OR(COUNTIF(P43:V43,Versiones!$G$4)&gt;0, COUNTIF(P43:V43,Versiones!$H$4)&gt;0, COUNTIF(P43:V43,Versiones!$G$5)&gt;0, COUNTIF(P43:V43,Versiones!$H$5)&gt;0), "Sprint 17",OR(COUNTIF(P43:V43,Versiones!$G$2)&gt;0, COUNTIF(P43:V43,Versiones!$H$2)&gt;0, COUNTIF(P43:V43,Versiones!$G$3)&gt;0, COUNTIF(P43:V43,Versiones!$H$3)&gt;0), "Sprint 16", OR(COUNTIF(P43:V43,Versiones!$G$2)&gt;0, COUNTIF(P43:V43,Versiones!$H$2)&gt;0, COUNTIF(P43:V43,Versiones!$G$3)&gt;0, COUNTIF(P43:V43,Versiones!$H$3)&gt;0), "Sprint 16",TRUE, "")</f>
        <v>Sprint 20</v>
      </c>
      <c r="AF43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43" t="str" cm="1">
        <f t="array" ref="AG4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43" s="24" t="str" cm="1">
        <f t="array" ref="AH43">_xlfn.IFS(COUNTIF(P43:V43, Versiones!$A$13)&gt;0, "Funcional", COUNTIF(P43:V43, Versiones!$A$14)&gt;0, "Configuración", COUNTIF(P43:V43, Versiones!$A$15)&gt;0, "Look&amp;Feel", COUNTIF(P43:V43, Versiones!$A$16)&gt;0, "Integración", COUNTIF(P43:V43, Versiones!$A$17)&gt;0, "Contenido/Datos", COUNTIF(P43:V43, Versiones!$A$18)&gt;0, "Eventos_Cosmos", COUNTIF(P43:V43, Versiones!$A$19)&gt;0, "Eventos_iOT", COUNTIF(P43:V43, Versiones!$A$20)&gt;0, "Eventos_Fabric", TRUE, "No encontrado")</f>
        <v>Funcional</v>
      </c>
    </row>
    <row r="44" spans="1:34">
      <c r="A44" s="45" t="s">
        <v>35</v>
      </c>
      <c r="B44" s="45" t="s">
        <v>203</v>
      </c>
      <c r="C44" s="45">
        <v>99290</v>
      </c>
      <c r="D44" s="45" t="s">
        <v>204</v>
      </c>
      <c r="E44" s="45">
        <v>87100</v>
      </c>
      <c r="F44" s="45" t="s">
        <v>38</v>
      </c>
      <c r="G44" s="45" t="s">
        <v>39</v>
      </c>
      <c r="H44" s="45" t="s">
        <v>54</v>
      </c>
      <c r="I44" s="45" t="s">
        <v>41</v>
      </c>
      <c r="J44" s="45" t="s">
        <v>97</v>
      </c>
      <c r="K44" s="45"/>
      <c r="L44" s="45"/>
      <c r="M44" s="45"/>
      <c r="N44" s="45"/>
      <c r="O44" s="45"/>
      <c r="P44" s="45" t="s">
        <v>43</v>
      </c>
      <c r="Q44" s="45" t="s">
        <v>182</v>
      </c>
      <c r="R44" s="45"/>
      <c r="S44" s="45"/>
      <c r="T44" s="45"/>
      <c r="U44" s="45"/>
      <c r="V44" s="45"/>
      <c r="W44" s="45" t="s">
        <v>45</v>
      </c>
      <c r="X44" s="60">
        <v>45933.629861111112</v>
      </c>
      <c r="Y44" s="45"/>
      <c r="Z44" s="45"/>
      <c r="AA44" s="45"/>
      <c r="AB44" t="str">
        <f>IF(LEFT(Jira__32[[#This Row],[Resumen]],3)="POS","POS",IF(LEFT(Jira__32[[#This Row],[Resumen]],3)="BOT","BOT",""))</f>
        <v>POS</v>
      </c>
      <c r="AC44" s="10" t="s">
        <v>187</v>
      </c>
      <c r="AE44" s="24" t="str" cm="1">
        <f t="array" ref="AE44">_xlfn.IFS(OR(COUNTIF(P44:V44,Versiones!$G$9)&gt;0, COUNTIF(P44:V44,Versiones!$H$8)&gt;0), "Sprint 21",OR(COUNTIF(P44:V44,Versiones!$G$8)&gt;0, COUNTIF(P44:V44,Versiones!$H$8)&gt;0, COUNTIF(P44:V44,Versiones!$I$8)&gt;0), "Sprint 20",OR(COUNTIF(P44:V44,Versiones!$G$7)&gt;0, COUNTIF(P44:V44,Versiones!$H$7)&gt;0, COUNTIF(P44:V44,Versiones!$I$7)&gt;0), "Sprint 19",OR(COUNTIF(P44:V44,Versiones!$G$6)&gt;0, COUNTIF(P44:V44,Versiones!$H$6)&gt;0, COUNTIF(P44:V44,Versiones!$I$6)&gt;0), "Sprint 18",OR(COUNTIF(P44:V44,Versiones!$G$4)&gt;0, COUNTIF(P44:V44,Versiones!$H$4)&gt;0, COUNTIF(P44:V44,Versiones!$G$5)&gt;0, COUNTIF(P44:V44,Versiones!$H$5)&gt;0), "Sprint 17",OR(COUNTIF(P44:V44,Versiones!$G$2)&gt;0, COUNTIF(P44:V44,Versiones!$H$2)&gt;0, COUNTIF(P44:V44,Versiones!$G$3)&gt;0, COUNTIF(P44:V44,Versiones!$H$3)&gt;0), "Sprint 16", OR(COUNTIF(P44:V44,Versiones!$G$2)&gt;0, COUNTIF(P44:V44,Versiones!$H$2)&gt;0, COUNTIF(P44:V44,Versiones!$G$3)&gt;0, COUNTIF(P44:V44,Versiones!$H$3)&gt;0), "Sprint 16",TRUE, "")</f>
        <v>Sprint 20</v>
      </c>
      <c r="AF44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44" t="str" cm="1">
        <f t="array" ref="AG4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44" s="24" t="str" cm="1">
        <f t="array" ref="AH44">_xlfn.IFS(COUNTIF(P44:V44, Versiones!$A$13)&gt;0, "Funcional", COUNTIF(P44:V44, Versiones!$A$14)&gt;0, "Configuración", COUNTIF(P44:V44, Versiones!$A$15)&gt;0, "Look&amp;Feel", COUNTIF(P44:V44, Versiones!$A$16)&gt;0, "Integración", COUNTIF(P44:V44, Versiones!$A$17)&gt;0, "Contenido/Datos", COUNTIF(P44:V44, Versiones!$A$18)&gt;0, "Eventos_Cosmos", COUNTIF(P44:V44, Versiones!$A$19)&gt;0, "Eventos_iOT", COUNTIF(P44:V44, Versiones!$A$20)&gt;0, "Eventos_Fabric", TRUE, "No encontrado")</f>
        <v>Funcional</v>
      </c>
    </row>
    <row r="45" spans="1:34">
      <c r="A45" s="45" t="s">
        <v>35</v>
      </c>
      <c r="B45" s="45" t="s">
        <v>205</v>
      </c>
      <c r="C45" s="45">
        <v>99283</v>
      </c>
      <c r="D45" s="45" t="s">
        <v>206</v>
      </c>
      <c r="E45" s="45">
        <v>87100</v>
      </c>
      <c r="F45" s="45" t="s">
        <v>38</v>
      </c>
      <c r="G45" s="45" t="s">
        <v>39</v>
      </c>
      <c r="H45" s="45" t="s">
        <v>54</v>
      </c>
      <c r="I45" s="45" t="s">
        <v>41</v>
      </c>
      <c r="J45" s="45" t="s">
        <v>97</v>
      </c>
      <c r="K45" s="45"/>
      <c r="L45" s="45"/>
      <c r="M45" s="45"/>
      <c r="N45" s="45"/>
      <c r="O45" s="45"/>
      <c r="P45" s="45" t="s">
        <v>55</v>
      </c>
      <c r="Q45" s="45" t="s">
        <v>182</v>
      </c>
      <c r="R45" s="45"/>
      <c r="S45" s="45"/>
      <c r="T45" s="45"/>
      <c r="U45" s="45"/>
      <c r="V45" s="45"/>
      <c r="W45" s="45" t="s">
        <v>45</v>
      </c>
      <c r="X45" s="60">
        <v>45933.606249999997</v>
      </c>
      <c r="Y45" s="45"/>
      <c r="Z45" s="45"/>
      <c r="AA45" s="45"/>
      <c r="AB45" t="str">
        <f>IF(LEFT(Jira__32[[#This Row],[Resumen]],3)="POS","POS",IF(LEFT(Jira__32[[#This Row],[Resumen]],3)="BOT","BOT",""))</f>
        <v>POS</v>
      </c>
      <c r="AC45" s="10" t="s">
        <v>187</v>
      </c>
      <c r="AE45" s="24" t="str" cm="1">
        <f t="array" ref="AE45">_xlfn.IFS(OR(COUNTIF(P45:V45,Versiones!$G$9)&gt;0, COUNTIF(P45:V45,Versiones!$H$8)&gt;0), "Sprint 21",OR(COUNTIF(P45:V45,Versiones!$G$8)&gt;0, COUNTIF(P45:V45,Versiones!$H$8)&gt;0, COUNTIF(P45:V45,Versiones!$I$8)&gt;0), "Sprint 20",OR(COUNTIF(P45:V45,Versiones!$G$7)&gt;0, COUNTIF(P45:V45,Versiones!$H$7)&gt;0, COUNTIF(P45:V45,Versiones!$I$7)&gt;0), "Sprint 19",OR(COUNTIF(P45:V45,Versiones!$G$6)&gt;0, COUNTIF(P45:V45,Versiones!$H$6)&gt;0, COUNTIF(P45:V45,Versiones!$I$6)&gt;0), "Sprint 18",OR(COUNTIF(P45:V45,Versiones!$G$4)&gt;0, COUNTIF(P45:V45,Versiones!$H$4)&gt;0, COUNTIF(P45:V45,Versiones!$G$5)&gt;0, COUNTIF(P45:V45,Versiones!$H$5)&gt;0), "Sprint 17",OR(COUNTIF(P45:V45,Versiones!$G$2)&gt;0, COUNTIF(P45:V45,Versiones!$H$2)&gt;0, COUNTIF(P45:V45,Versiones!$G$3)&gt;0, COUNTIF(P45:V45,Versiones!$H$3)&gt;0), "Sprint 16", OR(COUNTIF(P45:V45,Versiones!$G$2)&gt;0, COUNTIF(P45:V45,Versiones!$H$2)&gt;0, COUNTIF(P45:V45,Versiones!$G$3)&gt;0, COUNTIF(P45:V45,Versiones!$H$3)&gt;0), "Sprint 16",TRUE, "")</f>
        <v>Sprint 20</v>
      </c>
      <c r="AF45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45" t="str" cm="1">
        <f t="array" ref="AG4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45" s="24" t="str" cm="1">
        <f t="array" ref="AH45">_xlfn.IFS(COUNTIF(P45:V45, Versiones!$A$13)&gt;0, "Funcional", COUNTIF(P45:V45, Versiones!$A$14)&gt;0, "Configuración", COUNTIF(P45:V45, Versiones!$A$15)&gt;0, "Look&amp;Feel", COUNTIF(P45:V45, Versiones!$A$16)&gt;0, "Integración", COUNTIF(P45:V45, Versiones!$A$17)&gt;0, "Contenido/Datos", COUNTIF(P45:V45, Versiones!$A$18)&gt;0, "Eventos_Cosmos", COUNTIF(P45:V45, Versiones!$A$19)&gt;0, "Eventos_iOT", COUNTIF(P45:V45, Versiones!$A$20)&gt;0, "Eventos_Fabric", TRUE, "No encontrado")</f>
        <v>Look&amp;Feel</v>
      </c>
    </row>
    <row r="46" spans="1:34">
      <c r="A46" s="45" t="s">
        <v>35</v>
      </c>
      <c r="B46" s="45" t="s">
        <v>207</v>
      </c>
      <c r="C46" s="45">
        <v>99159</v>
      </c>
      <c r="D46" s="45" t="s">
        <v>208</v>
      </c>
      <c r="E46" s="45" t="s">
        <v>209</v>
      </c>
      <c r="F46" s="45" t="s">
        <v>209</v>
      </c>
      <c r="G46" s="45" t="s">
        <v>209</v>
      </c>
      <c r="H46" s="45" t="s">
        <v>54</v>
      </c>
      <c r="I46" s="45" t="s">
        <v>41</v>
      </c>
      <c r="J46" s="45" t="s">
        <v>97</v>
      </c>
      <c r="K46" s="45"/>
      <c r="L46" s="45"/>
      <c r="M46" s="45"/>
      <c r="N46" s="45"/>
      <c r="O46" s="45"/>
      <c r="P46" s="45" t="s">
        <v>55</v>
      </c>
      <c r="Q46" s="45" t="s">
        <v>182</v>
      </c>
      <c r="R46" s="45"/>
      <c r="S46" s="45"/>
      <c r="T46" s="45"/>
      <c r="U46" s="45"/>
      <c r="V46" s="45"/>
      <c r="W46" s="45" t="s">
        <v>45</v>
      </c>
      <c r="X46" s="60">
        <v>45933.372916666667</v>
      </c>
      <c r="Y46" s="45"/>
      <c r="Z46" s="45"/>
      <c r="AA46" s="45"/>
      <c r="AB46" t="str">
        <f>IF(LEFT(Jira__32[[#This Row],[Resumen]],3)="POS","POS",IF(LEFT(Jira__32[[#This Row],[Resumen]],3)="BOT","BOT",""))</f>
        <v>BOT</v>
      </c>
      <c r="AC46" s="10" t="s">
        <v>187</v>
      </c>
      <c r="AE46" s="24" t="str" cm="1">
        <f t="array" ref="AE46">_xlfn.IFS(OR(COUNTIF(P46:V46,Versiones!$G$9)&gt;0, COUNTIF(P46:V46,Versiones!$H$8)&gt;0), "Sprint 21",OR(COUNTIF(P46:V46,Versiones!$G$8)&gt;0, COUNTIF(P46:V46,Versiones!$H$8)&gt;0, COUNTIF(P46:V46,Versiones!$I$8)&gt;0), "Sprint 20",OR(COUNTIF(P46:V46,Versiones!$G$7)&gt;0, COUNTIF(P46:V46,Versiones!$H$7)&gt;0, COUNTIF(P46:V46,Versiones!$I$7)&gt;0), "Sprint 19",OR(COUNTIF(P46:V46,Versiones!$G$6)&gt;0, COUNTIF(P46:V46,Versiones!$H$6)&gt;0, COUNTIF(P46:V46,Versiones!$I$6)&gt;0), "Sprint 18",OR(COUNTIF(P46:V46,Versiones!$G$4)&gt;0, COUNTIF(P46:V46,Versiones!$H$4)&gt;0, COUNTIF(P46:V46,Versiones!$G$5)&gt;0, COUNTIF(P46:V46,Versiones!$H$5)&gt;0), "Sprint 17",OR(COUNTIF(P46:V46,Versiones!$G$2)&gt;0, COUNTIF(P46:V46,Versiones!$H$2)&gt;0, COUNTIF(P46:V46,Versiones!$G$3)&gt;0, COUNTIF(P46:V46,Versiones!$H$3)&gt;0), "Sprint 16", OR(COUNTIF(P46:V46,Versiones!$G$2)&gt;0, COUNTIF(P46:V46,Versiones!$H$2)&gt;0, COUNTIF(P46:V46,Versiones!$G$3)&gt;0, COUNTIF(P46:V46,Versiones!$H$3)&gt;0), "Sprint 16",TRUE, "")</f>
        <v>Sprint 20</v>
      </c>
      <c r="AF46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46" t="str" cm="1">
        <f t="array" ref="AG4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46" s="24" t="str" cm="1">
        <f t="array" ref="AH46">_xlfn.IFS(COUNTIF(P46:V46, Versiones!$A$13)&gt;0, "Funcional", COUNTIF(P46:V46, Versiones!$A$14)&gt;0, "Configuración", COUNTIF(P46:V46, Versiones!$A$15)&gt;0, "Look&amp;Feel", COUNTIF(P46:V46, Versiones!$A$16)&gt;0, "Integración", COUNTIF(P46:V46, Versiones!$A$17)&gt;0, "Contenido/Datos", COUNTIF(P46:V46, Versiones!$A$18)&gt;0, "Eventos_Cosmos", COUNTIF(P46:V46, Versiones!$A$19)&gt;0, "Eventos_iOT", COUNTIF(P46:V46, Versiones!$A$20)&gt;0, "Eventos_Fabric", TRUE, "No encontrado")</f>
        <v>Look&amp;Feel</v>
      </c>
    </row>
    <row r="47" spans="1:34">
      <c r="A47" s="45" t="s">
        <v>35</v>
      </c>
      <c r="B47" s="45" t="s">
        <v>210</v>
      </c>
      <c r="C47" s="45">
        <v>99086</v>
      </c>
      <c r="D47" s="45" t="s">
        <v>211</v>
      </c>
      <c r="E47" s="45" t="s">
        <v>209</v>
      </c>
      <c r="F47" s="45" t="s">
        <v>209</v>
      </c>
      <c r="G47" s="45" t="s">
        <v>209</v>
      </c>
      <c r="H47" s="45" t="s">
        <v>40</v>
      </c>
      <c r="I47" s="45" t="s">
        <v>86</v>
      </c>
      <c r="J47" s="45" t="s">
        <v>42</v>
      </c>
      <c r="K47" s="45"/>
      <c r="L47" s="45"/>
      <c r="M47" s="45"/>
      <c r="N47" s="45"/>
      <c r="O47" s="45"/>
      <c r="P47" s="45" t="s">
        <v>43</v>
      </c>
      <c r="Q47" s="45" t="s">
        <v>182</v>
      </c>
      <c r="R47" s="45"/>
      <c r="S47" s="45"/>
      <c r="T47" s="45"/>
      <c r="U47" s="45"/>
      <c r="V47" s="45"/>
      <c r="W47" s="45" t="s">
        <v>45</v>
      </c>
      <c r="X47" s="60">
        <v>45932.694444444445</v>
      </c>
      <c r="Y47" s="45"/>
      <c r="Z47" s="45"/>
      <c r="AA47" s="45"/>
      <c r="AB47" t="str">
        <f>IF(LEFT(Jira__32[[#This Row],[Resumen]],3)="POS","POS",IF(LEFT(Jira__32[[#This Row],[Resumen]],3)="BOT","BOT",""))</f>
        <v>POS</v>
      </c>
      <c r="AC47" s="14" t="s">
        <v>187</v>
      </c>
      <c r="AE47" s="24" t="str" cm="1">
        <f t="array" ref="AE47">_xlfn.IFS(OR(COUNTIF(P47:V47,Versiones!$G$9)&gt;0, COUNTIF(P47:V47,Versiones!$H$8)&gt;0), "Sprint 21",OR(COUNTIF(P47:V47,Versiones!$G$8)&gt;0, COUNTIF(P47:V47,Versiones!$H$8)&gt;0, COUNTIF(P47:V47,Versiones!$I$8)&gt;0), "Sprint 20",OR(COUNTIF(P47:V47,Versiones!$G$7)&gt;0, COUNTIF(P47:V47,Versiones!$H$7)&gt;0, COUNTIF(P47:V47,Versiones!$I$7)&gt;0), "Sprint 19",OR(COUNTIF(P47:V47,Versiones!$G$6)&gt;0, COUNTIF(P47:V47,Versiones!$H$6)&gt;0, COUNTIF(P47:V47,Versiones!$I$6)&gt;0), "Sprint 18",OR(COUNTIF(P47:V47,Versiones!$G$4)&gt;0, COUNTIF(P47:V47,Versiones!$H$4)&gt;0, COUNTIF(P47:V47,Versiones!$G$5)&gt;0, COUNTIF(P47:V47,Versiones!$H$5)&gt;0), "Sprint 17",OR(COUNTIF(P47:V47,Versiones!$G$2)&gt;0, COUNTIF(P47:V47,Versiones!$H$2)&gt;0, COUNTIF(P47:V47,Versiones!$G$3)&gt;0, COUNTIF(P47:V47,Versiones!$H$3)&gt;0), "Sprint 16", OR(COUNTIF(P47:V47,Versiones!$G$2)&gt;0, COUNTIF(P47:V47,Versiones!$H$2)&gt;0, COUNTIF(P47:V47,Versiones!$G$3)&gt;0, COUNTIF(P47:V47,Versiones!$H$3)&gt;0), "Sprint 16",TRUE, "")</f>
        <v>Sprint 20</v>
      </c>
      <c r="AF47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47" t="str" cm="1">
        <f t="array" ref="AG4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47" s="24" t="str" cm="1">
        <f t="array" ref="AH47">_xlfn.IFS(COUNTIF(P47:V47, Versiones!$A$13)&gt;0, "Funcional", COUNTIF(P47:V47, Versiones!$A$14)&gt;0, "Configuración", COUNTIF(P47:V47, Versiones!$A$15)&gt;0, "Look&amp;Feel", COUNTIF(P47:V47, Versiones!$A$16)&gt;0, "Integración", COUNTIF(P47:V47, Versiones!$A$17)&gt;0, "Contenido/Datos", COUNTIF(P47:V47, Versiones!$A$18)&gt;0, "Eventos_Cosmos", COUNTIF(P47:V47, Versiones!$A$19)&gt;0, "Eventos_iOT", COUNTIF(P47:V47, Versiones!$A$20)&gt;0, "Eventos_Fabric", TRUE, "No encontrado")</f>
        <v>Funcional</v>
      </c>
    </row>
    <row r="48" spans="1:34">
      <c r="A48" s="45" t="s">
        <v>35</v>
      </c>
      <c r="B48" s="45" t="s">
        <v>212</v>
      </c>
      <c r="C48" s="45">
        <v>99070</v>
      </c>
      <c r="D48" s="45" t="s">
        <v>213</v>
      </c>
      <c r="E48" s="45" t="s">
        <v>209</v>
      </c>
      <c r="F48" s="45" t="s">
        <v>209</v>
      </c>
      <c r="G48" s="45" t="s">
        <v>209</v>
      </c>
      <c r="H48" s="45" t="s">
        <v>40</v>
      </c>
      <c r="I48" s="45" t="s">
        <v>41</v>
      </c>
      <c r="J48" s="45" t="s">
        <v>42</v>
      </c>
      <c r="K48" s="45"/>
      <c r="L48" s="45"/>
      <c r="M48" s="45"/>
      <c r="N48" s="45"/>
      <c r="O48" s="45"/>
      <c r="P48" s="45" t="s">
        <v>43</v>
      </c>
      <c r="Q48" s="45" t="s">
        <v>182</v>
      </c>
      <c r="R48" s="45"/>
      <c r="S48" s="45"/>
      <c r="T48" s="45"/>
      <c r="U48" s="45"/>
      <c r="V48" s="45"/>
      <c r="W48" s="45" t="s">
        <v>45</v>
      </c>
      <c r="X48" s="60">
        <v>45932.672222222223</v>
      </c>
      <c r="Y48" s="45"/>
      <c r="Z48" s="45"/>
      <c r="AA48" s="45"/>
      <c r="AB48" t="str">
        <f>IF(LEFT(Jira__32[[#This Row],[Resumen]],3)="POS","POS",IF(LEFT(Jira__32[[#This Row],[Resumen]],3)="BOT","BOT",""))</f>
        <v>POS</v>
      </c>
      <c r="AC48" s="10" t="s">
        <v>59</v>
      </c>
      <c r="AE48" s="24" t="str" cm="1">
        <f t="array" ref="AE48">_xlfn.IFS(OR(COUNTIF(P48:V48,Versiones!$G$9)&gt;0, COUNTIF(P48:V48,Versiones!$H$8)&gt;0), "Sprint 21",OR(COUNTIF(P48:V48,Versiones!$G$8)&gt;0, COUNTIF(P48:V48,Versiones!$H$8)&gt;0, COUNTIF(P48:V48,Versiones!$I$8)&gt;0), "Sprint 20",OR(COUNTIF(P48:V48,Versiones!$G$7)&gt;0, COUNTIF(P48:V48,Versiones!$H$7)&gt;0, COUNTIF(P48:V48,Versiones!$I$7)&gt;0), "Sprint 19",OR(COUNTIF(P48:V48,Versiones!$G$6)&gt;0, COUNTIF(P48:V48,Versiones!$H$6)&gt;0, COUNTIF(P48:V48,Versiones!$I$6)&gt;0), "Sprint 18",OR(COUNTIF(P48:V48,Versiones!$G$4)&gt;0, COUNTIF(P48:V48,Versiones!$H$4)&gt;0, COUNTIF(P48:V48,Versiones!$G$5)&gt;0, COUNTIF(P48:V48,Versiones!$H$5)&gt;0), "Sprint 17",OR(COUNTIF(P48:V48,Versiones!$G$2)&gt;0, COUNTIF(P48:V48,Versiones!$H$2)&gt;0, COUNTIF(P48:V48,Versiones!$G$3)&gt;0, COUNTIF(P48:V48,Versiones!$H$3)&gt;0), "Sprint 16", OR(COUNTIF(P48:V48,Versiones!$G$2)&gt;0, COUNTIF(P48:V48,Versiones!$H$2)&gt;0, COUNTIF(P48:V48,Versiones!$G$3)&gt;0, COUNTIF(P48:V48,Versiones!$H$3)&gt;0), "Sprint 16",TRUE, "")</f>
        <v>Sprint 20</v>
      </c>
      <c r="AF48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48" t="str" cm="1">
        <f t="array" ref="AG4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48" s="24" t="str" cm="1">
        <f t="array" ref="AH48">_xlfn.IFS(COUNTIF(P48:V48, Versiones!$A$13)&gt;0, "Funcional", COUNTIF(P48:V48, Versiones!$A$14)&gt;0, "Configuración", COUNTIF(P48:V48, Versiones!$A$15)&gt;0, "Look&amp;Feel", COUNTIF(P48:V48, Versiones!$A$16)&gt;0, "Integración", COUNTIF(P48:V48, Versiones!$A$17)&gt;0, "Contenido/Datos", COUNTIF(P48:V48, Versiones!$A$18)&gt;0, "Eventos_Cosmos", COUNTIF(P48:V48, Versiones!$A$19)&gt;0, "Eventos_iOT", COUNTIF(P48:V48, Versiones!$A$20)&gt;0, "Eventos_Fabric", TRUE, "No encontrado")</f>
        <v>Funcional</v>
      </c>
    </row>
    <row r="49" spans="1:34">
      <c r="A49" s="45" t="s">
        <v>35</v>
      </c>
      <c r="B49" s="45" t="s">
        <v>214</v>
      </c>
      <c r="C49" s="45">
        <v>99024</v>
      </c>
      <c r="D49" s="45" t="s">
        <v>215</v>
      </c>
      <c r="E49" s="45" t="s">
        <v>209</v>
      </c>
      <c r="F49" s="45" t="s">
        <v>209</v>
      </c>
      <c r="G49" s="45" t="s">
        <v>209</v>
      </c>
      <c r="H49" s="45" t="s">
        <v>40</v>
      </c>
      <c r="I49" s="45" t="s">
        <v>41</v>
      </c>
      <c r="J49" s="45" t="s">
        <v>42</v>
      </c>
      <c r="K49" s="45"/>
      <c r="L49" s="45"/>
      <c r="M49" s="45"/>
      <c r="N49" s="45"/>
      <c r="O49" s="45"/>
      <c r="P49" s="45" t="s">
        <v>43</v>
      </c>
      <c r="Q49" s="45" t="s">
        <v>182</v>
      </c>
      <c r="R49" s="45"/>
      <c r="S49" s="45"/>
      <c r="T49" s="45"/>
      <c r="U49" s="45"/>
      <c r="V49" s="45"/>
      <c r="W49" s="45" t="s">
        <v>45</v>
      </c>
      <c r="X49" s="60">
        <v>45932.606249999997</v>
      </c>
      <c r="Y49" s="45"/>
      <c r="Z49" s="45"/>
      <c r="AA49" s="45"/>
      <c r="AB49" t="str">
        <f>IF(LEFT(Jira__32[[#This Row],[Resumen]],3)="POS","POS",IF(LEFT(Jira__32[[#This Row],[Resumen]],3)="BOT","BOT",""))</f>
        <v>POS</v>
      </c>
      <c r="AC49" s="10" t="s">
        <v>187</v>
      </c>
      <c r="AE49" s="24" t="str" cm="1">
        <f t="array" ref="AE49">_xlfn.IFS(OR(COUNTIF(P49:V49,Versiones!$G$9)&gt;0, COUNTIF(P49:V49,Versiones!$H$8)&gt;0), "Sprint 21",OR(COUNTIF(P49:V49,Versiones!$G$8)&gt;0, COUNTIF(P49:V49,Versiones!$H$8)&gt;0, COUNTIF(P49:V49,Versiones!$I$8)&gt;0), "Sprint 20",OR(COUNTIF(P49:V49,Versiones!$G$7)&gt;0, COUNTIF(P49:V49,Versiones!$H$7)&gt;0, COUNTIF(P49:V49,Versiones!$I$7)&gt;0), "Sprint 19",OR(COUNTIF(P49:V49,Versiones!$G$6)&gt;0, COUNTIF(P49:V49,Versiones!$H$6)&gt;0, COUNTIF(P49:V49,Versiones!$I$6)&gt;0), "Sprint 18",OR(COUNTIF(P49:V49,Versiones!$G$4)&gt;0, COUNTIF(P49:V49,Versiones!$H$4)&gt;0, COUNTIF(P49:V49,Versiones!$G$5)&gt;0, COUNTIF(P49:V49,Versiones!$H$5)&gt;0), "Sprint 17",OR(COUNTIF(P49:V49,Versiones!$G$2)&gt;0, COUNTIF(P49:V49,Versiones!$H$2)&gt;0, COUNTIF(P49:V49,Versiones!$G$3)&gt;0, COUNTIF(P49:V49,Versiones!$H$3)&gt;0), "Sprint 16", OR(COUNTIF(P49:V49,Versiones!$G$2)&gt;0, COUNTIF(P49:V49,Versiones!$H$2)&gt;0, COUNTIF(P49:V49,Versiones!$G$3)&gt;0, COUNTIF(P49:V49,Versiones!$H$3)&gt;0), "Sprint 16",TRUE, "")</f>
        <v>Sprint 20</v>
      </c>
      <c r="AF49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49" t="str" cm="1">
        <f t="array" ref="AG49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49" s="24" t="str" cm="1">
        <f t="array" ref="AH49">_xlfn.IFS(COUNTIF(P49:V49, Versiones!$A$13)&gt;0, "Funcional", COUNTIF(P49:V49, Versiones!$A$14)&gt;0, "Configuración", COUNTIF(P49:V49, Versiones!$A$15)&gt;0, "Look&amp;Feel", COUNTIF(P49:V49, Versiones!$A$16)&gt;0, "Integración", COUNTIF(P49:V49, Versiones!$A$17)&gt;0, "Contenido/Datos", COUNTIF(P49:V49, Versiones!$A$18)&gt;0, "Eventos_Cosmos", COUNTIF(P49:V49, Versiones!$A$19)&gt;0, "Eventos_iOT", COUNTIF(P49:V49, Versiones!$A$20)&gt;0, "Eventos_Fabric", TRUE, "No encontrado")</f>
        <v>Funcional</v>
      </c>
    </row>
    <row r="50" spans="1:34">
      <c r="A50" s="45" t="s">
        <v>35</v>
      </c>
      <c r="B50" s="45" t="s">
        <v>216</v>
      </c>
      <c r="C50" s="45">
        <v>99022</v>
      </c>
      <c r="D50" s="45" t="s">
        <v>217</v>
      </c>
      <c r="E50" s="45" t="s">
        <v>209</v>
      </c>
      <c r="F50" s="45" t="s">
        <v>209</v>
      </c>
      <c r="G50" s="45" t="s">
        <v>209</v>
      </c>
      <c r="H50" s="45" t="s">
        <v>192</v>
      </c>
      <c r="I50" s="45" t="s">
        <v>81</v>
      </c>
      <c r="J50" s="45" t="s">
        <v>42</v>
      </c>
      <c r="K50" s="45"/>
      <c r="L50" s="45"/>
      <c r="M50" s="45"/>
      <c r="N50" s="45"/>
      <c r="O50" s="45"/>
      <c r="P50" s="45" t="s">
        <v>43</v>
      </c>
      <c r="Q50" s="45" t="s">
        <v>182</v>
      </c>
      <c r="R50" s="45"/>
      <c r="S50" s="45"/>
      <c r="T50" s="45"/>
      <c r="U50" s="45"/>
      <c r="V50" s="45"/>
      <c r="W50" s="45" t="s">
        <v>45</v>
      </c>
      <c r="X50" s="60">
        <v>45932.595138888886</v>
      </c>
      <c r="Y50" s="45"/>
      <c r="Z50" s="45"/>
      <c r="AA50" s="45"/>
      <c r="AB50" t="str">
        <f>IF(LEFT(Jira__32[[#This Row],[Resumen]],3)="POS","POS",IF(LEFT(Jira__32[[#This Row],[Resumen]],3)="BOT","BOT",""))</f>
        <v>POS</v>
      </c>
      <c r="AC50" s="10" t="s">
        <v>59</v>
      </c>
      <c r="AE50" s="24" t="str" cm="1">
        <f t="array" ref="AE50">_xlfn.IFS(OR(COUNTIF(P50:V50,Versiones!$G$9)&gt;0, COUNTIF(P50:V50,Versiones!$H$8)&gt;0), "Sprint 21",OR(COUNTIF(P50:V50,Versiones!$G$8)&gt;0, COUNTIF(P50:V50,Versiones!$H$8)&gt;0, COUNTIF(P50:V50,Versiones!$I$8)&gt;0), "Sprint 20",OR(COUNTIF(P50:V50,Versiones!$G$7)&gt;0, COUNTIF(P50:V50,Versiones!$H$7)&gt;0, COUNTIF(P50:V50,Versiones!$I$7)&gt;0), "Sprint 19",OR(COUNTIF(P50:V50,Versiones!$G$6)&gt;0, COUNTIF(P50:V50,Versiones!$H$6)&gt;0, COUNTIF(P50:V50,Versiones!$I$6)&gt;0), "Sprint 18",OR(COUNTIF(P50:V50,Versiones!$G$4)&gt;0, COUNTIF(P50:V50,Versiones!$H$4)&gt;0, COUNTIF(P50:V50,Versiones!$G$5)&gt;0, COUNTIF(P50:V50,Versiones!$H$5)&gt;0), "Sprint 17",OR(COUNTIF(P50:V50,Versiones!$G$2)&gt;0, COUNTIF(P50:V50,Versiones!$H$2)&gt;0, COUNTIF(P50:V50,Versiones!$G$3)&gt;0, COUNTIF(P50:V50,Versiones!$H$3)&gt;0), "Sprint 16", OR(COUNTIF(P50:V50,Versiones!$G$2)&gt;0, COUNTIF(P50:V50,Versiones!$H$2)&gt;0, COUNTIF(P50:V50,Versiones!$G$3)&gt;0, COUNTIF(P50:V50,Versiones!$H$3)&gt;0), "Sprint 16",TRUE, "")</f>
        <v>Sprint 20</v>
      </c>
      <c r="AF50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50" t="str" cm="1">
        <f t="array" ref="AG50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50" s="24" t="str" cm="1">
        <f t="array" ref="AH50">_xlfn.IFS(COUNTIF(P50:V50, Versiones!$A$13)&gt;0, "Funcional", COUNTIF(P50:V50, Versiones!$A$14)&gt;0, "Configuración", COUNTIF(P50:V50, Versiones!$A$15)&gt;0, "Look&amp;Feel", COUNTIF(P50:V50, Versiones!$A$16)&gt;0, "Integración", COUNTIF(P50:V50, Versiones!$A$17)&gt;0, "Contenido/Datos", COUNTIF(P50:V50, Versiones!$A$18)&gt;0, "Eventos_Cosmos", COUNTIF(P50:V50, Versiones!$A$19)&gt;0, "Eventos_iOT", COUNTIF(P50:V50, Versiones!$A$20)&gt;0, "Eventos_Fabric", TRUE, "No encontrado")</f>
        <v>Funcional</v>
      </c>
    </row>
    <row r="51" spans="1:34">
      <c r="A51" s="45" t="s">
        <v>35</v>
      </c>
      <c r="B51" s="45" t="s">
        <v>218</v>
      </c>
      <c r="C51" s="45">
        <v>98875</v>
      </c>
      <c r="D51" s="45" t="s">
        <v>219</v>
      </c>
      <c r="E51" s="45" t="s">
        <v>209</v>
      </c>
      <c r="F51" s="45" t="s">
        <v>209</v>
      </c>
      <c r="G51" s="45" t="s">
        <v>209</v>
      </c>
      <c r="H51" s="45" t="s">
        <v>40</v>
      </c>
      <c r="I51" s="45" t="s">
        <v>80</v>
      </c>
      <c r="J51" s="45" t="s">
        <v>200</v>
      </c>
      <c r="K51" s="45" t="s">
        <v>42</v>
      </c>
      <c r="L51" s="45"/>
      <c r="M51" s="45"/>
      <c r="N51" s="45"/>
      <c r="O51" s="45"/>
      <c r="P51" s="45" t="s">
        <v>43</v>
      </c>
      <c r="Q51" s="45" t="s">
        <v>182</v>
      </c>
      <c r="R51" s="45"/>
      <c r="S51" s="45"/>
      <c r="T51" s="45"/>
      <c r="U51" s="45"/>
      <c r="V51" s="45"/>
      <c r="W51" s="45" t="s">
        <v>45</v>
      </c>
      <c r="X51" s="60">
        <v>45932.38958333333</v>
      </c>
      <c r="Y51" s="45"/>
      <c r="Z51" s="45"/>
      <c r="AA51" s="45"/>
      <c r="AB51" t="str">
        <f>IF(LEFT(Jira__32[[#This Row],[Resumen]],3)="POS","POS",IF(LEFT(Jira__32[[#This Row],[Resumen]],3)="BOT","BOT",""))</f>
        <v>POS</v>
      </c>
      <c r="AC51" s="14" t="s">
        <v>220</v>
      </c>
      <c r="AE51" s="24" t="str" cm="1">
        <f t="array" ref="AE51">_xlfn.IFS(OR(COUNTIF(P51:V51,Versiones!$G$9)&gt;0, COUNTIF(P51:V51,Versiones!$H$8)&gt;0), "Sprint 21",OR(COUNTIF(P51:V51,Versiones!$G$8)&gt;0, COUNTIF(P51:V51,Versiones!$H$8)&gt;0, COUNTIF(P51:V51,Versiones!$I$8)&gt;0), "Sprint 20",OR(COUNTIF(P51:V51,Versiones!$G$7)&gt;0, COUNTIF(P51:V51,Versiones!$H$7)&gt;0, COUNTIF(P51:V51,Versiones!$I$7)&gt;0), "Sprint 19",OR(COUNTIF(P51:V51,Versiones!$G$6)&gt;0, COUNTIF(P51:V51,Versiones!$H$6)&gt;0, COUNTIF(P51:V51,Versiones!$I$6)&gt;0), "Sprint 18",OR(COUNTIF(P51:V51,Versiones!$G$4)&gt;0, COUNTIF(P51:V51,Versiones!$H$4)&gt;0, COUNTIF(P51:V51,Versiones!$G$5)&gt;0, COUNTIF(P51:V51,Versiones!$H$5)&gt;0), "Sprint 17",OR(COUNTIF(P51:V51,Versiones!$G$2)&gt;0, COUNTIF(P51:V51,Versiones!$H$2)&gt;0, COUNTIF(P51:V51,Versiones!$G$3)&gt;0, COUNTIF(P51:V51,Versiones!$H$3)&gt;0), "Sprint 16", OR(COUNTIF(P51:V51,Versiones!$G$2)&gt;0, COUNTIF(P51:V51,Versiones!$H$2)&gt;0, COUNTIF(P51:V51,Versiones!$G$3)&gt;0, COUNTIF(P51:V51,Versiones!$H$3)&gt;0), "Sprint 16",TRUE, "")</f>
        <v>Sprint 20</v>
      </c>
      <c r="AF51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51" t="str" cm="1">
        <f t="array" ref="AG51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51" s="24" t="str" cm="1">
        <f t="array" ref="AH51">_xlfn.IFS(COUNTIF(P51:V51, Versiones!$A$13)&gt;0, "Funcional", COUNTIF(P51:V51, Versiones!$A$14)&gt;0, "Configuración", COUNTIF(P51:V51, Versiones!$A$15)&gt;0, "Look&amp;Feel", COUNTIF(P51:V51, Versiones!$A$16)&gt;0, "Integración", COUNTIF(P51:V51, Versiones!$A$17)&gt;0, "Contenido/Datos", COUNTIF(P51:V51, Versiones!$A$18)&gt;0, "Eventos_Cosmos", COUNTIF(P51:V51, Versiones!$A$19)&gt;0, "Eventos_iOT", COUNTIF(P51:V51, Versiones!$A$20)&gt;0, "Eventos_Fabric", TRUE, "No encontrado")</f>
        <v>Funcional</v>
      </c>
    </row>
    <row r="52" spans="1:34">
      <c r="A52" s="45" t="s">
        <v>35</v>
      </c>
      <c r="B52" s="45" t="s">
        <v>221</v>
      </c>
      <c r="C52" s="45">
        <v>98650</v>
      </c>
      <c r="D52" s="45" t="s">
        <v>222</v>
      </c>
      <c r="E52" s="45" t="s">
        <v>209</v>
      </c>
      <c r="F52" s="45" t="s">
        <v>209</v>
      </c>
      <c r="G52" s="45" t="s">
        <v>209</v>
      </c>
      <c r="H52" s="45" t="s">
        <v>192</v>
      </c>
      <c r="I52" s="45" t="s">
        <v>80</v>
      </c>
      <c r="J52" s="45" t="s">
        <v>200</v>
      </c>
      <c r="K52" s="45" t="s">
        <v>42</v>
      </c>
      <c r="L52" s="45"/>
      <c r="M52" s="45"/>
      <c r="N52" s="45"/>
      <c r="O52" s="45"/>
      <c r="P52" s="45" t="s">
        <v>43</v>
      </c>
      <c r="Q52" s="45" t="s">
        <v>182</v>
      </c>
      <c r="R52" s="45"/>
      <c r="S52" s="45"/>
      <c r="T52" s="45"/>
      <c r="U52" s="45"/>
      <c r="V52" s="45"/>
      <c r="W52" s="45" t="s">
        <v>185</v>
      </c>
      <c r="X52" s="60">
        <v>45931.62777777778</v>
      </c>
      <c r="Y52" s="45"/>
      <c r="Z52" s="45"/>
      <c r="AA52" s="45"/>
      <c r="AB52" t="str">
        <f>IF(LEFT(Jira__32[[#This Row],[Resumen]],3)="POS","POS",IF(LEFT(Jira__32[[#This Row],[Resumen]],3)="BOT","BOT",""))</f>
        <v>BOT</v>
      </c>
      <c r="AC52" s="14" t="s">
        <v>220</v>
      </c>
      <c r="AE52" s="24" t="str" cm="1">
        <f t="array" ref="AE52">_xlfn.IFS(OR(COUNTIF(P52:V52,Versiones!$G$9)&gt;0, COUNTIF(P52:V52,Versiones!$H$8)&gt;0), "Sprint 21",OR(COUNTIF(P52:V52,Versiones!$G$8)&gt;0, COUNTIF(P52:V52,Versiones!$H$8)&gt;0, COUNTIF(P52:V52,Versiones!$I$8)&gt;0), "Sprint 20",OR(COUNTIF(P52:V52,Versiones!$G$7)&gt;0, COUNTIF(P52:V52,Versiones!$H$7)&gt;0, COUNTIF(P52:V52,Versiones!$I$7)&gt;0), "Sprint 19",OR(COUNTIF(P52:V52,Versiones!$G$6)&gt;0, COUNTIF(P52:V52,Versiones!$H$6)&gt;0, COUNTIF(P52:V52,Versiones!$I$6)&gt;0), "Sprint 18",OR(COUNTIF(P52:V52,Versiones!$G$4)&gt;0, COUNTIF(P52:V52,Versiones!$H$4)&gt;0, COUNTIF(P52:V52,Versiones!$G$5)&gt;0, COUNTIF(P52:V52,Versiones!$H$5)&gt;0), "Sprint 17",OR(COUNTIF(P52:V52,Versiones!$G$2)&gt;0, COUNTIF(P52:V52,Versiones!$H$2)&gt;0, COUNTIF(P52:V52,Versiones!$G$3)&gt;0, COUNTIF(P52:V52,Versiones!$H$3)&gt;0), "Sprint 16", OR(COUNTIF(P52:V52,Versiones!$G$2)&gt;0, COUNTIF(P52:V52,Versiones!$H$2)&gt;0, COUNTIF(P52:V52,Versiones!$G$3)&gt;0, COUNTIF(P52:V52,Versiones!$H$3)&gt;0), "Sprint 16",TRUE, "")</f>
        <v>Sprint 20</v>
      </c>
      <c r="AF52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52" t="str" cm="1">
        <f t="array" ref="AG52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52" s="24" t="str" cm="1">
        <f t="array" ref="AH52">_xlfn.IFS(COUNTIF(P52:V52, Versiones!$A$13)&gt;0, "Funcional", COUNTIF(P52:V52, Versiones!$A$14)&gt;0, "Configuración", COUNTIF(P52:V52, Versiones!$A$15)&gt;0, "Look&amp;Feel", COUNTIF(P52:V52, Versiones!$A$16)&gt;0, "Integración", COUNTIF(P52:V52, Versiones!$A$17)&gt;0, "Contenido/Datos", COUNTIF(P52:V52, Versiones!$A$18)&gt;0, "Eventos_Cosmos", COUNTIF(P52:V52, Versiones!$A$19)&gt;0, "Eventos_iOT", COUNTIF(P52:V52, Versiones!$A$20)&gt;0, "Eventos_Fabric", TRUE, "No encontrado")</f>
        <v>Funcional</v>
      </c>
    </row>
    <row r="53" spans="1:34">
      <c r="A53" s="45" t="s">
        <v>35</v>
      </c>
      <c r="B53" s="45" t="s">
        <v>223</v>
      </c>
      <c r="C53" s="45">
        <v>98563</v>
      </c>
      <c r="D53" s="45" t="s">
        <v>224</v>
      </c>
      <c r="E53" s="45" t="s">
        <v>209</v>
      </c>
      <c r="F53" s="45" t="s">
        <v>209</v>
      </c>
      <c r="G53" s="45" t="s">
        <v>209</v>
      </c>
      <c r="H53" s="45" t="s">
        <v>40</v>
      </c>
      <c r="I53" s="45" t="s">
        <v>87</v>
      </c>
      <c r="J53" s="45" t="s">
        <v>42</v>
      </c>
      <c r="K53" s="45"/>
      <c r="L53" s="45"/>
      <c r="M53" s="45"/>
      <c r="N53" s="45"/>
      <c r="O53" s="45"/>
      <c r="P53" s="45" t="s">
        <v>129</v>
      </c>
      <c r="Q53" s="45" t="s">
        <v>182</v>
      </c>
      <c r="R53" s="45"/>
      <c r="S53" s="45"/>
      <c r="T53" s="45"/>
      <c r="U53" s="45"/>
      <c r="V53" s="45"/>
      <c r="W53" s="45" t="s">
        <v>185</v>
      </c>
      <c r="X53" s="60">
        <v>45931.461111111108</v>
      </c>
      <c r="Y53" s="45" t="s">
        <v>186</v>
      </c>
      <c r="Z53" s="45"/>
      <c r="AA53" s="45"/>
      <c r="AB53" t="str">
        <f>IF(LEFT(Jira__32[[#This Row],[Resumen]],3)="POS","POS",IF(LEFT(Jira__32[[#This Row],[Resumen]],3)="BOT","BOT",""))</f>
        <v>BOT</v>
      </c>
      <c r="AC53" s="10" t="s">
        <v>59</v>
      </c>
      <c r="AE53" s="24" t="str" cm="1">
        <f t="array" ref="AE53">_xlfn.IFS(OR(COUNTIF(P53:V53,Versiones!$G$9)&gt;0, COUNTIF(P53:V53,Versiones!$H$8)&gt;0), "Sprint 21",OR(COUNTIF(P53:V53,Versiones!$G$8)&gt;0, COUNTIF(P53:V53,Versiones!$H$8)&gt;0, COUNTIF(P53:V53,Versiones!$I$8)&gt;0), "Sprint 20",OR(COUNTIF(P53:V53,Versiones!$G$7)&gt;0, COUNTIF(P53:V53,Versiones!$H$7)&gt;0, COUNTIF(P53:V53,Versiones!$I$7)&gt;0), "Sprint 19",OR(COUNTIF(P53:V53,Versiones!$G$6)&gt;0, COUNTIF(P53:V53,Versiones!$H$6)&gt;0, COUNTIF(P53:V53,Versiones!$I$6)&gt;0), "Sprint 18",OR(COUNTIF(P53:V53,Versiones!$G$4)&gt;0, COUNTIF(P53:V53,Versiones!$H$4)&gt;0, COUNTIF(P53:V53,Versiones!$G$5)&gt;0, COUNTIF(P53:V53,Versiones!$H$5)&gt;0), "Sprint 17",OR(COUNTIF(P53:V53,Versiones!$G$2)&gt;0, COUNTIF(P53:V53,Versiones!$H$2)&gt;0, COUNTIF(P53:V53,Versiones!$G$3)&gt;0, COUNTIF(P53:V53,Versiones!$H$3)&gt;0), "Sprint 16", OR(COUNTIF(P53:V53,Versiones!$G$2)&gt;0, COUNTIF(P53:V53,Versiones!$H$2)&gt;0, COUNTIF(P53:V53,Versiones!$G$3)&gt;0, COUNTIF(P53:V53,Versiones!$H$3)&gt;0), "Sprint 16",TRUE, "")</f>
        <v>Sprint 20</v>
      </c>
      <c r="AF53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v0.8</v>
      </c>
      <c r="AG53" t="str" cm="1">
        <f t="array" ref="AG5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20</v>
      </c>
      <c r="AH53" s="24" t="str" cm="1">
        <f t="array" ref="AH53">_xlfn.IFS(COUNTIF(P53:V53, Versiones!$A$13)&gt;0, "Funcional", COUNTIF(P53:V53, Versiones!$A$14)&gt;0, "Configuración", COUNTIF(P53:V53, Versiones!$A$15)&gt;0, "Look&amp;Feel", COUNTIF(P53:V53, Versiones!$A$16)&gt;0, "Integración", COUNTIF(P53:V53, Versiones!$A$17)&gt;0, "Contenido/Datos", COUNTIF(P53:V53, Versiones!$A$18)&gt;0, "Eventos_Cosmos", COUNTIF(P53:V53, Versiones!$A$19)&gt;0, "Eventos_iOT", COUNTIF(P53:V53, Versiones!$A$20)&gt;0, "Eventos_Fabric", TRUE, "No encontrado")</f>
        <v>Eventos_iOT</v>
      </c>
    </row>
    <row r="54" spans="1:34">
      <c r="A54" s="45" t="s">
        <v>35</v>
      </c>
      <c r="B54" s="45" t="s">
        <v>225</v>
      </c>
      <c r="C54" s="45">
        <v>98503</v>
      </c>
      <c r="D54" s="45" t="s">
        <v>226</v>
      </c>
      <c r="E54" s="45" t="s">
        <v>209</v>
      </c>
      <c r="F54" s="45" t="s">
        <v>209</v>
      </c>
      <c r="G54" s="45" t="s">
        <v>209</v>
      </c>
      <c r="H54" s="45" t="s">
        <v>40</v>
      </c>
      <c r="I54" s="45" t="s">
        <v>85</v>
      </c>
      <c r="J54" s="45" t="s">
        <v>42</v>
      </c>
      <c r="K54" s="45"/>
      <c r="L54" s="45"/>
      <c r="M54" s="45"/>
      <c r="N54" s="45"/>
      <c r="O54" s="45"/>
      <c r="P54" s="45" t="s">
        <v>43</v>
      </c>
      <c r="Q54" s="45" t="s">
        <v>182</v>
      </c>
      <c r="R54" s="45"/>
      <c r="S54" s="45"/>
      <c r="T54" s="45"/>
      <c r="U54" s="45"/>
      <c r="V54" s="45"/>
      <c r="W54" s="45" t="s">
        <v>45</v>
      </c>
      <c r="X54" s="60">
        <v>45931.367361111108</v>
      </c>
      <c r="Y54" s="45"/>
      <c r="Z54" s="45"/>
      <c r="AA54" s="45"/>
      <c r="AB54" t="str">
        <f>IF(LEFT(Jira__32[[#This Row],[Resumen]],3)="POS","POS",IF(LEFT(Jira__32[[#This Row],[Resumen]],3)="BOT","BOT",""))</f>
        <v>BOT</v>
      </c>
      <c r="AC54" s="10" t="s">
        <v>59</v>
      </c>
      <c r="AE54" s="24" t="str" cm="1">
        <f t="array" ref="AE54">_xlfn.IFS(OR(COUNTIF(P54:V54,Versiones!$G$9)&gt;0, COUNTIF(P54:V54,Versiones!$H$8)&gt;0), "Sprint 21",OR(COUNTIF(P54:V54,Versiones!$G$8)&gt;0, COUNTIF(P54:V54,Versiones!$H$8)&gt;0, COUNTIF(P54:V54,Versiones!$I$8)&gt;0), "Sprint 20",OR(COUNTIF(P54:V54,Versiones!$G$7)&gt;0, COUNTIF(P54:V54,Versiones!$H$7)&gt;0, COUNTIF(P54:V54,Versiones!$I$7)&gt;0), "Sprint 19",OR(COUNTIF(P54:V54,Versiones!$G$6)&gt;0, COUNTIF(P54:V54,Versiones!$H$6)&gt;0, COUNTIF(P54:V54,Versiones!$I$6)&gt;0), "Sprint 18",OR(COUNTIF(P54:V54,Versiones!$G$4)&gt;0, COUNTIF(P54:V54,Versiones!$H$4)&gt;0, COUNTIF(P54:V54,Versiones!$G$5)&gt;0, COUNTIF(P54:V54,Versiones!$H$5)&gt;0), "Sprint 17",OR(COUNTIF(P54:V54,Versiones!$G$2)&gt;0, COUNTIF(P54:V54,Versiones!$H$2)&gt;0, COUNTIF(P54:V54,Versiones!$G$3)&gt;0, COUNTIF(P54:V54,Versiones!$H$3)&gt;0), "Sprint 16", OR(COUNTIF(P54:V54,Versiones!$G$2)&gt;0, COUNTIF(P54:V54,Versiones!$H$2)&gt;0, COUNTIF(P54:V54,Versiones!$G$3)&gt;0, COUNTIF(P54:V54,Versiones!$H$3)&gt;0), "Sprint 16",TRUE, "")</f>
        <v>Sprint 20</v>
      </c>
      <c r="AF54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54" t="str" cm="1">
        <f t="array" ref="AG5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54" s="24" t="str" cm="1">
        <f t="array" ref="AH54">_xlfn.IFS(COUNTIF(P54:V54, Versiones!$A$13)&gt;0, "Funcional", COUNTIF(P54:V54, Versiones!$A$14)&gt;0, "Configuración", COUNTIF(P54:V54, Versiones!$A$15)&gt;0, "Look&amp;Feel", COUNTIF(P54:V54, Versiones!$A$16)&gt;0, "Integración", COUNTIF(P54:V54, Versiones!$A$17)&gt;0, "Contenido/Datos", COUNTIF(P54:V54, Versiones!$A$18)&gt;0, "Eventos_Cosmos", COUNTIF(P54:V54, Versiones!$A$19)&gt;0, "Eventos_iOT", COUNTIF(P54:V54, Versiones!$A$20)&gt;0, "Eventos_Fabric", TRUE, "No encontrado")</f>
        <v>Funcional</v>
      </c>
    </row>
    <row r="55" spans="1:34">
      <c r="A55" s="45" t="s">
        <v>35</v>
      </c>
      <c r="B55" s="45" t="s">
        <v>227</v>
      </c>
      <c r="C55" s="45">
        <v>97844</v>
      </c>
      <c r="D55" s="45" t="s">
        <v>228</v>
      </c>
      <c r="E55" s="45" t="s">
        <v>209</v>
      </c>
      <c r="F55" s="45" t="s">
        <v>209</v>
      </c>
      <c r="G55" s="45" t="s">
        <v>209</v>
      </c>
      <c r="H55" s="45" t="s">
        <v>40</v>
      </c>
      <c r="I55" s="45" t="s">
        <v>87</v>
      </c>
      <c r="J55" s="45" t="s">
        <v>42</v>
      </c>
      <c r="K55" s="45"/>
      <c r="L55" s="45"/>
      <c r="M55" s="45"/>
      <c r="N55" s="45"/>
      <c r="O55" s="45"/>
      <c r="P55" s="45" t="s">
        <v>55</v>
      </c>
      <c r="Q55" s="45" t="s">
        <v>229</v>
      </c>
      <c r="R55" s="45"/>
      <c r="S55" s="45"/>
      <c r="T55" s="45"/>
      <c r="U55" s="45"/>
      <c r="V55" s="45"/>
      <c r="W55" s="45" t="s">
        <v>45</v>
      </c>
      <c r="X55" s="60">
        <v>45929.380555555559</v>
      </c>
      <c r="Y55" s="45"/>
      <c r="Z55" s="45"/>
      <c r="AA55" s="45"/>
      <c r="AB55" t="str">
        <f>IF(LEFT(Jira__32[[#This Row],[Resumen]],3)="POS","POS",IF(LEFT(Jira__32[[#This Row],[Resumen]],3)="BOT","BOT",""))</f>
        <v>BOT</v>
      </c>
      <c r="AC55" s="10" t="s">
        <v>59</v>
      </c>
      <c r="AE55" s="24" t="str" cm="1">
        <f t="array" ref="AE55">_xlfn.IFS(OR(COUNTIF(P55:V55,Versiones!$G$9)&gt;0, COUNTIF(P55:V55,Versiones!$H$8)&gt;0), "Sprint 21",OR(COUNTIF(P55:V55,Versiones!$G$8)&gt;0, COUNTIF(P55:V55,Versiones!$H$8)&gt;0, COUNTIF(P55:V55,Versiones!$I$8)&gt;0), "Sprint 20",OR(COUNTIF(P55:V55,Versiones!$G$7)&gt;0, COUNTIF(P55:V55,Versiones!$H$7)&gt;0, COUNTIF(P55:V55,Versiones!$I$7)&gt;0), "Sprint 19",OR(COUNTIF(P55:V55,Versiones!$G$6)&gt;0, COUNTIF(P55:V55,Versiones!$H$6)&gt;0, COUNTIF(P55:V55,Versiones!$I$6)&gt;0), "Sprint 18",OR(COUNTIF(P55:V55,Versiones!$G$4)&gt;0, COUNTIF(P55:V55,Versiones!$H$4)&gt;0, COUNTIF(P55:V55,Versiones!$G$5)&gt;0, COUNTIF(P55:V55,Versiones!$H$5)&gt;0), "Sprint 17",OR(COUNTIF(P55:V55,Versiones!$G$2)&gt;0, COUNTIF(P55:V55,Versiones!$H$2)&gt;0, COUNTIF(P55:V55,Versiones!$G$3)&gt;0, COUNTIF(P55:V55,Versiones!$H$3)&gt;0), "Sprint 16", OR(COUNTIF(P55:V55,Versiones!$G$2)&gt;0, COUNTIF(P55:V55,Versiones!$H$2)&gt;0, COUNTIF(P55:V55,Versiones!$G$3)&gt;0, COUNTIF(P55:V55,Versiones!$H$3)&gt;0), "Sprint 16",TRUE, "")</f>
        <v>Sprint 19</v>
      </c>
      <c r="AF55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55" t="str" cm="1">
        <f t="array" ref="AG5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55" s="24" t="str" cm="1">
        <f t="array" ref="AH55">_xlfn.IFS(COUNTIF(P55:V55, Versiones!$A$13)&gt;0, "Funcional", COUNTIF(P55:V55, Versiones!$A$14)&gt;0, "Configuración", COUNTIF(P55:V55, Versiones!$A$15)&gt;0, "Look&amp;Feel", COUNTIF(P55:V55, Versiones!$A$16)&gt;0, "Integración", COUNTIF(P55:V55, Versiones!$A$17)&gt;0, "Contenido/Datos", COUNTIF(P55:V55, Versiones!$A$18)&gt;0, "Eventos_Cosmos", COUNTIF(P55:V55, Versiones!$A$19)&gt;0, "Eventos_iOT", COUNTIF(P55:V55, Versiones!$A$20)&gt;0, "Eventos_Fabric", TRUE, "No encontrado")</f>
        <v>Look&amp;Feel</v>
      </c>
    </row>
    <row r="56" spans="1:34">
      <c r="A56" s="45" t="s">
        <v>35</v>
      </c>
      <c r="B56" s="45" t="s">
        <v>230</v>
      </c>
      <c r="C56" s="45">
        <v>97661</v>
      </c>
      <c r="D56" s="45" t="s">
        <v>231</v>
      </c>
      <c r="E56" s="45" t="s">
        <v>209</v>
      </c>
      <c r="F56" s="45" t="s">
        <v>209</v>
      </c>
      <c r="G56" s="45" t="s">
        <v>209</v>
      </c>
      <c r="H56" s="45" t="s">
        <v>40</v>
      </c>
      <c r="I56" s="45" t="s">
        <v>41</v>
      </c>
      <c r="J56" s="45" t="s">
        <v>108</v>
      </c>
      <c r="K56" s="45" t="s">
        <v>42</v>
      </c>
      <c r="L56" s="45"/>
      <c r="M56" s="45"/>
      <c r="N56" s="45"/>
      <c r="O56" s="45"/>
      <c r="P56" s="45" t="s">
        <v>43</v>
      </c>
      <c r="Q56" s="45" t="s">
        <v>229</v>
      </c>
      <c r="R56" s="45"/>
      <c r="S56" s="45"/>
      <c r="T56" s="45"/>
      <c r="U56" s="45"/>
      <c r="V56" s="45"/>
      <c r="W56" s="45" t="s">
        <v>45</v>
      </c>
      <c r="X56" s="60">
        <v>45926.625</v>
      </c>
      <c r="Y56" s="45"/>
      <c r="Z56" s="45"/>
      <c r="AA56" s="45"/>
      <c r="AB56" t="str">
        <f>IF(LEFT(Jira__32[[#This Row],[Resumen]],3)="POS","POS",IF(LEFT(Jira__32[[#This Row],[Resumen]],3)="BOT","BOT",""))</f>
        <v>POS</v>
      </c>
      <c r="AC56" s="10" t="s">
        <v>173</v>
      </c>
      <c r="AE56" s="24" t="str" cm="1">
        <f t="array" ref="AE56">_xlfn.IFS(OR(COUNTIF(P56:V56,Versiones!$G$9)&gt;0, COUNTIF(P56:V56,Versiones!$H$8)&gt;0), "Sprint 21",OR(COUNTIF(P56:V56,Versiones!$G$8)&gt;0, COUNTIF(P56:V56,Versiones!$H$8)&gt;0, COUNTIF(P56:V56,Versiones!$I$8)&gt;0), "Sprint 20",OR(COUNTIF(P56:V56,Versiones!$G$7)&gt;0, COUNTIF(P56:V56,Versiones!$H$7)&gt;0, COUNTIF(P56:V56,Versiones!$I$7)&gt;0), "Sprint 19",OR(COUNTIF(P56:V56,Versiones!$G$6)&gt;0, COUNTIF(P56:V56,Versiones!$H$6)&gt;0, COUNTIF(P56:V56,Versiones!$I$6)&gt;0), "Sprint 18",OR(COUNTIF(P56:V56,Versiones!$G$4)&gt;0, COUNTIF(P56:V56,Versiones!$H$4)&gt;0, COUNTIF(P56:V56,Versiones!$G$5)&gt;0, COUNTIF(P56:V56,Versiones!$H$5)&gt;0), "Sprint 17",OR(COUNTIF(P56:V56,Versiones!$G$2)&gt;0, COUNTIF(P56:V56,Versiones!$H$2)&gt;0, COUNTIF(P56:V56,Versiones!$G$3)&gt;0, COUNTIF(P56:V56,Versiones!$H$3)&gt;0), "Sprint 16", OR(COUNTIF(P56:V56,Versiones!$G$2)&gt;0, COUNTIF(P56:V56,Versiones!$H$2)&gt;0, COUNTIF(P56:V56,Versiones!$G$3)&gt;0, COUNTIF(P56:V56,Versiones!$H$3)&gt;0), "Sprint 16",TRUE, "")</f>
        <v>Sprint 19</v>
      </c>
      <c r="AF56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56" t="str" cm="1">
        <f t="array" ref="AG5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56" s="24" t="str" cm="1">
        <f t="array" ref="AH56">_xlfn.IFS(COUNTIF(P56:V56, Versiones!$A$13)&gt;0, "Funcional", COUNTIF(P56:V56, Versiones!$A$14)&gt;0, "Configuración", COUNTIF(P56:V56, Versiones!$A$15)&gt;0, "Look&amp;Feel", COUNTIF(P56:V56, Versiones!$A$16)&gt;0, "Integración", COUNTIF(P56:V56, Versiones!$A$17)&gt;0, "Contenido/Datos", COUNTIF(P56:V56, Versiones!$A$18)&gt;0, "Eventos_Cosmos", COUNTIF(P56:V56, Versiones!$A$19)&gt;0, "Eventos_iOT", COUNTIF(P56:V56, Versiones!$A$20)&gt;0, "Eventos_Fabric", TRUE, "No encontrado")</f>
        <v>Funcional</v>
      </c>
    </row>
    <row r="57" spans="1:34">
      <c r="A57" s="45" t="s">
        <v>35</v>
      </c>
      <c r="B57" s="45" t="s">
        <v>232</v>
      </c>
      <c r="C57" s="45">
        <v>97648</v>
      </c>
      <c r="D57" s="45" t="s">
        <v>233</v>
      </c>
      <c r="E57" s="45">
        <v>79941</v>
      </c>
      <c r="F57" s="45" t="s">
        <v>124</v>
      </c>
      <c r="G57" s="45" t="s">
        <v>125</v>
      </c>
      <c r="H57" s="45" t="s">
        <v>40</v>
      </c>
      <c r="I57" s="45" t="s">
        <v>41</v>
      </c>
      <c r="J57" s="45" t="s">
        <v>108</v>
      </c>
      <c r="K57" s="45" t="s">
        <v>42</v>
      </c>
      <c r="L57" s="45"/>
      <c r="M57" s="45"/>
      <c r="N57" s="45"/>
      <c r="O57" s="45"/>
      <c r="P57" s="45" t="s">
        <v>43</v>
      </c>
      <c r="Q57" s="45" t="s">
        <v>229</v>
      </c>
      <c r="R57" s="45"/>
      <c r="S57" s="45"/>
      <c r="T57" s="45"/>
      <c r="U57" s="45"/>
      <c r="V57" s="45"/>
      <c r="W57" s="45" t="s">
        <v>45</v>
      </c>
      <c r="X57" s="60">
        <v>45926.606944444444</v>
      </c>
      <c r="Y57" s="45"/>
      <c r="Z57" s="45"/>
      <c r="AA57" s="45"/>
      <c r="AB57" t="str">
        <f>IF(LEFT(Jira__32[[#This Row],[Resumen]],3)="POS","POS",IF(LEFT(Jira__32[[#This Row],[Resumen]],3)="BOT","BOT",""))</f>
        <v>POS</v>
      </c>
      <c r="AC57" s="10" t="s">
        <v>173</v>
      </c>
      <c r="AE57" s="24" t="str" cm="1">
        <f t="array" ref="AE57">_xlfn.IFS(OR(COUNTIF(P57:V57,Versiones!$G$9)&gt;0, COUNTIF(P57:V57,Versiones!$H$8)&gt;0), "Sprint 21",OR(COUNTIF(P57:V57,Versiones!$G$8)&gt;0, COUNTIF(P57:V57,Versiones!$H$8)&gt;0, COUNTIF(P57:V57,Versiones!$I$8)&gt;0), "Sprint 20",OR(COUNTIF(P57:V57,Versiones!$G$7)&gt;0, COUNTIF(P57:V57,Versiones!$H$7)&gt;0, COUNTIF(P57:V57,Versiones!$I$7)&gt;0), "Sprint 19",OR(COUNTIF(P57:V57,Versiones!$G$6)&gt;0, COUNTIF(P57:V57,Versiones!$H$6)&gt;0, COUNTIF(P57:V57,Versiones!$I$6)&gt;0), "Sprint 18",OR(COUNTIF(P57:V57,Versiones!$G$4)&gt;0, COUNTIF(P57:V57,Versiones!$H$4)&gt;0, COUNTIF(P57:V57,Versiones!$G$5)&gt;0, COUNTIF(P57:V57,Versiones!$H$5)&gt;0), "Sprint 17",OR(COUNTIF(P57:V57,Versiones!$G$2)&gt;0, COUNTIF(P57:V57,Versiones!$H$2)&gt;0, COUNTIF(P57:V57,Versiones!$G$3)&gt;0, COUNTIF(P57:V57,Versiones!$H$3)&gt;0), "Sprint 16", OR(COUNTIF(P57:V57,Versiones!$G$2)&gt;0, COUNTIF(P57:V57,Versiones!$H$2)&gt;0, COUNTIF(P57:V57,Versiones!$G$3)&gt;0, COUNTIF(P57:V57,Versiones!$H$3)&gt;0), "Sprint 16",TRUE, "")</f>
        <v>Sprint 19</v>
      </c>
      <c r="AF57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57" t="str" cm="1">
        <f t="array" ref="AG5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57" s="24" t="str" cm="1">
        <f t="array" ref="AH57">_xlfn.IFS(COUNTIF(P57:V57, Versiones!$A$13)&gt;0, "Funcional", COUNTIF(P57:V57, Versiones!$A$14)&gt;0, "Configuración", COUNTIF(P57:V57, Versiones!$A$15)&gt;0, "Look&amp;Feel", COUNTIF(P57:V57, Versiones!$A$16)&gt;0, "Integración", COUNTIF(P57:V57, Versiones!$A$17)&gt;0, "Contenido/Datos", COUNTIF(P57:V57, Versiones!$A$18)&gt;0, "Eventos_Cosmos", COUNTIF(P57:V57, Versiones!$A$19)&gt;0, "Eventos_iOT", COUNTIF(P57:V57, Versiones!$A$20)&gt;0, "Eventos_Fabric", TRUE, "No encontrado")</f>
        <v>Funcional</v>
      </c>
    </row>
    <row r="58" spans="1:34">
      <c r="A58" s="45" t="s">
        <v>35</v>
      </c>
      <c r="B58" s="45" t="s">
        <v>234</v>
      </c>
      <c r="C58" s="45">
        <v>97611</v>
      </c>
      <c r="D58" s="45" t="s">
        <v>235</v>
      </c>
      <c r="E58" s="45">
        <v>87100</v>
      </c>
      <c r="F58" s="45" t="s">
        <v>38</v>
      </c>
      <c r="G58" s="45" t="s">
        <v>39</v>
      </c>
      <c r="H58" s="45" t="s">
        <v>54</v>
      </c>
      <c r="I58" s="45" t="s">
        <v>80</v>
      </c>
      <c r="J58" s="45" t="s">
        <v>97</v>
      </c>
      <c r="K58" s="45"/>
      <c r="L58" s="45"/>
      <c r="M58" s="45"/>
      <c r="N58" s="45"/>
      <c r="O58" s="45"/>
      <c r="P58" s="45" t="s">
        <v>64</v>
      </c>
      <c r="Q58" s="45" t="s">
        <v>236</v>
      </c>
      <c r="R58" s="45"/>
      <c r="S58" s="45"/>
      <c r="T58" s="45"/>
      <c r="U58" s="45"/>
      <c r="V58" s="45"/>
      <c r="W58" s="45" t="s">
        <v>237</v>
      </c>
      <c r="X58" s="60">
        <v>45926.549305555556</v>
      </c>
      <c r="Y58" s="45" t="s">
        <v>109</v>
      </c>
      <c r="Z58" s="45"/>
      <c r="AA58" s="45"/>
      <c r="AB58" t="str">
        <f>IF(LEFT(Jira__32[[#This Row],[Resumen]],3)="POS","POS",IF(LEFT(Jira__32[[#This Row],[Resumen]],3)="BOT","BOT",""))</f>
        <v>POS</v>
      </c>
      <c r="AC58" s="10" t="s">
        <v>173</v>
      </c>
      <c r="AE58" s="24" t="str" cm="1">
        <f t="array" ref="AE58">_xlfn.IFS(OR(COUNTIF(P58:V58,Versiones!$G$9)&gt;0, COUNTIF(P58:V58,Versiones!$H$8)&gt;0), "Sprint 21",OR(COUNTIF(P58:V58,Versiones!$G$8)&gt;0, COUNTIF(P58:V58,Versiones!$H$8)&gt;0, COUNTIF(P58:V58,Versiones!$I$8)&gt;0), "Sprint 20",OR(COUNTIF(P58:V58,Versiones!$G$7)&gt;0, COUNTIF(P58:V58,Versiones!$H$7)&gt;0, COUNTIF(P58:V58,Versiones!$I$7)&gt;0), "Sprint 19",OR(COUNTIF(P58:V58,Versiones!$G$6)&gt;0, COUNTIF(P58:V58,Versiones!$H$6)&gt;0, COUNTIF(P58:V58,Versiones!$I$6)&gt;0), "Sprint 18",OR(COUNTIF(P58:V58,Versiones!$G$4)&gt;0, COUNTIF(P58:V58,Versiones!$H$4)&gt;0, COUNTIF(P58:V58,Versiones!$G$5)&gt;0, COUNTIF(P58:V58,Versiones!$H$5)&gt;0), "Sprint 17",OR(COUNTIF(P58:V58,Versiones!$G$2)&gt;0, COUNTIF(P58:V58,Versiones!$H$2)&gt;0, COUNTIF(P58:V58,Versiones!$G$3)&gt;0, COUNTIF(P58:V58,Versiones!$H$3)&gt;0), "Sprint 16", OR(COUNTIF(P58:V58,Versiones!$G$2)&gt;0, COUNTIF(P58:V58,Versiones!$H$2)&gt;0, COUNTIF(P58:V58,Versiones!$G$3)&gt;0, COUNTIF(P58:V58,Versiones!$H$3)&gt;0), "Sprint 16",TRUE, "")</f>
        <v>Sprint 19</v>
      </c>
      <c r="AF58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58" t="str" cm="1">
        <f t="array" ref="AG5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58" s="24" t="str" cm="1">
        <f t="array" ref="AH58">_xlfn.IFS(COUNTIF(P58:V58, Versiones!$A$13)&gt;0, "Funcional", COUNTIF(P58:V58, Versiones!$A$14)&gt;0, "Configuración", COUNTIF(P58:V58, Versiones!$A$15)&gt;0, "Look&amp;Feel", COUNTIF(P58:V58, Versiones!$A$16)&gt;0, "Integración", COUNTIF(P58:V58, Versiones!$A$17)&gt;0, "Contenido/Datos", COUNTIF(P58:V58, Versiones!$A$18)&gt;0, "Eventos_Cosmos", COUNTIF(P58:V58, Versiones!$A$19)&gt;0, "Eventos_iOT", COUNTIF(P58:V58, Versiones!$A$20)&gt;0, "Eventos_Fabric", TRUE, "No encontrado")</f>
        <v>Contenido/Datos</v>
      </c>
    </row>
    <row r="59" spans="1:34">
      <c r="A59" s="45" t="s">
        <v>35</v>
      </c>
      <c r="B59" s="45" t="s">
        <v>238</v>
      </c>
      <c r="C59" s="45">
        <v>97011</v>
      </c>
      <c r="D59" s="45" t="s">
        <v>239</v>
      </c>
      <c r="E59" s="45">
        <v>87100</v>
      </c>
      <c r="F59" s="45" t="s">
        <v>38</v>
      </c>
      <c r="G59" s="45" t="s">
        <v>39</v>
      </c>
      <c r="H59" s="45" t="s">
        <v>40</v>
      </c>
      <c r="I59" s="45" t="s">
        <v>41</v>
      </c>
      <c r="J59" s="45" t="s">
        <v>108</v>
      </c>
      <c r="K59" s="45" t="s">
        <v>42</v>
      </c>
      <c r="L59" s="45"/>
      <c r="M59" s="45"/>
      <c r="N59" s="45"/>
      <c r="O59" s="45"/>
      <c r="P59" s="45" t="s">
        <v>129</v>
      </c>
      <c r="Q59" s="45" t="s">
        <v>229</v>
      </c>
      <c r="R59" s="45"/>
      <c r="S59" s="45"/>
      <c r="T59" s="45"/>
      <c r="U59" s="45"/>
      <c r="V59" s="45"/>
      <c r="W59" s="45" t="s">
        <v>185</v>
      </c>
      <c r="X59" s="60">
        <v>45924.770138888889</v>
      </c>
      <c r="Y59" s="45" t="s">
        <v>109</v>
      </c>
      <c r="Z59" s="45"/>
      <c r="AA59" s="45"/>
      <c r="AB59" t="str">
        <f>IF(LEFT(Jira__32[[#This Row],[Resumen]],3)="POS","POS",IF(LEFT(Jira__32[[#This Row],[Resumen]],3)="BOT","BOT",""))</f>
        <v>POS</v>
      </c>
      <c r="AC59" s="10" t="s">
        <v>173</v>
      </c>
      <c r="AE59" s="24" t="str" cm="1">
        <f t="array" ref="AE59">_xlfn.IFS(OR(COUNTIF(P59:V59,Versiones!$G$9)&gt;0, COUNTIF(P59:V59,Versiones!$H$8)&gt;0), "Sprint 21",OR(COUNTIF(P59:V59,Versiones!$G$8)&gt;0, COUNTIF(P59:V59,Versiones!$H$8)&gt;0, COUNTIF(P59:V59,Versiones!$I$8)&gt;0), "Sprint 20",OR(COUNTIF(P59:V59,Versiones!$G$7)&gt;0, COUNTIF(P59:V59,Versiones!$H$7)&gt;0, COUNTIF(P59:V59,Versiones!$I$7)&gt;0), "Sprint 19",OR(COUNTIF(P59:V59,Versiones!$G$6)&gt;0, COUNTIF(P59:V59,Versiones!$H$6)&gt;0, COUNTIF(P59:V59,Versiones!$I$6)&gt;0), "Sprint 18",OR(COUNTIF(P59:V59,Versiones!$G$4)&gt;0, COUNTIF(P59:V59,Versiones!$H$4)&gt;0, COUNTIF(P59:V59,Versiones!$G$5)&gt;0, COUNTIF(P59:V59,Versiones!$H$5)&gt;0), "Sprint 17",OR(COUNTIF(P59:V59,Versiones!$G$2)&gt;0, COUNTIF(P59:V59,Versiones!$H$2)&gt;0, COUNTIF(P59:V59,Versiones!$G$3)&gt;0, COUNTIF(P59:V59,Versiones!$H$3)&gt;0), "Sprint 16", OR(COUNTIF(P59:V59,Versiones!$G$2)&gt;0, COUNTIF(P59:V59,Versiones!$H$2)&gt;0, COUNTIF(P59:V59,Versiones!$G$3)&gt;0, COUNTIF(P59:V59,Versiones!$H$3)&gt;0), "Sprint 16",TRUE, "")</f>
        <v>Sprint 19</v>
      </c>
      <c r="AF59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59" t="str" cm="1">
        <f t="array" ref="AG59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59" s="24" t="str" cm="1">
        <f t="array" ref="AH59">_xlfn.IFS(COUNTIF(P59:V59, Versiones!$A$13)&gt;0, "Funcional", COUNTIF(P59:V59, Versiones!$A$14)&gt;0, "Configuración", COUNTIF(P59:V59, Versiones!$A$15)&gt;0, "Look&amp;Feel", COUNTIF(P59:V59, Versiones!$A$16)&gt;0, "Integración", COUNTIF(P59:V59, Versiones!$A$17)&gt;0, "Contenido/Datos", COUNTIF(P59:V59, Versiones!$A$18)&gt;0, "Eventos_Cosmos", COUNTIF(P59:V59, Versiones!$A$19)&gt;0, "Eventos_iOT", COUNTIF(P59:V59, Versiones!$A$20)&gt;0, "Eventos_Fabric", TRUE, "No encontrado")</f>
        <v>Eventos_iOT</v>
      </c>
    </row>
    <row r="60" spans="1:34">
      <c r="A60" s="45" t="s">
        <v>35</v>
      </c>
      <c r="B60" s="45" t="s">
        <v>240</v>
      </c>
      <c r="C60" s="45">
        <v>96997</v>
      </c>
      <c r="D60" s="45" t="s">
        <v>241</v>
      </c>
      <c r="E60" s="45">
        <v>87100</v>
      </c>
      <c r="F60" s="45" t="s">
        <v>38</v>
      </c>
      <c r="G60" s="45" t="s">
        <v>39</v>
      </c>
      <c r="H60" s="45" t="s">
        <v>54</v>
      </c>
      <c r="I60" s="45" t="s">
        <v>41</v>
      </c>
      <c r="J60" s="45" t="s">
        <v>108</v>
      </c>
      <c r="K60" s="45" t="s">
        <v>97</v>
      </c>
      <c r="L60" s="45"/>
      <c r="M60" s="45"/>
      <c r="N60" s="45"/>
      <c r="O60" s="45"/>
      <c r="P60" s="45" t="s">
        <v>129</v>
      </c>
      <c r="Q60" s="45" t="s">
        <v>229</v>
      </c>
      <c r="R60" s="45"/>
      <c r="S60" s="45"/>
      <c r="T60" s="45"/>
      <c r="U60" s="45"/>
      <c r="V60" s="45"/>
      <c r="W60" s="45" t="s">
        <v>185</v>
      </c>
      <c r="X60" s="60">
        <v>45924.736805555556</v>
      </c>
      <c r="Y60" s="45" t="s">
        <v>109</v>
      </c>
      <c r="Z60" s="45"/>
      <c r="AA60" s="45"/>
      <c r="AB60" t="str">
        <f>IF(LEFT(Jira__32[[#This Row],[Resumen]],3)="POS","POS",IF(LEFT(Jira__32[[#This Row],[Resumen]],3)="BOT","BOT",""))</f>
        <v>POS</v>
      </c>
      <c r="AC60" s="10" t="s">
        <v>173</v>
      </c>
      <c r="AE60" s="24" t="str" cm="1">
        <f t="array" ref="AE60">_xlfn.IFS(OR(COUNTIF(P60:V60,Versiones!$G$9)&gt;0, COUNTIF(P60:V60,Versiones!$H$8)&gt;0), "Sprint 21",OR(COUNTIF(P60:V60,Versiones!$G$8)&gt;0, COUNTIF(P60:V60,Versiones!$H$8)&gt;0, COUNTIF(P60:V60,Versiones!$I$8)&gt;0), "Sprint 20",OR(COUNTIF(P60:V60,Versiones!$G$7)&gt;0, COUNTIF(P60:V60,Versiones!$H$7)&gt;0, COUNTIF(P60:V60,Versiones!$I$7)&gt;0), "Sprint 19",OR(COUNTIF(P60:V60,Versiones!$G$6)&gt;0, COUNTIF(P60:V60,Versiones!$H$6)&gt;0, COUNTIF(P60:V60,Versiones!$I$6)&gt;0), "Sprint 18",OR(COUNTIF(P60:V60,Versiones!$G$4)&gt;0, COUNTIF(P60:V60,Versiones!$H$4)&gt;0, COUNTIF(P60:V60,Versiones!$G$5)&gt;0, COUNTIF(P60:V60,Versiones!$H$5)&gt;0), "Sprint 17",OR(COUNTIF(P60:V60,Versiones!$G$2)&gt;0, COUNTIF(P60:V60,Versiones!$H$2)&gt;0, COUNTIF(P60:V60,Versiones!$G$3)&gt;0, COUNTIF(P60:V60,Versiones!$H$3)&gt;0), "Sprint 16", OR(COUNTIF(P60:V60,Versiones!$G$2)&gt;0, COUNTIF(P60:V60,Versiones!$H$2)&gt;0, COUNTIF(P60:V60,Versiones!$G$3)&gt;0, COUNTIF(P60:V60,Versiones!$H$3)&gt;0), "Sprint 16",TRUE, "")</f>
        <v>Sprint 19</v>
      </c>
      <c r="AF60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60" t="str" cm="1">
        <f t="array" ref="AG60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60" s="24" t="str" cm="1">
        <f t="array" ref="AH60">_xlfn.IFS(COUNTIF(P60:V60, Versiones!$A$13)&gt;0, "Funcional", COUNTIF(P60:V60, Versiones!$A$14)&gt;0, "Configuración", COUNTIF(P60:V60, Versiones!$A$15)&gt;0, "Look&amp;Feel", COUNTIF(P60:V60, Versiones!$A$16)&gt;0, "Integración", COUNTIF(P60:V60, Versiones!$A$17)&gt;0, "Contenido/Datos", COUNTIF(P60:V60, Versiones!$A$18)&gt;0, "Eventos_Cosmos", COUNTIF(P60:V60, Versiones!$A$19)&gt;0, "Eventos_iOT", COUNTIF(P60:V60, Versiones!$A$20)&gt;0, "Eventos_Fabric", TRUE, "No encontrado")</f>
        <v>Eventos_iOT</v>
      </c>
    </row>
    <row r="61" spans="1:34">
      <c r="A61" s="45" t="s">
        <v>35</v>
      </c>
      <c r="B61" s="45" t="s">
        <v>242</v>
      </c>
      <c r="C61" s="45">
        <v>96996</v>
      </c>
      <c r="D61" s="45" t="s">
        <v>243</v>
      </c>
      <c r="E61" s="45">
        <v>87100</v>
      </c>
      <c r="F61" s="45" t="s">
        <v>38</v>
      </c>
      <c r="G61" s="45" t="s">
        <v>39</v>
      </c>
      <c r="H61" s="45" t="s">
        <v>40</v>
      </c>
      <c r="I61" s="45" t="s">
        <v>84</v>
      </c>
      <c r="J61" s="45" t="s">
        <v>108</v>
      </c>
      <c r="K61" s="45" t="s">
        <v>97</v>
      </c>
      <c r="L61" s="45"/>
      <c r="M61" s="45"/>
      <c r="N61" s="45"/>
      <c r="O61" s="45"/>
      <c r="P61" s="45" t="s">
        <v>43</v>
      </c>
      <c r="Q61" s="45" t="s">
        <v>236</v>
      </c>
      <c r="R61" s="45" t="s">
        <v>100</v>
      </c>
      <c r="S61" s="45" t="s">
        <v>103</v>
      </c>
      <c r="T61" s="45"/>
      <c r="U61" s="45"/>
      <c r="V61" s="45"/>
      <c r="W61" s="45" t="s">
        <v>244</v>
      </c>
      <c r="X61" s="60">
        <v>45924.73541666667</v>
      </c>
      <c r="Y61" s="45" t="s">
        <v>186</v>
      </c>
      <c r="Z61" s="45"/>
      <c r="AA61" s="45"/>
      <c r="AB61" t="str">
        <f>IF(LEFT(Jira__32[[#This Row],[Resumen]],3)="POS","POS",IF(LEFT(Jira__32[[#This Row],[Resumen]],3)="BOT","BOT",""))</f>
        <v>BOT</v>
      </c>
      <c r="AC61" s="10" t="s">
        <v>173</v>
      </c>
      <c r="AE61" s="24" t="str" cm="1">
        <f t="array" ref="AE61">_xlfn.IFS(OR(COUNTIF(P61:V61,Versiones!$G$9)&gt;0, COUNTIF(P61:V61,Versiones!$H$8)&gt;0), "Sprint 21",OR(COUNTIF(P61:V61,Versiones!$G$8)&gt;0, COUNTIF(P61:V61,Versiones!$H$8)&gt;0, COUNTIF(P61:V61,Versiones!$I$8)&gt;0), "Sprint 20",OR(COUNTIF(P61:V61,Versiones!$G$7)&gt;0, COUNTIF(P61:V61,Versiones!$H$7)&gt;0, COUNTIF(P61:V61,Versiones!$I$7)&gt;0), "Sprint 19",OR(COUNTIF(P61:V61,Versiones!$G$6)&gt;0, COUNTIF(P61:V61,Versiones!$H$6)&gt;0, COUNTIF(P61:V61,Versiones!$I$6)&gt;0), "Sprint 18",OR(COUNTIF(P61:V61,Versiones!$G$4)&gt;0, COUNTIF(P61:V61,Versiones!$H$4)&gt;0, COUNTIF(P61:V61,Versiones!$G$5)&gt;0, COUNTIF(P61:V61,Versiones!$H$5)&gt;0), "Sprint 17",OR(COUNTIF(P61:V61,Versiones!$G$2)&gt;0, COUNTIF(P61:V61,Versiones!$H$2)&gt;0, COUNTIF(P61:V61,Versiones!$G$3)&gt;0, COUNTIF(P61:V61,Versiones!$H$3)&gt;0), "Sprint 16", OR(COUNTIF(P61:V61,Versiones!$G$2)&gt;0, COUNTIF(P61:V61,Versiones!$H$2)&gt;0, COUNTIF(P61:V61,Versiones!$G$3)&gt;0, COUNTIF(P61:V61,Versiones!$H$3)&gt;0), "Sprint 16",TRUE, "")</f>
        <v>Sprint 19</v>
      </c>
      <c r="AF61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v0.8</v>
      </c>
      <c r="AG61" t="str" cm="1">
        <f t="array" ref="AG61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20</v>
      </c>
      <c r="AH61" s="24" t="str" cm="1">
        <f t="array" ref="AH61">_xlfn.IFS(COUNTIF(P61:V61, Versiones!$A$13)&gt;0, "Funcional", COUNTIF(P61:V61, Versiones!$A$14)&gt;0, "Configuración", COUNTIF(P61:V61, Versiones!$A$15)&gt;0, "Look&amp;Feel", COUNTIF(P61:V61, Versiones!$A$16)&gt;0, "Integración", COUNTIF(P61:V61, Versiones!$A$17)&gt;0, "Contenido/Datos", COUNTIF(P61:V61, Versiones!$A$18)&gt;0, "Eventos_Cosmos", COUNTIF(P61:V61, Versiones!$A$19)&gt;0, "Eventos_iOT", COUNTIF(P61:V61, Versiones!$A$20)&gt;0, "Eventos_Fabric", TRUE, "No encontrado")</f>
        <v>Funcional</v>
      </c>
    </row>
    <row r="62" spans="1:34">
      <c r="A62" s="45" t="s">
        <v>35</v>
      </c>
      <c r="B62" s="45" t="s">
        <v>245</v>
      </c>
      <c r="C62" s="45">
        <v>96993</v>
      </c>
      <c r="D62" s="45" t="s">
        <v>246</v>
      </c>
      <c r="E62" s="45">
        <v>87100</v>
      </c>
      <c r="F62" s="45" t="s">
        <v>38</v>
      </c>
      <c r="G62" s="45" t="s">
        <v>39</v>
      </c>
      <c r="H62" s="45" t="s">
        <v>54</v>
      </c>
      <c r="I62" s="45" t="s">
        <v>41</v>
      </c>
      <c r="J62" s="45" t="s">
        <v>108</v>
      </c>
      <c r="K62" s="45" t="s">
        <v>97</v>
      </c>
      <c r="L62" s="45"/>
      <c r="M62" s="45"/>
      <c r="N62" s="45"/>
      <c r="O62" s="45"/>
      <c r="P62" s="45" t="s">
        <v>129</v>
      </c>
      <c r="Q62" s="45" t="s">
        <v>229</v>
      </c>
      <c r="R62" s="45"/>
      <c r="S62" s="45"/>
      <c r="T62" s="45"/>
      <c r="U62" s="45"/>
      <c r="V62" s="45"/>
      <c r="W62" s="45" t="s">
        <v>185</v>
      </c>
      <c r="X62" s="60">
        <v>45924.728472222225</v>
      </c>
      <c r="Y62" s="45" t="s">
        <v>109</v>
      </c>
      <c r="Z62" s="45"/>
      <c r="AA62" s="45"/>
      <c r="AB62" t="str">
        <f>IF(LEFT(Jira__32[[#This Row],[Resumen]],3)="POS","POS",IF(LEFT(Jira__32[[#This Row],[Resumen]],3)="BOT","BOT",""))</f>
        <v>BOT</v>
      </c>
      <c r="AC62" s="10" t="s">
        <v>173</v>
      </c>
      <c r="AE62" s="24" t="str" cm="1">
        <f t="array" ref="AE62">_xlfn.IFS(OR(COUNTIF(P62:V62,Versiones!$G$9)&gt;0, COUNTIF(P62:V62,Versiones!$H$8)&gt;0), "Sprint 21",OR(COUNTIF(P62:V62,Versiones!$G$8)&gt;0, COUNTIF(P62:V62,Versiones!$H$8)&gt;0, COUNTIF(P62:V62,Versiones!$I$8)&gt;0), "Sprint 20",OR(COUNTIF(P62:V62,Versiones!$G$7)&gt;0, COUNTIF(P62:V62,Versiones!$H$7)&gt;0, COUNTIF(P62:V62,Versiones!$I$7)&gt;0), "Sprint 19",OR(COUNTIF(P62:V62,Versiones!$G$6)&gt;0, COUNTIF(P62:V62,Versiones!$H$6)&gt;0, COUNTIF(P62:V62,Versiones!$I$6)&gt;0), "Sprint 18",OR(COUNTIF(P62:V62,Versiones!$G$4)&gt;0, COUNTIF(P62:V62,Versiones!$H$4)&gt;0, COUNTIF(P62:V62,Versiones!$G$5)&gt;0, COUNTIF(P62:V62,Versiones!$H$5)&gt;0), "Sprint 17",OR(COUNTIF(P62:V62,Versiones!$G$2)&gt;0, COUNTIF(P62:V62,Versiones!$H$2)&gt;0, COUNTIF(P62:V62,Versiones!$G$3)&gt;0, COUNTIF(P62:V62,Versiones!$H$3)&gt;0), "Sprint 16", OR(COUNTIF(P62:V62,Versiones!$G$2)&gt;0, COUNTIF(P62:V62,Versiones!$H$2)&gt;0, COUNTIF(P62:V62,Versiones!$G$3)&gt;0, COUNTIF(P62:V62,Versiones!$H$3)&gt;0), "Sprint 16",TRUE, "")</f>
        <v>Sprint 19</v>
      </c>
      <c r="AF62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62" t="str" cm="1">
        <f t="array" ref="AG62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62" s="24" t="str" cm="1">
        <f t="array" ref="AH62">_xlfn.IFS(COUNTIF(P62:V62, Versiones!$A$13)&gt;0, "Funcional", COUNTIF(P62:V62, Versiones!$A$14)&gt;0, "Configuración", COUNTIF(P62:V62, Versiones!$A$15)&gt;0, "Look&amp;Feel", COUNTIF(P62:V62, Versiones!$A$16)&gt;0, "Integración", COUNTIF(P62:V62, Versiones!$A$17)&gt;0, "Contenido/Datos", COUNTIF(P62:V62, Versiones!$A$18)&gt;0, "Eventos_Cosmos", COUNTIF(P62:V62, Versiones!$A$19)&gt;0, "Eventos_iOT", COUNTIF(P62:V62, Versiones!$A$20)&gt;0, "Eventos_Fabric", TRUE, "No encontrado")</f>
        <v>Eventos_iOT</v>
      </c>
    </row>
    <row r="63" spans="1:34">
      <c r="A63" s="45" t="s">
        <v>35</v>
      </c>
      <c r="B63" s="45" t="s">
        <v>247</v>
      </c>
      <c r="C63" s="45">
        <v>96991</v>
      </c>
      <c r="D63" s="45" t="s">
        <v>248</v>
      </c>
      <c r="E63" s="45">
        <v>87100</v>
      </c>
      <c r="F63" s="45" t="s">
        <v>38</v>
      </c>
      <c r="G63" s="45" t="s">
        <v>39</v>
      </c>
      <c r="H63" s="45" t="s">
        <v>249</v>
      </c>
      <c r="I63" s="45" t="s">
        <v>41</v>
      </c>
      <c r="J63" s="45" t="s">
        <v>97</v>
      </c>
      <c r="K63" s="45"/>
      <c r="L63" s="45"/>
      <c r="M63" s="45"/>
      <c r="N63" s="45"/>
      <c r="O63" s="45"/>
      <c r="P63" s="45" t="s">
        <v>55</v>
      </c>
      <c r="Q63" s="45" t="s">
        <v>236</v>
      </c>
      <c r="R63" s="45"/>
      <c r="S63" s="45"/>
      <c r="T63" s="45"/>
      <c r="U63" s="45"/>
      <c r="V63" s="45"/>
      <c r="W63" s="45" t="s">
        <v>244</v>
      </c>
      <c r="X63" s="60">
        <v>45924.727777777778</v>
      </c>
      <c r="Y63" s="45"/>
      <c r="Z63" s="45"/>
      <c r="AA63" s="45"/>
      <c r="AB63" t="str">
        <f>IF(LEFT(Jira__32[[#This Row],[Resumen]],3)="POS","POS",IF(LEFT(Jira__32[[#This Row],[Resumen]],3)="BOT","BOT",""))</f>
        <v>BOT</v>
      </c>
      <c r="AC63" s="10" t="s">
        <v>173</v>
      </c>
      <c r="AE63" s="24" t="str" cm="1">
        <f t="array" ref="AE63">_xlfn.IFS(OR(COUNTIF(P63:V63,Versiones!$G$9)&gt;0, COUNTIF(P63:V63,Versiones!$H$8)&gt;0), "Sprint 21",OR(COUNTIF(P63:V63,Versiones!$G$8)&gt;0, COUNTIF(P63:V63,Versiones!$H$8)&gt;0, COUNTIF(P63:V63,Versiones!$I$8)&gt;0), "Sprint 20",OR(COUNTIF(P63:V63,Versiones!$G$7)&gt;0, COUNTIF(P63:V63,Versiones!$H$7)&gt;0, COUNTIF(P63:V63,Versiones!$I$7)&gt;0), "Sprint 19",OR(COUNTIF(P63:V63,Versiones!$G$6)&gt;0, COUNTIF(P63:V63,Versiones!$H$6)&gt;0, COUNTIF(P63:V63,Versiones!$I$6)&gt;0), "Sprint 18",OR(COUNTIF(P63:V63,Versiones!$G$4)&gt;0, COUNTIF(P63:V63,Versiones!$H$4)&gt;0, COUNTIF(P63:V63,Versiones!$G$5)&gt;0, COUNTIF(P63:V63,Versiones!$H$5)&gt;0), "Sprint 17",OR(COUNTIF(P63:V63,Versiones!$G$2)&gt;0, COUNTIF(P63:V63,Versiones!$H$2)&gt;0, COUNTIF(P63:V63,Versiones!$G$3)&gt;0, COUNTIF(P63:V63,Versiones!$H$3)&gt;0), "Sprint 16", OR(COUNTIF(P63:V63,Versiones!$G$2)&gt;0, COUNTIF(P63:V63,Versiones!$H$2)&gt;0, COUNTIF(P63:V63,Versiones!$G$3)&gt;0, COUNTIF(P63:V63,Versiones!$H$3)&gt;0), "Sprint 16",TRUE, "")</f>
        <v>Sprint 19</v>
      </c>
      <c r="AF63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63" t="str" cm="1">
        <f t="array" ref="AG6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63" s="24" t="str" cm="1">
        <f t="array" ref="AH63">_xlfn.IFS(COUNTIF(P63:V63, Versiones!$A$13)&gt;0, "Funcional", COUNTIF(P63:V63, Versiones!$A$14)&gt;0, "Configuración", COUNTIF(P63:V63, Versiones!$A$15)&gt;0, "Look&amp;Feel", COUNTIF(P63:V63, Versiones!$A$16)&gt;0, "Integración", COUNTIF(P63:V63, Versiones!$A$17)&gt;0, "Contenido/Datos", COUNTIF(P63:V63, Versiones!$A$18)&gt;0, "Eventos_Cosmos", COUNTIF(P63:V63, Versiones!$A$19)&gt;0, "Eventos_iOT", COUNTIF(P63:V63, Versiones!$A$20)&gt;0, "Eventos_Fabric", TRUE, "No encontrado")</f>
        <v>Look&amp;Feel</v>
      </c>
    </row>
    <row r="64" spans="1:34">
      <c r="A64" s="45" t="s">
        <v>35</v>
      </c>
      <c r="B64" s="45" t="s">
        <v>250</v>
      </c>
      <c r="C64" s="45">
        <v>96982</v>
      </c>
      <c r="D64" s="45" t="s">
        <v>251</v>
      </c>
      <c r="E64" s="45">
        <v>87100</v>
      </c>
      <c r="F64" s="45" t="s">
        <v>38</v>
      </c>
      <c r="G64" s="45" t="s">
        <v>39</v>
      </c>
      <c r="H64" s="45" t="s">
        <v>54</v>
      </c>
      <c r="I64" s="45" t="s">
        <v>41</v>
      </c>
      <c r="J64" s="45" t="s">
        <v>108</v>
      </c>
      <c r="K64" s="45" t="s">
        <v>97</v>
      </c>
      <c r="L64" s="45"/>
      <c r="M64" s="45"/>
      <c r="N64" s="45"/>
      <c r="O64" s="45"/>
      <c r="P64" s="45" t="s">
        <v>252</v>
      </c>
      <c r="Q64" s="45" t="s">
        <v>55</v>
      </c>
      <c r="R64" s="45" t="s">
        <v>236</v>
      </c>
      <c r="S64" s="45" t="s">
        <v>100</v>
      </c>
      <c r="T64" s="45" t="s">
        <v>103</v>
      </c>
      <c r="U64" s="45"/>
      <c r="V64" s="45"/>
      <c r="W64" s="45" t="s">
        <v>244</v>
      </c>
      <c r="X64" s="60">
        <v>45924.713194444441</v>
      </c>
      <c r="Y64" s="45" t="s">
        <v>186</v>
      </c>
      <c r="Z64" s="45"/>
      <c r="AA64" s="45"/>
      <c r="AB64" t="str">
        <f>IF(LEFT(Jira__32[[#This Row],[Resumen]],3)="POS","POS",IF(LEFT(Jira__32[[#This Row],[Resumen]],3)="BOT","BOT",""))</f>
        <v>BOT</v>
      </c>
      <c r="AC64" s="10" t="s">
        <v>176</v>
      </c>
      <c r="AE64" s="24" t="str" cm="1">
        <f t="array" ref="AE64">_xlfn.IFS(OR(COUNTIF(P64:V64,Versiones!$G$9)&gt;0, COUNTIF(P64:V64,Versiones!$H$8)&gt;0), "Sprint 21",OR(COUNTIF(P64:V64,Versiones!$G$8)&gt;0, COUNTIF(P64:V64,Versiones!$H$8)&gt;0, COUNTIF(P64:V64,Versiones!$I$8)&gt;0), "Sprint 20",OR(COUNTIF(P64:V64,Versiones!$G$7)&gt;0, COUNTIF(P64:V64,Versiones!$H$7)&gt;0, COUNTIF(P64:V64,Versiones!$I$7)&gt;0), "Sprint 19",OR(COUNTIF(P64:V64,Versiones!$G$6)&gt;0, COUNTIF(P64:V64,Versiones!$H$6)&gt;0, COUNTIF(P64:V64,Versiones!$I$6)&gt;0), "Sprint 18",OR(COUNTIF(P64:V64,Versiones!$G$4)&gt;0, COUNTIF(P64:V64,Versiones!$H$4)&gt;0, COUNTIF(P64:V64,Versiones!$G$5)&gt;0, COUNTIF(P64:V64,Versiones!$H$5)&gt;0), "Sprint 17",OR(COUNTIF(P64:V64,Versiones!$G$2)&gt;0, COUNTIF(P64:V64,Versiones!$H$2)&gt;0, COUNTIF(P64:V64,Versiones!$G$3)&gt;0, COUNTIF(P64:V64,Versiones!$H$3)&gt;0), "Sprint 16", OR(COUNTIF(P64:V64,Versiones!$G$2)&gt;0, COUNTIF(P64:V64,Versiones!$H$2)&gt;0, COUNTIF(P64:V64,Versiones!$G$3)&gt;0, COUNTIF(P64:V64,Versiones!$H$3)&gt;0), "Sprint 16",TRUE, "")</f>
        <v>Sprint 19</v>
      </c>
      <c r="AF64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v0.8</v>
      </c>
      <c r="AG64" t="str" cm="1">
        <f t="array" ref="AG6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20</v>
      </c>
      <c r="AH64" s="24" t="str" cm="1">
        <f t="array" ref="AH64">_xlfn.IFS(COUNTIF(P64:V64, Versiones!$A$13)&gt;0, "Funcional", COUNTIF(P64:V64, Versiones!$A$14)&gt;0, "Configuración", COUNTIF(P64:V64, Versiones!$A$15)&gt;0, "Look&amp;Feel", COUNTIF(P64:V64, Versiones!$A$16)&gt;0, "Integración", COUNTIF(P64:V64, Versiones!$A$17)&gt;0, "Contenido/Datos", COUNTIF(P64:V64, Versiones!$A$18)&gt;0, "Eventos_Cosmos", COUNTIF(P64:V64, Versiones!$A$19)&gt;0, "Eventos_iOT", COUNTIF(P64:V64, Versiones!$A$20)&gt;0, "Eventos_Fabric", TRUE, "No encontrado")</f>
        <v>Look&amp;Feel</v>
      </c>
    </row>
    <row r="65" spans="1:34">
      <c r="A65" s="45" t="s">
        <v>35</v>
      </c>
      <c r="B65" s="45" t="s">
        <v>253</v>
      </c>
      <c r="C65" s="45">
        <v>96978</v>
      </c>
      <c r="D65" s="45" t="s">
        <v>254</v>
      </c>
      <c r="E65" s="45">
        <v>87100</v>
      </c>
      <c r="F65" s="45" t="s">
        <v>38</v>
      </c>
      <c r="G65" s="45" t="s">
        <v>39</v>
      </c>
      <c r="H65" s="45" t="s">
        <v>54</v>
      </c>
      <c r="I65" s="45" t="s">
        <v>41</v>
      </c>
      <c r="J65" s="45" t="s">
        <v>97</v>
      </c>
      <c r="K65" s="45"/>
      <c r="L65" s="45"/>
      <c r="M65" s="45"/>
      <c r="N65" s="45"/>
      <c r="O65" s="45"/>
      <c r="P65" s="45" t="s">
        <v>55</v>
      </c>
      <c r="Q65" s="45" t="s">
        <v>236</v>
      </c>
      <c r="R65" s="45"/>
      <c r="S65" s="45"/>
      <c r="T65" s="45"/>
      <c r="U65" s="45"/>
      <c r="V65" s="45"/>
      <c r="W65" s="45" t="s">
        <v>237</v>
      </c>
      <c r="X65" s="60">
        <v>45924.706250000003</v>
      </c>
      <c r="Y65" s="45"/>
      <c r="Z65" s="45"/>
      <c r="AA65" s="45"/>
      <c r="AB65" t="str">
        <f>IF(LEFT(Jira__32[[#This Row],[Resumen]],3)="POS","POS",IF(LEFT(Jira__32[[#This Row],[Resumen]],3)="BOT","BOT",""))</f>
        <v>POS</v>
      </c>
      <c r="AC65" s="10" t="s">
        <v>176</v>
      </c>
      <c r="AE65" s="24" t="str" cm="1">
        <f t="array" ref="AE65">_xlfn.IFS(OR(COUNTIF(P65:V65,Versiones!$G$9)&gt;0, COUNTIF(P65:V65,Versiones!$H$8)&gt;0), "Sprint 21",OR(COUNTIF(P65:V65,Versiones!$G$8)&gt;0, COUNTIF(P65:V65,Versiones!$H$8)&gt;0, COUNTIF(P65:V65,Versiones!$I$8)&gt;0), "Sprint 20",OR(COUNTIF(P65:V65,Versiones!$G$7)&gt;0, COUNTIF(P65:V65,Versiones!$H$7)&gt;0, COUNTIF(P65:V65,Versiones!$I$7)&gt;0), "Sprint 19",OR(COUNTIF(P65:V65,Versiones!$G$6)&gt;0, COUNTIF(P65:V65,Versiones!$H$6)&gt;0, COUNTIF(P65:V65,Versiones!$I$6)&gt;0), "Sprint 18",OR(COUNTIF(P65:V65,Versiones!$G$4)&gt;0, COUNTIF(P65:V65,Versiones!$H$4)&gt;0, COUNTIF(P65:V65,Versiones!$G$5)&gt;0, COUNTIF(P65:V65,Versiones!$H$5)&gt;0), "Sprint 17",OR(COUNTIF(P65:V65,Versiones!$G$2)&gt;0, COUNTIF(P65:V65,Versiones!$H$2)&gt;0, COUNTIF(P65:V65,Versiones!$G$3)&gt;0, COUNTIF(P65:V65,Versiones!$H$3)&gt;0), "Sprint 16", OR(COUNTIF(P65:V65,Versiones!$G$2)&gt;0, COUNTIF(P65:V65,Versiones!$H$2)&gt;0, COUNTIF(P65:V65,Versiones!$G$3)&gt;0, COUNTIF(P65:V65,Versiones!$H$3)&gt;0), "Sprint 16",TRUE, "")</f>
        <v>Sprint 19</v>
      </c>
      <c r="AF65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65" t="str" cm="1">
        <f t="array" ref="AG6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65" s="24" t="str" cm="1">
        <f t="array" ref="AH65">_xlfn.IFS(COUNTIF(P65:V65, Versiones!$A$13)&gt;0, "Funcional", COUNTIF(P65:V65, Versiones!$A$14)&gt;0, "Configuración", COUNTIF(P65:V65, Versiones!$A$15)&gt;0, "Look&amp;Feel", COUNTIF(P65:V65, Versiones!$A$16)&gt;0, "Integración", COUNTIF(P65:V65, Versiones!$A$17)&gt;0, "Contenido/Datos", COUNTIF(P65:V65, Versiones!$A$18)&gt;0, "Eventos_Cosmos", COUNTIF(P65:V65, Versiones!$A$19)&gt;0, "Eventos_iOT", COUNTIF(P65:V65, Versiones!$A$20)&gt;0, "Eventos_Fabric", TRUE, "No encontrado")</f>
        <v>Look&amp;Feel</v>
      </c>
    </row>
    <row r="66" spans="1:34">
      <c r="A66" s="45" t="s">
        <v>35</v>
      </c>
      <c r="B66" s="45" t="s">
        <v>255</v>
      </c>
      <c r="C66" s="45">
        <v>96732</v>
      </c>
      <c r="D66" s="45" t="s">
        <v>256</v>
      </c>
      <c r="E66" s="45">
        <v>87100</v>
      </c>
      <c r="F66" s="45" t="s">
        <v>38</v>
      </c>
      <c r="G66" s="45" t="s">
        <v>39</v>
      </c>
      <c r="H66" s="45" t="s">
        <v>249</v>
      </c>
      <c r="I66" s="45" t="s">
        <v>80</v>
      </c>
      <c r="J66" s="45" t="s">
        <v>97</v>
      </c>
      <c r="K66" s="45"/>
      <c r="L66" s="45"/>
      <c r="M66" s="45"/>
      <c r="N66" s="45"/>
      <c r="O66" s="45"/>
      <c r="P66" s="45" t="s">
        <v>64</v>
      </c>
      <c r="Q66" s="45" t="s">
        <v>236</v>
      </c>
      <c r="R66" s="45"/>
      <c r="S66" s="45"/>
      <c r="T66" s="45"/>
      <c r="U66" s="45"/>
      <c r="V66" s="45"/>
      <c r="W66" s="45" t="s">
        <v>257</v>
      </c>
      <c r="X66" s="60">
        <v>45923.729166666664</v>
      </c>
      <c r="Y66" s="45"/>
      <c r="Z66" s="45"/>
      <c r="AA66" s="45"/>
      <c r="AB66" t="str">
        <f>IF(LEFT(Jira__32[[#This Row],[Resumen]],3)="POS","POS",IF(LEFT(Jira__32[[#This Row],[Resumen]],3)="BOT","BOT",""))</f>
        <v>POS</v>
      </c>
      <c r="AC66" s="13" t="s">
        <v>80</v>
      </c>
      <c r="AE66" s="24" t="str" cm="1">
        <f t="array" ref="AE66">_xlfn.IFS(OR(COUNTIF(P66:V66,Versiones!$G$9)&gt;0, COUNTIF(P66:V66,Versiones!$H$8)&gt;0), "Sprint 21",OR(COUNTIF(P66:V66,Versiones!$G$8)&gt;0, COUNTIF(P66:V66,Versiones!$H$8)&gt;0, COUNTIF(P66:V66,Versiones!$I$8)&gt;0), "Sprint 20",OR(COUNTIF(P66:V66,Versiones!$G$7)&gt;0, COUNTIF(P66:V66,Versiones!$H$7)&gt;0, COUNTIF(P66:V66,Versiones!$I$7)&gt;0), "Sprint 19",OR(COUNTIF(P66:V66,Versiones!$G$6)&gt;0, COUNTIF(P66:V66,Versiones!$H$6)&gt;0, COUNTIF(P66:V66,Versiones!$I$6)&gt;0), "Sprint 18",OR(COUNTIF(P66:V66,Versiones!$G$4)&gt;0, COUNTIF(P66:V66,Versiones!$H$4)&gt;0, COUNTIF(P66:V66,Versiones!$G$5)&gt;0, COUNTIF(P66:V66,Versiones!$H$5)&gt;0), "Sprint 17",OR(COUNTIF(P66:V66,Versiones!$G$2)&gt;0, COUNTIF(P66:V66,Versiones!$H$2)&gt;0, COUNTIF(P66:V66,Versiones!$G$3)&gt;0, COUNTIF(P66:V66,Versiones!$H$3)&gt;0), "Sprint 16", OR(COUNTIF(P66:V66,Versiones!$G$2)&gt;0, COUNTIF(P66:V66,Versiones!$H$2)&gt;0, COUNTIF(P66:V66,Versiones!$G$3)&gt;0, COUNTIF(P66:V66,Versiones!$H$3)&gt;0), "Sprint 16",TRUE, "")</f>
        <v>Sprint 19</v>
      </c>
      <c r="AF66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66" t="str" cm="1">
        <f t="array" ref="AG6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66" s="24" t="str" cm="1">
        <f t="array" ref="AH66">_xlfn.IFS(COUNTIF(P66:V66, Versiones!$A$13)&gt;0, "Funcional", COUNTIF(P66:V66, Versiones!$A$14)&gt;0, "Configuración", COUNTIF(P66:V66, Versiones!$A$15)&gt;0, "Look&amp;Feel", COUNTIF(P66:V66, Versiones!$A$16)&gt;0, "Integración", COUNTIF(P66:V66, Versiones!$A$17)&gt;0, "Contenido/Datos", COUNTIF(P66:V66, Versiones!$A$18)&gt;0, "Eventos_Cosmos", COUNTIF(P66:V66, Versiones!$A$19)&gt;0, "Eventos_iOT", COUNTIF(P66:V66, Versiones!$A$20)&gt;0, "Eventos_Fabric", TRUE, "No encontrado")</f>
        <v>Contenido/Datos</v>
      </c>
    </row>
    <row r="67" spans="1:34">
      <c r="A67" s="45" t="s">
        <v>35</v>
      </c>
      <c r="B67" s="45" t="s">
        <v>258</v>
      </c>
      <c r="C67" s="45">
        <v>96711</v>
      </c>
      <c r="D67" s="45" t="s">
        <v>259</v>
      </c>
      <c r="E67" s="45">
        <v>87100</v>
      </c>
      <c r="F67" s="45" t="s">
        <v>38</v>
      </c>
      <c r="G67" s="45" t="s">
        <v>39</v>
      </c>
      <c r="H67" s="45" t="s">
        <v>249</v>
      </c>
      <c r="I67" s="45" t="s">
        <v>41</v>
      </c>
      <c r="J67" s="45" t="s">
        <v>97</v>
      </c>
      <c r="K67" s="45"/>
      <c r="L67" s="45"/>
      <c r="M67" s="45"/>
      <c r="N67" s="45"/>
      <c r="O67" s="45"/>
      <c r="P67" s="45" t="s">
        <v>260</v>
      </c>
      <c r="Q67" s="45" t="s">
        <v>236</v>
      </c>
      <c r="R67" s="45"/>
      <c r="S67" s="45"/>
      <c r="T67" s="45"/>
      <c r="U67" s="45"/>
      <c r="V67" s="45"/>
      <c r="W67" s="45" t="s">
        <v>257</v>
      </c>
      <c r="X67" s="60">
        <v>45923.706250000003</v>
      </c>
      <c r="Y67" s="45"/>
      <c r="Z67" s="45"/>
      <c r="AA67" s="45"/>
      <c r="AB67" t="str">
        <f>IF(LEFT(Jira__32[[#This Row],[Resumen]],3)="POS","POS",IF(LEFT(Jira__32[[#This Row],[Resumen]],3)="BOT","BOT",""))</f>
        <v>POS</v>
      </c>
      <c r="AC67" s="10" t="s">
        <v>176</v>
      </c>
      <c r="AE67" s="24" t="str" cm="1">
        <f t="array" ref="AE67">_xlfn.IFS(OR(COUNTIF(P67:V67,Versiones!$G$9)&gt;0, COUNTIF(P67:V67,Versiones!$H$8)&gt;0), "Sprint 21",OR(COUNTIF(P67:V67,Versiones!$G$8)&gt;0, COUNTIF(P67:V67,Versiones!$H$8)&gt;0, COUNTIF(P67:V67,Versiones!$I$8)&gt;0), "Sprint 20",OR(COUNTIF(P67:V67,Versiones!$G$7)&gt;0, COUNTIF(P67:V67,Versiones!$H$7)&gt;0, COUNTIF(P67:V67,Versiones!$I$7)&gt;0), "Sprint 19",OR(COUNTIF(P67:V67,Versiones!$G$6)&gt;0, COUNTIF(P67:V67,Versiones!$H$6)&gt;0, COUNTIF(P67:V67,Versiones!$I$6)&gt;0), "Sprint 18",OR(COUNTIF(P67:V67,Versiones!$G$4)&gt;0, COUNTIF(P67:V67,Versiones!$H$4)&gt;0, COUNTIF(P67:V67,Versiones!$G$5)&gt;0, COUNTIF(P67:V67,Versiones!$H$5)&gt;0), "Sprint 17",OR(COUNTIF(P67:V67,Versiones!$G$2)&gt;0, COUNTIF(P67:V67,Versiones!$H$2)&gt;0, COUNTIF(P67:V67,Versiones!$G$3)&gt;0, COUNTIF(P67:V67,Versiones!$H$3)&gt;0), "Sprint 16", OR(COUNTIF(P67:V67,Versiones!$G$2)&gt;0, COUNTIF(P67:V67,Versiones!$H$2)&gt;0, COUNTIF(P67:V67,Versiones!$G$3)&gt;0, COUNTIF(P67:V67,Versiones!$H$3)&gt;0), "Sprint 16",TRUE, "")</f>
        <v>Sprint 19</v>
      </c>
      <c r="AF67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67" t="str" cm="1">
        <f t="array" ref="AG6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67" s="24" t="str" cm="1">
        <f t="array" ref="AH67">_xlfn.IFS(COUNTIF(P67:V67, Versiones!$A$13)&gt;0, "Funcional", COUNTIF(P67:V67, Versiones!$A$14)&gt;0, "Configuración", COUNTIF(P67:V67, Versiones!$A$15)&gt;0, "Look&amp;Feel", COUNTIF(P67:V67, Versiones!$A$16)&gt;0, "Integración", COUNTIF(P67:V67, Versiones!$A$17)&gt;0, "Contenido/Datos", COUNTIF(P67:V67, Versiones!$A$18)&gt;0, "Eventos_Cosmos", COUNTIF(P67:V67, Versiones!$A$19)&gt;0, "Eventos_iOT", COUNTIF(P67:V67, Versiones!$A$20)&gt;0, "Eventos_Fabric", TRUE, "No encontrado")</f>
        <v>Configuración</v>
      </c>
    </row>
    <row r="68" spans="1:34">
      <c r="A68" s="45" t="s">
        <v>35</v>
      </c>
      <c r="B68" s="45" t="s">
        <v>261</v>
      </c>
      <c r="C68" s="45">
        <v>96292</v>
      </c>
      <c r="D68" s="45" t="s">
        <v>262</v>
      </c>
      <c r="E68" s="45">
        <v>87100</v>
      </c>
      <c r="F68" s="45" t="s">
        <v>38</v>
      </c>
      <c r="G68" s="45" t="s">
        <v>39</v>
      </c>
      <c r="H68" s="45" t="s">
        <v>249</v>
      </c>
      <c r="I68" s="45" t="s">
        <v>41</v>
      </c>
      <c r="J68" s="45" t="s">
        <v>97</v>
      </c>
      <c r="K68" s="45"/>
      <c r="L68" s="45"/>
      <c r="M68" s="45"/>
      <c r="N68" s="45"/>
      <c r="O68" s="45"/>
      <c r="P68" s="45" t="s">
        <v>55</v>
      </c>
      <c r="Q68" s="45" t="s">
        <v>236</v>
      </c>
      <c r="R68" s="45"/>
      <c r="S68" s="45"/>
      <c r="T68" s="45"/>
      <c r="U68" s="45"/>
      <c r="V68" s="45"/>
      <c r="W68" s="45" t="s">
        <v>263</v>
      </c>
      <c r="X68" s="60">
        <v>45922.543055555558</v>
      </c>
      <c r="Y68" s="45"/>
      <c r="Z68" s="45"/>
      <c r="AA68" s="45"/>
      <c r="AB68" t="str">
        <f>IF(LEFT(Jira__32[[#This Row],[Resumen]],3)="POS","POS",IF(LEFT(Jira__32[[#This Row],[Resumen]],3)="BOT","BOT",""))</f>
        <v>POS</v>
      </c>
      <c r="AC68" s="10" t="s">
        <v>176</v>
      </c>
      <c r="AE68" s="24" t="str" cm="1">
        <f t="array" ref="AE68">_xlfn.IFS(OR(COUNTIF(P68:V68,Versiones!$G$9)&gt;0, COUNTIF(P68:V68,Versiones!$H$8)&gt;0), "Sprint 21",OR(COUNTIF(P68:V68,Versiones!$G$8)&gt;0, COUNTIF(P68:V68,Versiones!$H$8)&gt;0, COUNTIF(P68:V68,Versiones!$I$8)&gt;0), "Sprint 20",OR(COUNTIF(P68:V68,Versiones!$G$7)&gt;0, COUNTIF(P68:V68,Versiones!$H$7)&gt;0, COUNTIF(P68:V68,Versiones!$I$7)&gt;0), "Sprint 19",OR(COUNTIF(P68:V68,Versiones!$G$6)&gt;0, COUNTIF(P68:V68,Versiones!$H$6)&gt;0, COUNTIF(P68:V68,Versiones!$I$6)&gt;0), "Sprint 18",OR(COUNTIF(P68:V68,Versiones!$G$4)&gt;0, COUNTIF(P68:V68,Versiones!$H$4)&gt;0, COUNTIF(P68:V68,Versiones!$G$5)&gt;0, COUNTIF(P68:V68,Versiones!$H$5)&gt;0), "Sprint 17",OR(COUNTIF(P68:V68,Versiones!$G$2)&gt;0, COUNTIF(P68:V68,Versiones!$H$2)&gt;0, COUNTIF(P68:V68,Versiones!$G$3)&gt;0, COUNTIF(P68:V68,Versiones!$H$3)&gt;0), "Sprint 16", OR(COUNTIF(P68:V68,Versiones!$G$2)&gt;0, COUNTIF(P68:V68,Versiones!$H$2)&gt;0, COUNTIF(P68:V68,Versiones!$G$3)&gt;0, COUNTIF(P68:V68,Versiones!$H$3)&gt;0), "Sprint 16",TRUE, "")</f>
        <v>Sprint 19</v>
      </c>
      <c r="AF68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68" t="str" cm="1">
        <f t="array" ref="AG6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68" s="24" t="str" cm="1">
        <f t="array" ref="AH68">_xlfn.IFS(COUNTIF(P68:V68, Versiones!$A$13)&gt;0, "Funcional", COUNTIF(P68:V68, Versiones!$A$14)&gt;0, "Configuración", COUNTIF(P68:V68, Versiones!$A$15)&gt;0, "Look&amp;Feel", COUNTIF(P68:V68, Versiones!$A$16)&gt;0, "Integración", COUNTIF(P68:V68, Versiones!$A$17)&gt;0, "Contenido/Datos", COUNTIF(P68:V68, Versiones!$A$18)&gt;0, "Eventos_Cosmos", COUNTIF(P68:V68, Versiones!$A$19)&gt;0, "Eventos_iOT", COUNTIF(P68:V68, Versiones!$A$20)&gt;0, "Eventos_Fabric", TRUE, "No encontrado")</f>
        <v>Look&amp;Feel</v>
      </c>
    </row>
    <row r="69" spans="1:34" ht="14.25" customHeight="1">
      <c r="A69" s="45" t="s">
        <v>35</v>
      </c>
      <c r="B69" s="45" t="s">
        <v>264</v>
      </c>
      <c r="C69" s="45">
        <v>96268</v>
      </c>
      <c r="D69" s="45" t="s">
        <v>265</v>
      </c>
      <c r="E69" s="45">
        <v>87100</v>
      </c>
      <c r="F69" s="45" t="s">
        <v>38</v>
      </c>
      <c r="G69" s="45" t="s">
        <v>39</v>
      </c>
      <c r="H69" s="45" t="s">
        <v>40</v>
      </c>
      <c r="I69" s="45" t="s">
        <v>87</v>
      </c>
      <c r="J69" s="45" t="s">
        <v>108</v>
      </c>
      <c r="K69" s="45" t="s">
        <v>42</v>
      </c>
      <c r="L69" s="45"/>
      <c r="M69" s="45"/>
      <c r="N69" s="45"/>
      <c r="O69" s="45"/>
      <c r="P69" s="45" t="s">
        <v>129</v>
      </c>
      <c r="Q69" s="45" t="s">
        <v>229</v>
      </c>
      <c r="R69" s="45" t="s">
        <v>100</v>
      </c>
      <c r="S69" s="45" t="s">
        <v>103</v>
      </c>
      <c r="T69" s="45"/>
      <c r="U69" s="45"/>
      <c r="V69" s="45"/>
      <c r="W69" s="45" t="s">
        <v>185</v>
      </c>
      <c r="X69" s="60">
        <v>45922.513194444444</v>
      </c>
      <c r="Y69" s="45" t="s">
        <v>266</v>
      </c>
      <c r="Z69" s="45"/>
      <c r="AA69" s="45"/>
      <c r="AB69" t="str">
        <f>IF(LEFT(Jira__32[[#This Row],[Resumen]],3)="POS","POS",IF(LEFT(Jira__32[[#This Row],[Resumen]],3)="BOT","BOT",""))</f>
        <v>BOT</v>
      </c>
      <c r="AC69" s="10" t="s">
        <v>176</v>
      </c>
      <c r="AE69" s="24" t="str" cm="1">
        <f t="array" ref="AE69">_xlfn.IFS(OR(COUNTIF(P69:V69,Versiones!$G$9)&gt;0, COUNTIF(P69:V69,Versiones!$H$8)&gt;0), "Sprint 21",OR(COUNTIF(P69:V69,Versiones!$G$8)&gt;0, COUNTIF(P69:V69,Versiones!$H$8)&gt;0, COUNTIF(P69:V69,Versiones!$I$8)&gt;0), "Sprint 20",OR(COUNTIF(P69:V69,Versiones!$G$7)&gt;0, COUNTIF(P69:V69,Versiones!$H$7)&gt;0, COUNTIF(P69:V69,Versiones!$I$7)&gt;0), "Sprint 19",OR(COUNTIF(P69:V69,Versiones!$G$6)&gt;0, COUNTIF(P69:V69,Versiones!$H$6)&gt;0, COUNTIF(P69:V69,Versiones!$I$6)&gt;0), "Sprint 18",OR(COUNTIF(P69:V69,Versiones!$G$4)&gt;0, COUNTIF(P69:V69,Versiones!$H$4)&gt;0, COUNTIF(P69:V69,Versiones!$G$5)&gt;0, COUNTIF(P69:V69,Versiones!$H$5)&gt;0), "Sprint 17",OR(COUNTIF(P69:V69,Versiones!$G$2)&gt;0, COUNTIF(P69:V69,Versiones!$H$2)&gt;0, COUNTIF(P69:V69,Versiones!$G$3)&gt;0, COUNTIF(P69:V69,Versiones!$H$3)&gt;0), "Sprint 16", OR(COUNTIF(P69:V69,Versiones!$G$2)&gt;0, COUNTIF(P69:V69,Versiones!$H$2)&gt;0, COUNTIF(P69:V69,Versiones!$G$3)&gt;0, COUNTIF(P69:V69,Versiones!$H$3)&gt;0), "Sprint 16",TRUE, "")</f>
        <v>Sprint 19</v>
      </c>
      <c r="AF69" s="24" t="s">
        <v>266</v>
      </c>
      <c r="AG69" t="s">
        <v>50</v>
      </c>
      <c r="AH69" s="24" t="str" cm="1">
        <f t="array" ref="AH69">_xlfn.IFS(COUNTIF(P69:V69, Versiones!$A$13)&gt;0, "Funcional", COUNTIF(P69:V69, Versiones!$A$14)&gt;0, "Configuración", COUNTIF(P69:V69, Versiones!$A$15)&gt;0, "Look&amp;Feel", COUNTIF(P69:V69, Versiones!$A$16)&gt;0, "Integración", COUNTIF(P69:V69, Versiones!$A$17)&gt;0, "Contenido/Datos", COUNTIF(P69:V69, Versiones!$A$18)&gt;0, "Eventos_Cosmos", COUNTIF(P69:V69, Versiones!$A$19)&gt;0, "Eventos_iOT", COUNTIF(P69:V69, Versiones!$A$20)&gt;0, "Eventos_Fabric", TRUE, "No encontrado")</f>
        <v>Eventos_iOT</v>
      </c>
    </row>
    <row r="70" spans="1:34">
      <c r="A70" s="45" t="s">
        <v>35</v>
      </c>
      <c r="B70" s="45" t="s">
        <v>267</v>
      </c>
      <c r="C70" s="45">
        <v>95951</v>
      </c>
      <c r="D70" s="45" t="s">
        <v>268</v>
      </c>
      <c r="E70" s="45">
        <v>87100</v>
      </c>
      <c r="F70" s="45" t="s">
        <v>38</v>
      </c>
      <c r="G70" s="45" t="s">
        <v>39</v>
      </c>
      <c r="H70" s="45" t="s">
        <v>54</v>
      </c>
      <c r="I70" s="45" t="s">
        <v>41</v>
      </c>
      <c r="J70" s="45" t="s">
        <v>97</v>
      </c>
      <c r="K70" s="45"/>
      <c r="L70" s="45"/>
      <c r="M70" s="45"/>
      <c r="N70" s="45"/>
      <c r="O70" s="45"/>
      <c r="P70" s="45" t="s">
        <v>43</v>
      </c>
      <c r="Q70" s="45" t="s">
        <v>229</v>
      </c>
      <c r="R70" s="45"/>
      <c r="S70" s="45"/>
      <c r="T70" s="45"/>
      <c r="U70" s="45"/>
      <c r="V70" s="45"/>
      <c r="W70" s="45" t="s">
        <v>45</v>
      </c>
      <c r="X70" s="60">
        <v>45919.645833333336</v>
      </c>
      <c r="Y70" s="45"/>
      <c r="Z70" s="45"/>
      <c r="AA70" s="45"/>
      <c r="AB70" t="str">
        <f>IF(LEFT(Jira__32[[#This Row],[Resumen]],3)="POS","POS",IF(LEFT(Jira__32[[#This Row],[Resumen]],3)="BOT","BOT",""))</f>
        <v>BOT</v>
      </c>
      <c r="AC70" s="10" t="s">
        <v>176</v>
      </c>
      <c r="AE70" s="24" t="str" cm="1">
        <f t="array" ref="AE70">_xlfn.IFS(OR(COUNTIF(P70:V70,Versiones!$G$9)&gt;0, COUNTIF(P70:V70,Versiones!$H$8)&gt;0), "Sprint 21",OR(COUNTIF(P70:V70,Versiones!$G$8)&gt;0, COUNTIF(P70:V70,Versiones!$H$8)&gt;0, COUNTIF(P70:V70,Versiones!$I$8)&gt;0), "Sprint 20",OR(COUNTIF(P70:V70,Versiones!$G$7)&gt;0, COUNTIF(P70:V70,Versiones!$H$7)&gt;0, COUNTIF(P70:V70,Versiones!$I$7)&gt;0), "Sprint 19",OR(COUNTIF(P70:V70,Versiones!$G$6)&gt;0, COUNTIF(P70:V70,Versiones!$H$6)&gt;0, COUNTIF(P70:V70,Versiones!$I$6)&gt;0), "Sprint 18",OR(COUNTIF(P70:V70,Versiones!$G$4)&gt;0, COUNTIF(P70:V70,Versiones!$H$4)&gt;0, COUNTIF(P70:V70,Versiones!$G$5)&gt;0, COUNTIF(P70:V70,Versiones!$H$5)&gt;0), "Sprint 17",OR(COUNTIF(P70:V70,Versiones!$G$2)&gt;0, COUNTIF(P70:V70,Versiones!$H$2)&gt;0, COUNTIF(P70:V70,Versiones!$G$3)&gt;0, COUNTIF(P70:V70,Versiones!$H$3)&gt;0), "Sprint 16", OR(COUNTIF(P70:V70,Versiones!$G$2)&gt;0, COUNTIF(P70:V70,Versiones!$H$2)&gt;0, COUNTIF(P70:V70,Versiones!$G$3)&gt;0, COUNTIF(P70:V70,Versiones!$H$3)&gt;0), "Sprint 16",TRUE, "")</f>
        <v>Sprint 19</v>
      </c>
      <c r="AF70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70" t="str" cm="1">
        <f t="array" ref="AG70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70" s="24" t="str" cm="1">
        <f t="array" ref="AH70">_xlfn.IFS(COUNTIF(P70:V70, Versiones!$A$13)&gt;0, "Funcional", COUNTIF(P70:V70, Versiones!$A$14)&gt;0, "Configuración", COUNTIF(P70:V70, Versiones!$A$15)&gt;0, "Look&amp;Feel", COUNTIF(P70:V70, Versiones!$A$16)&gt;0, "Integración", COUNTIF(P70:V70, Versiones!$A$17)&gt;0, "Contenido/Datos", COUNTIF(P70:V70, Versiones!$A$18)&gt;0, "Eventos_Cosmos", COUNTIF(P70:V70, Versiones!$A$19)&gt;0, "Eventos_iOT", COUNTIF(P70:V70, Versiones!$A$20)&gt;0, "Eventos_Fabric", TRUE, "No encontrado")</f>
        <v>Funcional</v>
      </c>
    </row>
    <row r="71" spans="1:34">
      <c r="A71" s="45" t="s">
        <v>35</v>
      </c>
      <c r="B71" s="45" t="s">
        <v>269</v>
      </c>
      <c r="C71" s="45">
        <v>95629</v>
      </c>
      <c r="D71" s="45" t="s">
        <v>270</v>
      </c>
      <c r="E71" s="45">
        <v>87100</v>
      </c>
      <c r="F71" s="45" t="s">
        <v>38</v>
      </c>
      <c r="G71" s="45" t="s">
        <v>39</v>
      </c>
      <c r="H71" s="45" t="s">
        <v>40</v>
      </c>
      <c r="I71" s="45" t="s">
        <v>87</v>
      </c>
      <c r="J71" s="45" t="s">
        <v>42</v>
      </c>
      <c r="K71" s="45"/>
      <c r="L71" s="45"/>
      <c r="M71" s="45"/>
      <c r="N71" s="45"/>
      <c r="O71" s="45"/>
      <c r="P71" s="45" t="s">
        <v>43</v>
      </c>
      <c r="Q71" s="45" t="s">
        <v>229</v>
      </c>
      <c r="R71" s="45"/>
      <c r="S71" s="45"/>
      <c r="T71" s="45"/>
      <c r="U71" s="45"/>
      <c r="V71" s="45"/>
      <c r="W71" s="45" t="s">
        <v>45</v>
      </c>
      <c r="X71" s="60">
        <v>45918.650694444441</v>
      </c>
      <c r="Y71" s="45"/>
      <c r="Z71" s="45"/>
      <c r="AA71" s="45"/>
      <c r="AB71" t="str">
        <f>IF(LEFT(Jira__32[[#This Row],[Resumen]],3)="POS","POS",IF(LEFT(Jira__32[[#This Row],[Resumen]],3)="BOT","BOT",""))</f>
        <v>BOT</v>
      </c>
      <c r="AC71" s="10" t="s">
        <v>176</v>
      </c>
      <c r="AE71" s="24" t="str" cm="1">
        <f t="array" ref="AE71">_xlfn.IFS(OR(COUNTIF(P71:V71,Versiones!$G$9)&gt;0, COUNTIF(P71:V71,Versiones!$H$8)&gt;0), "Sprint 21",OR(COUNTIF(P71:V71,Versiones!$G$8)&gt;0, COUNTIF(P71:V71,Versiones!$H$8)&gt;0, COUNTIF(P71:V71,Versiones!$I$8)&gt;0), "Sprint 20",OR(COUNTIF(P71:V71,Versiones!$G$7)&gt;0, COUNTIF(P71:V71,Versiones!$H$7)&gt;0, COUNTIF(P71:V71,Versiones!$I$7)&gt;0), "Sprint 19",OR(COUNTIF(P71:V71,Versiones!$G$6)&gt;0, COUNTIF(P71:V71,Versiones!$H$6)&gt;0, COUNTIF(P71:V71,Versiones!$I$6)&gt;0), "Sprint 18",OR(COUNTIF(P71:V71,Versiones!$G$4)&gt;0, COUNTIF(P71:V71,Versiones!$H$4)&gt;0, COUNTIF(P71:V71,Versiones!$G$5)&gt;0, COUNTIF(P71:V71,Versiones!$H$5)&gt;0), "Sprint 17",OR(COUNTIF(P71:V71,Versiones!$G$2)&gt;0, COUNTIF(P71:V71,Versiones!$H$2)&gt;0, COUNTIF(P71:V71,Versiones!$G$3)&gt;0, COUNTIF(P71:V71,Versiones!$H$3)&gt;0), "Sprint 16", OR(COUNTIF(P71:V71,Versiones!$G$2)&gt;0, COUNTIF(P71:V71,Versiones!$H$2)&gt;0, COUNTIF(P71:V71,Versiones!$G$3)&gt;0, COUNTIF(P71:V71,Versiones!$H$3)&gt;0), "Sprint 16",TRUE, "")</f>
        <v>Sprint 19</v>
      </c>
      <c r="AF71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71" t="str" cm="1">
        <f t="array" ref="AG71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71" s="24" t="str" cm="1">
        <f t="array" ref="AH71">_xlfn.IFS(COUNTIF(P71:V71, Versiones!$A$13)&gt;0, "Funcional", COUNTIF(P71:V71, Versiones!$A$14)&gt;0, "Configuración", COUNTIF(P71:V71, Versiones!$A$15)&gt;0, "Look&amp;Feel", COUNTIF(P71:V71, Versiones!$A$16)&gt;0, "Integración", COUNTIF(P71:V71, Versiones!$A$17)&gt;0, "Contenido/Datos", COUNTIF(P71:V71, Versiones!$A$18)&gt;0, "Eventos_Cosmos", COUNTIF(P71:V71, Versiones!$A$19)&gt;0, "Eventos_iOT", COUNTIF(P71:V71, Versiones!$A$20)&gt;0, "Eventos_Fabric", TRUE, "No encontrado")</f>
        <v>Funcional</v>
      </c>
    </row>
    <row r="72" spans="1:34">
      <c r="A72" s="45" t="s">
        <v>35</v>
      </c>
      <c r="B72" s="45" t="s">
        <v>271</v>
      </c>
      <c r="C72" s="45">
        <v>95626</v>
      </c>
      <c r="D72" s="45" t="s">
        <v>272</v>
      </c>
      <c r="E72" s="45">
        <v>87100</v>
      </c>
      <c r="F72" s="45" t="s">
        <v>38</v>
      </c>
      <c r="G72" s="45" t="s">
        <v>39</v>
      </c>
      <c r="H72" s="45" t="s">
        <v>40</v>
      </c>
      <c r="I72" s="45" t="s">
        <v>87</v>
      </c>
      <c r="J72" s="45" t="s">
        <v>108</v>
      </c>
      <c r="K72" s="45" t="s">
        <v>42</v>
      </c>
      <c r="L72" s="45"/>
      <c r="M72" s="45"/>
      <c r="N72" s="45"/>
      <c r="O72" s="45"/>
      <c r="P72" s="45" t="s">
        <v>43</v>
      </c>
      <c r="Q72" s="45" t="s">
        <v>229</v>
      </c>
      <c r="R72" s="45" t="s">
        <v>100</v>
      </c>
      <c r="S72" s="45" t="s">
        <v>103</v>
      </c>
      <c r="T72" s="45"/>
      <c r="U72" s="45"/>
      <c r="V72" s="45"/>
      <c r="W72" s="45" t="s">
        <v>45</v>
      </c>
      <c r="X72" s="60">
        <v>45918.644444444442</v>
      </c>
      <c r="Y72" s="45" t="s">
        <v>266</v>
      </c>
      <c r="Z72" s="45"/>
      <c r="AA72" s="45"/>
      <c r="AB72" t="str">
        <f>IF(LEFT(Jira__32[[#This Row],[Resumen]],3)="POS","POS",IF(LEFT(Jira__32[[#This Row],[Resumen]],3)="BOT","BOT",""))</f>
        <v>BOT</v>
      </c>
      <c r="AC72" s="10" t="s">
        <v>176</v>
      </c>
      <c r="AE72" s="24" t="str" cm="1">
        <f t="array" ref="AE72">_xlfn.IFS(OR(COUNTIF(P72:V72,Versiones!$G$9)&gt;0, COUNTIF(P72:V72,Versiones!$H$8)&gt;0), "Sprint 21",OR(COUNTIF(P72:V72,Versiones!$G$8)&gt;0, COUNTIF(P72:V72,Versiones!$H$8)&gt;0, COUNTIF(P72:V72,Versiones!$I$8)&gt;0), "Sprint 20",OR(COUNTIF(P72:V72,Versiones!$G$7)&gt;0, COUNTIF(P72:V72,Versiones!$H$7)&gt;0, COUNTIF(P72:V72,Versiones!$I$7)&gt;0), "Sprint 19",OR(COUNTIF(P72:V72,Versiones!$G$6)&gt;0, COUNTIF(P72:V72,Versiones!$H$6)&gt;0, COUNTIF(P72:V72,Versiones!$I$6)&gt;0), "Sprint 18",OR(COUNTIF(P72:V72,Versiones!$G$4)&gt;0, COUNTIF(P72:V72,Versiones!$H$4)&gt;0, COUNTIF(P72:V72,Versiones!$G$5)&gt;0, COUNTIF(P72:V72,Versiones!$H$5)&gt;0), "Sprint 17",OR(COUNTIF(P72:V72,Versiones!$G$2)&gt;0, COUNTIF(P72:V72,Versiones!$H$2)&gt;0, COUNTIF(P72:V72,Versiones!$G$3)&gt;0, COUNTIF(P72:V72,Versiones!$H$3)&gt;0), "Sprint 16", OR(COUNTIF(P72:V72,Versiones!$G$2)&gt;0, COUNTIF(P72:V72,Versiones!$H$2)&gt;0, COUNTIF(P72:V72,Versiones!$G$3)&gt;0, COUNTIF(P72:V72,Versiones!$H$3)&gt;0), "Sprint 16",TRUE, "")</f>
        <v>Sprint 19</v>
      </c>
      <c r="AF72" s="24" t="s">
        <v>266</v>
      </c>
      <c r="AG72" t="s">
        <v>50</v>
      </c>
      <c r="AH72" s="24" t="str" cm="1">
        <f t="array" ref="AH72">_xlfn.IFS(COUNTIF(P72:V72, Versiones!$A$13)&gt;0, "Funcional", COUNTIF(P72:V72, Versiones!$A$14)&gt;0, "Configuración", COUNTIF(P72:V72, Versiones!$A$15)&gt;0, "Look&amp;Feel", COUNTIF(P72:V72, Versiones!$A$16)&gt;0, "Integración", COUNTIF(P72:V72, Versiones!$A$17)&gt;0, "Contenido/Datos", COUNTIF(P72:V72, Versiones!$A$18)&gt;0, "Eventos_Cosmos", COUNTIF(P72:V72, Versiones!$A$19)&gt;0, "Eventos_iOT", COUNTIF(P72:V72, Versiones!$A$20)&gt;0, "Eventos_Fabric", TRUE, "No encontrado")</f>
        <v>Funcional</v>
      </c>
    </row>
    <row r="73" spans="1:34">
      <c r="A73" s="45" t="s">
        <v>35</v>
      </c>
      <c r="B73" s="45" t="s">
        <v>273</v>
      </c>
      <c r="C73" s="45">
        <v>95592</v>
      </c>
      <c r="D73" s="45" t="s">
        <v>274</v>
      </c>
      <c r="E73" s="45">
        <v>87100</v>
      </c>
      <c r="F73" s="45" t="s">
        <v>38</v>
      </c>
      <c r="G73" s="45" t="s">
        <v>39</v>
      </c>
      <c r="H73" s="45" t="s">
        <v>54</v>
      </c>
      <c r="I73" s="45" t="s">
        <v>83</v>
      </c>
      <c r="J73" s="45" t="s">
        <v>97</v>
      </c>
      <c r="K73" s="45"/>
      <c r="L73" s="45"/>
      <c r="M73" s="45"/>
      <c r="N73" s="45"/>
      <c r="O73" s="45"/>
      <c r="P73" s="45" t="s">
        <v>43</v>
      </c>
      <c r="Q73" s="45" t="s">
        <v>229</v>
      </c>
      <c r="R73" s="45"/>
      <c r="S73" s="45"/>
      <c r="T73" s="45"/>
      <c r="U73" s="45"/>
      <c r="V73" s="45"/>
      <c r="W73" s="45" t="s">
        <v>45</v>
      </c>
      <c r="X73" s="60">
        <v>45918.594444444447</v>
      </c>
      <c r="Y73" s="45" t="s">
        <v>186</v>
      </c>
      <c r="Z73" s="45"/>
      <c r="AA73" s="45"/>
      <c r="AB73" t="str">
        <f>IF(LEFT(Jira__32[[#This Row],[Resumen]],3)="POS","POS",IF(LEFT(Jira__32[[#This Row],[Resumen]],3)="BOT","BOT",""))</f>
        <v>BOT</v>
      </c>
      <c r="AC73" s="10" t="s">
        <v>59</v>
      </c>
      <c r="AE73" s="24" t="str" cm="1">
        <f t="array" ref="AE73">_xlfn.IFS(OR(COUNTIF(P73:V73,Versiones!$G$9)&gt;0, COUNTIF(P73:V73,Versiones!$H$8)&gt;0), "Sprint 21",OR(COUNTIF(P73:V73,Versiones!$G$8)&gt;0, COUNTIF(P73:V73,Versiones!$H$8)&gt;0, COUNTIF(P73:V73,Versiones!$I$8)&gt;0), "Sprint 20",OR(COUNTIF(P73:V73,Versiones!$G$7)&gt;0, COUNTIF(P73:V73,Versiones!$H$7)&gt;0, COUNTIF(P73:V73,Versiones!$I$7)&gt;0), "Sprint 19",OR(COUNTIF(P73:V73,Versiones!$G$6)&gt;0, COUNTIF(P73:V73,Versiones!$H$6)&gt;0, COUNTIF(P73:V73,Versiones!$I$6)&gt;0), "Sprint 18",OR(COUNTIF(P73:V73,Versiones!$G$4)&gt;0, COUNTIF(P73:V73,Versiones!$H$4)&gt;0, COUNTIF(P73:V73,Versiones!$G$5)&gt;0, COUNTIF(P73:V73,Versiones!$H$5)&gt;0), "Sprint 17",OR(COUNTIF(P73:V73,Versiones!$G$2)&gt;0, COUNTIF(P73:V73,Versiones!$H$2)&gt;0, COUNTIF(P73:V73,Versiones!$G$3)&gt;0, COUNTIF(P73:V73,Versiones!$H$3)&gt;0), "Sprint 16", OR(COUNTIF(P73:V73,Versiones!$G$2)&gt;0, COUNTIF(P73:V73,Versiones!$H$2)&gt;0, COUNTIF(P73:V73,Versiones!$G$3)&gt;0, COUNTIF(P73:V73,Versiones!$H$3)&gt;0), "Sprint 16",TRUE, "")</f>
        <v>Sprint 19</v>
      </c>
      <c r="AF73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v0.8</v>
      </c>
      <c r="AG73" t="str" cm="1">
        <f t="array" ref="AG7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20</v>
      </c>
      <c r="AH73" s="24" t="str" cm="1">
        <f t="array" ref="AH73">_xlfn.IFS(COUNTIF(P73:V73, Versiones!$A$13)&gt;0, "Funcional", COUNTIF(P73:V73, Versiones!$A$14)&gt;0, "Configuración", COUNTIF(P73:V73, Versiones!$A$15)&gt;0, "Look&amp;Feel", COUNTIF(P73:V73, Versiones!$A$16)&gt;0, "Integración", COUNTIF(P73:V73, Versiones!$A$17)&gt;0, "Contenido/Datos", COUNTIF(P73:V73, Versiones!$A$18)&gt;0, "Eventos_Cosmos", COUNTIF(P73:V73, Versiones!$A$19)&gt;0, "Eventos_iOT", COUNTIF(P73:V73, Versiones!$A$20)&gt;0, "Eventos_Fabric", TRUE, "No encontrado")</f>
        <v>Funcional</v>
      </c>
    </row>
    <row r="74" spans="1:34">
      <c r="A74" s="45" t="s">
        <v>35</v>
      </c>
      <c r="B74" s="45" t="s">
        <v>275</v>
      </c>
      <c r="C74" s="45">
        <v>95261</v>
      </c>
      <c r="D74" s="45" t="s">
        <v>276</v>
      </c>
      <c r="E74" s="45">
        <v>87100</v>
      </c>
      <c r="F74" s="45" t="s">
        <v>38</v>
      </c>
      <c r="G74" s="45" t="s">
        <v>39</v>
      </c>
      <c r="H74" s="45" t="s">
        <v>40</v>
      </c>
      <c r="I74" s="45" t="s">
        <v>84</v>
      </c>
      <c r="J74" s="45" t="s">
        <v>108</v>
      </c>
      <c r="K74" s="45" t="s">
        <v>97</v>
      </c>
      <c r="L74" s="45"/>
      <c r="M74" s="45"/>
      <c r="N74" s="45"/>
      <c r="O74" s="45"/>
      <c r="P74" s="45" t="s">
        <v>43</v>
      </c>
      <c r="Q74" s="45" t="s">
        <v>229</v>
      </c>
      <c r="R74" s="45" t="s">
        <v>100</v>
      </c>
      <c r="S74" s="45" t="s">
        <v>103</v>
      </c>
      <c r="T74" s="45"/>
      <c r="U74" s="45"/>
      <c r="V74" s="45"/>
      <c r="W74" s="45" t="s">
        <v>45</v>
      </c>
      <c r="X74" s="60">
        <v>45917.64166666667</v>
      </c>
      <c r="Y74" s="45" t="s">
        <v>186</v>
      </c>
      <c r="Z74" s="45"/>
      <c r="AA74" s="45"/>
      <c r="AB74" t="str">
        <f>IF(LEFT(Jira__32[[#This Row],[Resumen]],3)="POS","POS",IF(LEFT(Jira__32[[#This Row],[Resumen]],3)="BOT","BOT",""))</f>
        <v>BOT</v>
      </c>
      <c r="AC74" s="10" t="s">
        <v>59</v>
      </c>
      <c r="AE74" s="24" t="str" cm="1">
        <f t="array" ref="AE74">_xlfn.IFS(OR(COUNTIF(P74:V74,Versiones!$G$9)&gt;0, COUNTIF(P74:V74,Versiones!$H$8)&gt;0), "Sprint 21",OR(COUNTIF(P74:V74,Versiones!$G$8)&gt;0, COUNTIF(P74:V74,Versiones!$H$8)&gt;0, COUNTIF(P74:V74,Versiones!$I$8)&gt;0), "Sprint 20",OR(COUNTIF(P74:V74,Versiones!$G$7)&gt;0, COUNTIF(P74:V74,Versiones!$H$7)&gt;0, COUNTIF(P74:V74,Versiones!$I$7)&gt;0), "Sprint 19",OR(COUNTIF(P74:V74,Versiones!$G$6)&gt;0, COUNTIF(P74:V74,Versiones!$H$6)&gt;0, COUNTIF(P74:V74,Versiones!$I$6)&gt;0), "Sprint 18",OR(COUNTIF(P74:V74,Versiones!$G$4)&gt;0, COUNTIF(P74:V74,Versiones!$H$4)&gt;0, COUNTIF(P74:V74,Versiones!$G$5)&gt;0, COUNTIF(P74:V74,Versiones!$H$5)&gt;0), "Sprint 17",OR(COUNTIF(P74:V74,Versiones!$G$2)&gt;0, COUNTIF(P74:V74,Versiones!$H$2)&gt;0, COUNTIF(P74:V74,Versiones!$G$3)&gt;0, COUNTIF(P74:V74,Versiones!$H$3)&gt;0), "Sprint 16", OR(COUNTIF(P74:V74,Versiones!$G$2)&gt;0, COUNTIF(P74:V74,Versiones!$H$2)&gt;0, COUNTIF(P74:V74,Versiones!$G$3)&gt;0, COUNTIF(P74:V74,Versiones!$H$3)&gt;0), "Sprint 16",TRUE, "")</f>
        <v>Sprint 19</v>
      </c>
      <c r="AF74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v0.8</v>
      </c>
      <c r="AG74" t="str" cm="1">
        <f t="array" ref="AG7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20</v>
      </c>
      <c r="AH74" s="24" t="str" cm="1">
        <f t="array" ref="AH74">_xlfn.IFS(COUNTIF(P74:V74, Versiones!$A$13)&gt;0, "Funcional", COUNTIF(P74:V74, Versiones!$A$14)&gt;0, "Configuración", COUNTIF(P74:V74, Versiones!$A$15)&gt;0, "Look&amp;Feel", COUNTIF(P74:V74, Versiones!$A$16)&gt;0, "Integración", COUNTIF(P74:V74, Versiones!$A$17)&gt;0, "Contenido/Datos", COUNTIF(P74:V74, Versiones!$A$18)&gt;0, "Eventos_Cosmos", COUNTIF(P74:V74, Versiones!$A$19)&gt;0, "Eventos_iOT", COUNTIF(P74:V74, Versiones!$A$20)&gt;0, "Eventos_Fabric", TRUE, "No encontrado")</f>
        <v>Funcional</v>
      </c>
    </row>
    <row r="75" spans="1:34">
      <c r="A75" s="45" t="s">
        <v>35</v>
      </c>
      <c r="B75" s="45" t="s">
        <v>277</v>
      </c>
      <c r="C75" s="45">
        <v>95037</v>
      </c>
      <c r="D75" s="45" t="s">
        <v>278</v>
      </c>
      <c r="E75" s="45">
        <v>87100</v>
      </c>
      <c r="F75" s="45" t="s">
        <v>38</v>
      </c>
      <c r="G75" s="45" t="s">
        <v>39</v>
      </c>
      <c r="H75" s="45" t="s">
        <v>54</v>
      </c>
      <c r="I75" s="45" t="s">
        <v>41</v>
      </c>
      <c r="J75" s="45" t="s">
        <v>97</v>
      </c>
      <c r="K75" s="45"/>
      <c r="L75" s="45"/>
      <c r="M75" s="45"/>
      <c r="N75" s="45"/>
      <c r="O75" s="45"/>
      <c r="P75" s="45" t="s">
        <v>55</v>
      </c>
      <c r="Q75" s="45" t="s">
        <v>229</v>
      </c>
      <c r="R75" s="45"/>
      <c r="S75" s="45"/>
      <c r="T75" s="45"/>
      <c r="U75" s="45"/>
      <c r="V75" s="45"/>
      <c r="W75" s="45" t="s">
        <v>45</v>
      </c>
      <c r="X75" s="60">
        <v>45916.615277777775</v>
      </c>
      <c r="Y75" s="45"/>
      <c r="Z75" s="45"/>
      <c r="AA75" s="45"/>
      <c r="AB75" t="str">
        <f>IF(LEFT(Jira__32[[#This Row],[Resumen]],3)="POS","POS",IF(LEFT(Jira__32[[#This Row],[Resumen]],3)="BOT","BOT",""))</f>
        <v>POS</v>
      </c>
      <c r="AC75" s="14" t="s">
        <v>220</v>
      </c>
      <c r="AE75" s="24" t="str" cm="1">
        <f t="array" ref="AE75">_xlfn.IFS(OR(COUNTIF(P75:V75,Versiones!$G$9)&gt;0, COUNTIF(P75:V75,Versiones!$H$8)&gt;0), "Sprint 21",OR(COUNTIF(P75:V75,Versiones!$G$8)&gt;0, COUNTIF(P75:V75,Versiones!$H$8)&gt;0, COUNTIF(P75:V75,Versiones!$I$8)&gt;0), "Sprint 20",OR(COUNTIF(P75:V75,Versiones!$G$7)&gt;0, COUNTIF(P75:V75,Versiones!$H$7)&gt;0, COUNTIF(P75:V75,Versiones!$I$7)&gt;0), "Sprint 19",OR(COUNTIF(P75:V75,Versiones!$G$6)&gt;0, COUNTIF(P75:V75,Versiones!$H$6)&gt;0, COUNTIF(P75:V75,Versiones!$I$6)&gt;0), "Sprint 18",OR(COUNTIF(P75:V75,Versiones!$G$4)&gt;0, COUNTIF(P75:V75,Versiones!$H$4)&gt;0, COUNTIF(P75:V75,Versiones!$G$5)&gt;0, COUNTIF(P75:V75,Versiones!$H$5)&gt;0), "Sprint 17",OR(COUNTIF(P75:V75,Versiones!$G$2)&gt;0, COUNTIF(P75:V75,Versiones!$H$2)&gt;0, COUNTIF(P75:V75,Versiones!$G$3)&gt;0, COUNTIF(P75:V75,Versiones!$H$3)&gt;0), "Sprint 16", OR(COUNTIF(P75:V75,Versiones!$G$2)&gt;0, COUNTIF(P75:V75,Versiones!$H$2)&gt;0, COUNTIF(P75:V75,Versiones!$G$3)&gt;0, COUNTIF(P75:V75,Versiones!$H$3)&gt;0), "Sprint 16",TRUE, "")</f>
        <v>Sprint 19</v>
      </c>
      <c r="AF75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75" t="str" cm="1">
        <f t="array" ref="AG7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75" s="24" t="str" cm="1">
        <f t="array" ref="AH75">_xlfn.IFS(COUNTIF(P75:V75, Versiones!$A$13)&gt;0, "Funcional", COUNTIF(P75:V75, Versiones!$A$14)&gt;0, "Configuración", COUNTIF(P75:V75, Versiones!$A$15)&gt;0, "Look&amp;Feel", COUNTIF(P75:V75, Versiones!$A$16)&gt;0, "Integración", COUNTIF(P75:V75, Versiones!$A$17)&gt;0, "Contenido/Datos", COUNTIF(P75:V75, Versiones!$A$18)&gt;0, "Eventos_Cosmos", COUNTIF(P75:V75, Versiones!$A$19)&gt;0, "Eventos_iOT", COUNTIF(P75:V75, Versiones!$A$20)&gt;0, "Eventos_Fabric", TRUE, "No encontrado")</f>
        <v>Look&amp;Feel</v>
      </c>
    </row>
    <row r="76" spans="1:34">
      <c r="A76" s="45" t="s">
        <v>35</v>
      </c>
      <c r="B76" s="45" t="s">
        <v>279</v>
      </c>
      <c r="C76" s="45">
        <v>94691</v>
      </c>
      <c r="D76" s="45" t="s">
        <v>280</v>
      </c>
      <c r="E76" s="45">
        <v>87100</v>
      </c>
      <c r="F76" s="45" t="s">
        <v>38</v>
      </c>
      <c r="G76" s="45" t="s">
        <v>39</v>
      </c>
      <c r="H76" s="45" t="s">
        <v>40</v>
      </c>
      <c r="I76" s="45" t="s">
        <v>84</v>
      </c>
      <c r="J76" s="45" t="s">
        <v>118</v>
      </c>
      <c r="K76" s="45" t="s">
        <v>108</v>
      </c>
      <c r="L76" s="45" t="s">
        <v>97</v>
      </c>
      <c r="M76" s="45"/>
      <c r="N76" s="45"/>
      <c r="O76" s="45"/>
      <c r="P76" s="45" t="s">
        <v>98</v>
      </c>
      <c r="Q76" s="45" t="s">
        <v>129</v>
      </c>
      <c r="R76" s="45" t="s">
        <v>281</v>
      </c>
      <c r="S76" s="45" t="s">
        <v>100</v>
      </c>
      <c r="T76" s="45" t="s">
        <v>103</v>
      </c>
      <c r="U76" s="45"/>
      <c r="V76" s="45"/>
      <c r="W76" s="45" t="s">
        <v>185</v>
      </c>
      <c r="X76" s="60">
        <v>45914.655555555553</v>
      </c>
      <c r="Y76" s="45" t="s">
        <v>105</v>
      </c>
      <c r="Z76" s="45" t="s">
        <v>121</v>
      </c>
      <c r="AA76" s="45" t="s">
        <v>109</v>
      </c>
      <c r="AB76" t="str">
        <f>IF(LEFT(Jira__32[[#This Row],[Resumen]],3)="POS","POS",IF(LEFT(Jira__32[[#This Row],[Resumen]],3)="BOT","BOT",""))</f>
        <v>POS</v>
      </c>
      <c r="AC76" s="14" t="s">
        <v>220</v>
      </c>
      <c r="AE76" s="24" t="str" cm="1">
        <f t="array" ref="AE76">_xlfn.IFS(OR(COUNTIF(P76:V76,Versiones!$G$9)&gt;0, COUNTIF(P76:V76,Versiones!$H$8)&gt;0), "Sprint 21",OR(COUNTIF(P76:V76,Versiones!$G$8)&gt;0, COUNTIF(P76:V76,Versiones!$H$8)&gt;0, COUNTIF(P76:V76,Versiones!$I$8)&gt;0), "Sprint 20",OR(COUNTIF(P76:V76,Versiones!$G$7)&gt;0, COUNTIF(P76:V76,Versiones!$H$7)&gt;0, COUNTIF(P76:V76,Versiones!$I$7)&gt;0), "Sprint 19",OR(COUNTIF(P76:V76,Versiones!$G$6)&gt;0, COUNTIF(P76:V76,Versiones!$H$6)&gt;0, COUNTIF(P76:V76,Versiones!$I$6)&gt;0), "Sprint 18",OR(COUNTIF(P76:V76,Versiones!$G$4)&gt;0, COUNTIF(P76:V76,Versiones!$H$4)&gt;0, COUNTIF(P76:V76,Versiones!$G$5)&gt;0, COUNTIF(P76:V76,Versiones!$H$5)&gt;0), "Sprint 17",OR(COUNTIF(P76:V76,Versiones!$G$2)&gt;0, COUNTIF(P76:V76,Versiones!$H$2)&gt;0, COUNTIF(P76:V76,Versiones!$G$3)&gt;0, COUNTIF(P76:V76,Versiones!$H$3)&gt;0), "Sprint 16", OR(COUNTIF(P76:V76,Versiones!$G$2)&gt;0, COUNTIF(P76:V76,Versiones!$H$2)&gt;0, COUNTIF(P76:V76,Versiones!$G$3)&gt;0, COUNTIF(P76:V76,Versiones!$H$3)&gt;0), "Sprint 16",TRUE, "")</f>
        <v>Sprint 18</v>
      </c>
      <c r="AF76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76" t="str" cm="1">
        <f t="array" ref="AG7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76" s="24" t="str" cm="1">
        <f t="array" ref="AH76">_xlfn.IFS(COUNTIF(P76:V76, Versiones!$A$13)&gt;0, "Funcional", COUNTIF(P76:V76, Versiones!$A$14)&gt;0, "Configuración", COUNTIF(P76:V76, Versiones!$A$15)&gt;0, "Look&amp;Feel", COUNTIF(P76:V76, Versiones!$A$16)&gt;0, "Integración", COUNTIF(P76:V76, Versiones!$A$17)&gt;0, "Contenido/Datos", COUNTIF(P76:V76, Versiones!$A$18)&gt;0, "Eventos_Cosmos", COUNTIF(P76:V76, Versiones!$A$19)&gt;0, "Eventos_iOT", COUNTIF(P76:V76, Versiones!$A$20)&gt;0, "Eventos_Fabric", TRUE, "No encontrado")</f>
        <v>Eventos_iOT</v>
      </c>
    </row>
    <row r="77" spans="1:34">
      <c r="A77" s="45" t="s">
        <v>35</v>
      </c>
      <c r="B77" s="45" t="s">
        <v>282</v>
      </c>
      <c r="C77" s="45">
        <v>94631</v>
      </c>
      <c r="D77" s="45" t="s">
        <v>283</v>
      </c>
      <c r="E77" s="45">
        <v>87100</v>
      </c>
      <c r="F77" s="45" t="s">
        <v>38</v>
      </c>
      <c r="G77" s="45" t="s">
        <v>39</v>
      </c>
      <c r="H77" s="45" t="s">
        <v>40</v>
      </c>
      <c r="I77" s="45" t="s">
        <v>84</v>
      </c>
      <c r="J77" s="45" t="s">
        <v>118</v>
      </c>
      <c r="K77" s="45" t="s">
        <v>108</v>
      </c>
      <c r="L77" s="45" t="s">
        <v>97</v>
      </c>
      <c r="M77" s="45"/>
      <c r="N77" s="45"/>
      <c r="O77" s="45"/>
      <c r="P77" s="45" t="s">
        <v>98</v>
      </c>
      <c r="Q77" s="45" t="s">
        <v>129</v>
      </c>
      <c r="R77" s="45" t="s">
        <v>281</v>
      </c>
      <c r="S77" s="45" t="s">
        <v>100</v>
      </c>
      <c r="T77" s="45" t="s">
        <v>103</v>
      </c>
      <c r="U77" s="45"/>
      <c r="V77" s="45"/>
      <c r="W77" s="45" t="s">
        <v>185</v>
      </c>
      <c r="X77" s="60">
        <v>45914.128472222219</v>
      </c>
      <c r="Y77" s="45" t="s">
        <v>105</v>
      </c>
      <c r="Z77" s="45" t="s">
        <v>121</v>
      </c>
      <c r="AA77" s="45" t="s">
        <v>109</v>
      </c>
      <c r="AB77" t="str">
        <f>IF(LEFT(Jira__32[[#This Row],[Resumen]],3)="POS","POS",IF(LEFT(Jira__32[[#This Row],[Resumen]],3)="BOT","BOT",""))</f>
        <v>POS</v>
      </c>
      <c r="AC77" s="14" t="s">
        <v>220</v>
      </c>
      <c r="AE77" s="24" t="str" cm="1">
        <f t="array" ref="AE77">_xlfn.IFS(OR(COUNTIF(P77:V77,Versiones!$G$9)&gt;0, COUNTIF(P77:V77,Versiones!$H$8)&gt;0), "Sprint 21",OR(COUNTIF(P77:V77,Versiones!$G$8)&gt;0, COUNTIF(P77:V77,Versiones!$H$8)&gt;0, COUNTIF(P77:V77,Versiones!$I$8)&gt;0), "Sprint 20",OR(COUNTIF(P77:V77,Versiones!$G$7)&gt;0, COUNTIF(P77:V77,Versiones!$H$7)&gt;0, COUNTIF(P77:V77,Versiones!$I$7)&gt;0), "Sprint 19",OR(COUNTIF(P77:V77,Versiones!$G$6)&gt;0, COUNTIF(P77:V77,Versiones!$H$6)&gt;0, COUNTIF(P77:V77,Versiones!$I$6)&gt;0), "Sprint 18",OR(COUNTIF(P77:V77,Versiones!$G$4)&gt;0, COUNTIF(P77:V77,Versiones!$H$4)&gt;0, COUNTIF(P77:V77,Versiones!$G$5)&gt;0, COUNTIF(P77:V77,Versiones!$H$5)&gt;0), "Sprint 17",OR(COUNTIF(P77:V77,Versiones!$G$2)&gt;0, COUNTIF(P77:V77,Versiones!$H$2)&gt;0, COUNTIF(P77:V77,Versiones!$G$3)&gt;0, COUNTIF(P77:V77,Versiones!$H$3)&gt;0), "Sprint 16", OR(COUNTIF(P77:V77,Versiones!$G$2)&gt;0, COUNTIF(P77:V77,Versiones!$H$2)&gt;0, COUNTIF(P77:V77,Versiones!$G$3)&gt;0, COUNTIF(P77:V77,Versiones!$H$3)&gt;0), "Sprint 16",TRUE, "")</f>
        <v>Sprint 18</v>
      </c>
      <c r="AF77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77" t="str" cm="1">
        <f t="array" ref="AG7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77" s="24" t="str" cm="1">
        <f t="array" ref="AH77">_xlfn.IFS(COUNTIF(P77:V77, Versiones!$A$13)&gt;0, "Funcional", COUNTIF(P77:V77, Versiones!$A$14)&gt;0, "Configuración", COUNTIF(P77:V77, Versiones!$A$15)&gt;0, "Look&amp;Feel", COUNTIF(P77:V77, Versiones!$A$16)&gt;0, "Integración", COUNTIF(P77:V77, Versiones!$A$17)&gt;0, "Contenido/Datos", COUNTIF(P77:V77, Versiones!$A$18)&gt;0, "Eventos_Cosmos", COUNTIF(P77:V77, Versiones!$A$19)&gt;0, "Eventos_iOT", COUNTIF(P77:V77, Versiones!$A$20)&gt;0, "Eventos_Fabric", TRUE, "No encontrado")</f>
        <v>Eventos_iOT</v>
      </c>
    </row>
    <row r="78" spans="1:34">
      <c r="A78" s="45" t="s">
        <v>35</v>
      </c>
      <c r="B78" s="45" t="s">
        <v>284</v>
      </c>
      <c r="C78" s="45">
        <v>94628</v>
      </c>
      <c r="D78" s="45" t="s">
        <v>283</v>
      </c>
      <c r="E78" s="45">
        <v>87100</v>
      </c>
      <c r="F78" s="45" t="s">
        <v>38</v>
      </c>
      <c r="G78" s="45" t="s">
        <v>39</v>
      </c>
      <c r="H78" s="45" t="s">
        <v>40</v>
      </c>
      <c r="I78" s="45" t="s">
        <v>80</v>
      </c>
      <c r="J78" s="45"/>
      <c r="K78" s="45"/>
      <c r="L78" s="45"/>
      <c r="M78" s="45"/>
      <c r="N78" s="45"/>
      <c r="O78" s="45"/>
      <c r="P78" s="45" t="s">
        <v>129</v>
      </c>
      <c r="Q78" s="45" t="s">
        <v>281</v>
      </c>
      <c r="R78" s="45"/>
      <c r="S78" s="45"/>
      <c r="T78" s="45"/>
      <c r="U78" s="45"/>
      <c r="V78" s="45"/>
      <c r="W78" s="45" t="s">
        <v>185</v>
      </c>
      <c r="X78" s="60">
        <v>45913.960416666669</v>
      </c>
      <c r="Y78" s="45" t="s">
        <v>121</v>
      </c>
      <c r="Z78" s="45" t="s">
        <v>109</v>
      </c>
      <c r="AA78" s="45"/>
      <c r="AB78" t="str">
        <f>IF(LEFT(Jira__32[[#This Row],[Resumen]],3)="POS","POS",IF(LEFT(Jira__32[[#This Row],[Resumen]],3)="BOT","BOT",""))</f>
        <v>POS</v>
      </c>
      <c r="AC78" s="10" t="s">
        <v>59</v>
      </c>
      <c r="AE78" s="24" t="str" cm="1">
        <f t="array" ref="AE78">_xlfn.IFS(OR(COUNTIF(P78:V78,Versiones!$G$9)&gt;0, COUNTIF(P78:V78,Versiones!$H$8)&gt;0), "Sprint 21",OR(COUNTIF(P78:V78,Versiones!$G$8)&gt;0, COUNTIF(P78:V78,Versiones!$H$8)&gt;0, COUNTIF(P78:V78,Versiones!$I$8)&gt;0), "Sprint 20",OR(COUNTIF(P78:V78,Versiones!$G$7)&gt;0, COUNTIF(P78:V78,Versiones!$H$7)&gt;0, COUNTIF(P78:V78,Versiones!$I$7)&gt;0), "Sprint 19",OR(COUNTIF(P78:V78,Versiones!$G$6)&gt;0, COUNTIF(P78:V78,Versiones!$H$6)&gt;0, COUNTIF(P78:V78,Versiones!$I$6)&gt;0), "Sprint 18",OR(COUNTIF(P78:V78,Versiones!$G$4)&gt;0, COUNTIF(P78:V78,Versiones!$H$4)&gt;0, COUNTIF(P78:V78,Versiones!$G$5)&gt;0, COUNTIF(P78:V78,Versiones!$H$5)&gt;0), "Sprint 17",OR(COUNTIF(P78:V78,Versiones!$G$2)&gt;0, COUNTIF(P78:V78,Versiones!$H$2)&gt;0, COUNTIF(P78:V78,Versiones!$G$3)&gt;0, COUNTIF(P78:V78,Versiones!$H$3)&gt;0), "Sprint 16", OR(COUNTIF(P78:V78,Versiones!$G$2)&gt;0, COUNTIF(P78:V78,Versiones!$H$2)&gt;0, COUNTIF(P78:V78,Versiones!$G$3)&gt;0, COUNTIF(P78:V78,Versiones!$H$3)&gt;0), "Sprint 16",TRUE, "")</f>
        <v>Sprint 18</v>
      </c>
      <c r="AF78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78" t="str" cm="1">
        <f t="array" ref="AG7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78" s="24" t="str" cm="1">
        <f t="array" ref="AH78">_xlfn.IFS(COUNTIF(P78:V78, Versiones!$A$13)&gt;0, "Funcional", COUNTIF(P78:V78, Versiones!$A$14)&gt;0, "Configuración", COUNTIF(P78:V78, Versiones!$A$15)&gt;0, "Look&amp;Feel", COUNTIF(P78:V78, Versiones!$A$16)&gt;0, "Integración", COUNTIF(P78:V78, Versiones!$A$17)&gt;0, "Contenido/Datos", COUNTIF(P78:V78, Versiones!$A$18)&gt;0, "Eventos_Cosmos", COUNTIF(P78:V78, Versiones!$A$19)&gt;0, "Eventos_iOT", COUNTIF(P78:V78, Versiones!$A$20)&gt;0, "Eventos_Fabric", TRUE, "No encontrado")</f>
        <v>Eventos_iOT</v>
      </c>
    </row>
    <row r="79" spans="1:34">
      <c r="A79" s="45" t="s">
        <v>35</v>
      </c>
      <c r="B79" s="45" t="s">
        <v>285</v>
      </c>
      <c r="C79" s="45">
        <v>94362</v>
      </c>
      <c r="D79" s="45" t="s">
        <v>286</v>
      </c>
      <c r="E79" s="45">
        <v>87100</v>
      </c>
      <c r="F79" s="45" t="s">
        <v>38</v>
      </c>
      <c r="G79" s="45" t="s">
        <v>39</v>
      </c>
      <c r="H79" s="45" t="s">
        <v>40</v>
      </c>
      <c r="I79" s="45" t="s">
        <v>84</v>
      </c>
      <c r="J79" s="45" t="s">
        <v>118</v>
      </c>
      <c r="K79" s="45" t="s">
        <v>108</v>
      </c>
      <c r="L79" s="45" t="s">
        <v>97</v>
      </c>
      <c r="M79" s="45"/>
      <c r="N79" s="45"/>
      <c r="O79" s="45"/>
      <c r="P79" s="45" t="s">
        <v>98</v>
      </c>
      <c r="Q79" s="45" t="s">
        <v>129</v>
      </c>
      <c r="R79" s="45" t="s">
        <v>281</v>
      </c>
      <c r="S79" s="45" t="s">
        <v>100</v>
      </c>
      <c r="T79" s="45" t="s">
        <v>103</v>
      </c>
      <c r="U79" s="45"/>
      <c r="V79" s="45"/>
      <c r="W79" s="45" t="s">
        <v>185</v>
      </c>
      <c r="X79" s="60">
        <v>45912.441666666666</v>
      </c>
      <c r="Y79" s="45" t="s">
        <v>105</v>
      </c>
      <c r="Z79" s="45" t="s">
        <v>121</v>
      </c>
      <c r="AA79" s="45" t="s">
        <v>109</v>
      </c>
      <c r="AB79" t="str">
        <f>IF(LEFT(Jira__32[[#This Row],[Resumen]],3)="POS","POS",IF(LEFT(Jira__32[[#This Row],[Resumen]],3)="BOT","BOT",""))</f>
        <v>BOT</v>
      </c>
      <c r="AC79" s="10" t="s">
        <v>47</v>
      </c>
      <c r="AE79" s="24" t="str" cm="1">
        <f t="array" ref="AE79">_xlfn.IFS(OR(COUNTIF(P79:V79,Versiones!$G$9)&gt;0, COUNTIF(P79:V79,Versiones!$H$8)&gt;0), "Sprint 21",OR(COUNTIF(P79:V79,Versiones!$G$8)&gt;0, COUNTIF(P79:V79,Versiones!$H$8)&gt;0, COUNTIF(P79:V79,Versiones!$I$8)&gt;0), "Sprint 20",OR(COUNTIF(P79:V79,Versiones!$G$7)&gt;0, COUNTIF(P79:V79,Versiones!$H$7)&gt;0, COUNTIF(P79:V79,Versiones!$I$7)&gt;0), "Sprint 19",OR(COUNTIF(P79:V79,Versiones!$G$6)&gt;0, COUNTIF(P79:V79,Versiones!$H$6)&gt;0, COUNTIF(P79:V79,Versiones!$I$6)&gt;0), "Sprint 18",OR(COUNTIF(P79:V79,Versiones!$G$4)&gt;0, COUNTIF(P79:V79,Versiones!$H$4)&gt;0, COUNTIF(P79:V79,Versiones!$G$5)&gt;0, COUNTIF(P79:V79,Versiones!$H$5)&gt;0), "Sprint 17",OR(COUNTIF(P79:V79,Versiones!$G$2)&gt;0, COUNTIF(P79:V79,Versiones!$H$2)&gt;0, COUNTIF(P79:V79,Versiones!$G$3)&gt;0, COUNTIF(P79:V79,Versiones!$H$3)&gt;0), "Sprint 16", OR(COUNTIF(P79:V79,Versiones!$G$2)&gt;0, COUNTIF(P79:V79,Versiones!$H$2)&gt;0, COUNTIF(P79:V79,Versiones!$G$3)&gt;0, COUNTIF(P79:V79,Versiones!$H$3)&gt;0), "Sprint 16",TRUE, "")</f>
        <v>Sprint 18</v>
      </c>
      <c r="AF79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79" t="str" cm="1">
        <f t="array" ref="AG79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79" s="24" t="str" cm="1">
        <f t="array" ref="AH79">_xlfn.IFS(COUNTIF(P79:V79, Versiones!$A$13)&gt;0, "Funcional", COUNTIF(P79:V79, Versiones!$A$14)&gt;0, "Configuración", COUNTIF(P79:V79, Versiones!$A$15)&gt;0, "Look&amp;Feel", COUNTIF(P79:V79, Versiones!$A$16)&gt;0, "Integración", COUNTIF(P79:V79, Versiones!$A$17)&gt;0, "Contenido/Datos", COUNTIF(P79:V79, Versiones!$A$18)&gt;0, "Eventos_Cosmos", COUNTIF(P79:V79, Versiones!$A$19)&gt;0, "Eventos_iOT", COUNTIF(P79:V79, Versiones!$A$20)&gt;0, "Eventos_Fabric", TRUE, "No encontrado")</f>
        <v>Eventos_iOT</v>
      </c>
    </row>
    <row r="80" spans="1:34">
      <c r="A80" s="45" t="s">
        <v>35</v>
      </c>
      <c r="B80" s="45" t="s">
        <v>287</v>
      </c>
      <c r="C80" s="45">
        <v>94358</v>
      </c>
      <c r="D80" s="45" t="s">
        <v>288</v>
      </c>
      <c r="E80" s="45">
        <v>87100</v>
      </c>
      <c r="F80" s="45" t="s">
        <v>38</v>
      </c>
      <c r="G80" s="45" t="s">
        <v>39</v>
      </c>
      <c r="H80" s="45" t="s">
        <v>40</v>
      </c>
      <c r="I80" s="45" t="s">
        <v>84</v>
      </c>
      <c r="J80" s="45" t="s">
        <v>118</v>
      </c>
      <c r="K80" s="45" t="s">
        <v>108</v>
      </c>
      <c r="L80" s="45" t="s">
        <v>97</v>
      </c>
      <c r="M80" s="45"/>
      <c r="N80" s="45"/>
      <c r="O80" s="45"/>
      <c r="P80" s="45" t="s">
        <v>98</v>
      </c>
      <c r="Q80" s="45" t="s">
        <v>129</v>
      </c>
      <c r="R80" s="45" t="s">
        <v>281</v>
      </c>
      <c r="S80" s="45" t="s">
        <v>100</v>
      </c>
      <c r="T80" s="45" t="s">
        <v>103</v>
      </c>
      <c r="U80" s="45"/>
      <c r="V80" s="45"/>
      <c r="W80" s="45" t="s">
        <v>185</v>
      </c>
      <c r="X80" s="60">
        <v>45912.44027777778</v>
      </c>
      <c r="Y80" s="45" t="s">
        <v>105</v>
      </c>
      <c r="Z80" s="45" t="s">
        <v>121</v>
      </c>
      <c r="AA80" s="45"/>
      <c r="AB80" t="str">
        <f>IF(LEFT(Jira__32[[#This Row],[Resumen]],3)="POS","POS",IF(LEFT(Jira__32[[#This Row],[Resumen]],3)="BOT","BOT",""))</f>
        <v>POS</v>
      </c>
      <c r="AC80" s="10" t="s">
        <v>47</v>
      </c>
      <c r="AE80" s="24" t="str" cm="1">
        <f t="array" ref="AE80">_xlfn.IFS(OR(COUNTIF(P80:V80,Versiones!$G$9)&gt;0, COUNTIF(P80:V80,Versiones!$H$8)&gt;0), "Sprint 21",OR(COUNTIF(P80:V80,Versiones!$G$8)&gt;0, COUNTIF(P80:V80,Versiones!$H$8)&gt;0, COUNTIF(P80:V80,Versiones!$I$8)&gt;0), "Sprint 20",OR(COUNTIF(P80:V80,Versiones!$G$7)&gt;0, COUNTIF(P80:V80,Versiones!$H$7)&gt;0, COUNTIF(P80:V80,Versiones!$I$7)&gt;0), "Sprint 19",OR(COUNTIF(P80:V80,Versiones!$G$6)&gt;0, COUNTIF(P80:V80,Versiones!$H$6)&gt;0, COUNTIF(P80:V80,Versiones!$I$6)&gt;0), "Sprint 18",OR(COUNTIF(P80:V80,Versiones!$G$4)&gt;0, COUNTIF(P80:V80,Versiones!$H$4)&gt;0, COUNTIF(P80:V80,Versiones!$G$5)&gt;0, COUNTIF(P80:V80,Versiones!$H$5)&gt;0), "Sprint 17",OR(COUNTIF(P80:V80,Versiones!$G$2)&gt;0, COUNTIF(P80:V80,Versiones!$H$2)&gt;0, COUNTIF(P80:V80,Versiones!$G$3)&gt;0, COUNTIF(P80:V80,Versiones!$H$3)&gt;0), "Sprint 16", OR(COUNTIF(P80:V80,Versiones!$G$2)&gt;0, COUNTIF(P80:V80,Versiones!$H$2)&gt;0, COUNTIF(P80:V80,Versiones!$G$3)&gt;0, COUNTIF(P80:V80,Versiones!$H$3)&gt;0), "Sprint 16",TRUE, "")</f>
        <v>Sprint 18</v>
      </c>
      <c r="AF80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80" t="str" cm="1">
        <f t="array" ref="AG80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80" s="24" t="str" cm="1">
        <f t="array" ref="AH80">_xlfn.IFS(COUNTIF(P80:V80, Versiones!$A$13)&gt;0, "Funcional", COUNTIF(P80:V80, Versiones!$A$14)&gt;0, "Configuración", COUNTIF(P80:V80, Versiones!$A$15)&gt;0, "Look&amp;Feel", COUNTIF(P80:V80, Versiones!$A$16)&gt;0, "Integración", COUNTIF(P80:V80, Versiones!$A$17)&gt;0, "Contenido/Datos", COUNTIF(P80:V80, Versiones!$A$18)&gt;0, "Eventos_Cosmos", COUNTIF(P80:V80, Versiones!$A$19)&gt;0, "Eventos_iOT", COUNTIF(P80:V80, Versiones!$A$20)&gt;0, "Eventos_Fabric", TRUE, "No encontrado")</f>
        <v>Eventos_iOT</v>
      </c>
    </row>
    <row r="81" spans="1:34">
      <c r="A81" s="45" t="s">
        <v>35</v>
      </c>
      <c r="B81" s="45" t="s">
        <v>289</v>
      </c>
      <c r="C81" s="45">
        <v>94335</v>
      </c>
      <c r="D81" s="45" t="s">
        <v>290</v>
      </c>
      <c r="E81" s="45">
        <v>87100</v>
      </c>
      <c r="F81" s="45" t="s">
        <v>38</v>
      </c>
      <c r="G81" s="45" t="s">
        <v>39</v>
      </c>
      <c r="H81" s="45" t="s">
        <v>40</v>
      </c>
      <c r="I81" s="45" t="s">
        <v>84</v>
      </c>
      <c r="J81" s="45" t="s">
        <v>118</v>
      </c>
      <c r="K81" s="45" t="s">
        <v>108</v>
      </c>
      <c r="L81" s="45" t="s">
        <v>97</v>
      </c>
      <c r="M81" s="45"/>
      <c r="N81" s="45"/>
      <c r="O81" s="45"/>
      <c r="P81" s="45" t="s">
        <v>98</v>
      </c>
      <c r="Q81" s="45" t="s">
        <v>129</v>
      </c>
      <c r="R81" s="45" t="s">
        <v>281</v>
      </c>
      <c r="S81" s="45" t="s">
        <v>100</v>
      </c>
      <c r="T81" s="45" t="s">
        <v>103</v>
      </c>
      <c r="U81" s="45"/>
      <c r="V81" s="45"/>
      <c r="W81" s="45" t="s">
        <v>185</v>
      </c>
      <c r="X81" s="60">
        <v>45912.40902777778</v>
      </c>
      <c r="Y81" s="45" t="s">
        <v>105</v>
      </c>
      <c r="Z81" s="45" t="s">
        <v>121</v>
      </c>
      <c r="AA81" s="45" t="s">
        <v>109</v>
      </c>
      <c r="AB81" t="str">
        <f>IF(LEFT(Jira__32[[#This Row],[Resumen]],3)="POS","POS",IF(LEFT(Jira__32[[#This Row],[Resumen]],3)="BOT","BOT",""))</f>
        <v>POS</v>
      </c>
      <c r="AC81" s="10" t="s">
        <v>47</v>
      </c>
      <c r="AE81" s="24" t="str" cm="1">
        <f t="array" ref="AE81">_xlfn.IFS(OR(COUNTIF(P81:V81,Versiones!$G$9)&gt;0, COUNTIF(P81:V81,Versiones!$H$8)&gt;0), "Sprint 21",OR(COUNTIF(P81:V81,Versiones!$G$8)&gt;0, COUNTIF(P81:V81,Versiones!$H$8)&gt;0, COUNTIF(P81:V81,Versiones!$I$8)&gt;0), "Sprint 20",OR(COUNTIF(P81:V81,Versiones!$G$7)&gt;0, COUNTIF(P81:V81,Versiones!$H$7)&gt;0, COUNTIF(P81:V81,Versiones!$I$7)&gt;0), "Sprint 19",OR(COUNTIF(P81:V81,Versiones!$G$6)&gt;0, COUNTIF(P81:V81,Versiones!$H$6)&gt;0, COUNTIF(P81:V81,Versiones!$I$6)&gt;0), "Sprint 18",OR(COUNTIF(P81:V81,Versiones!$G$4)&gt;0, COUNTIF(P81:V81,Versiones!$H$4)&gt;0, COUNTIF(P81:V81,Versiones!$G$5)&gt;0, COUNTIF(P81:V81,Versiones!$H$5)&gt;0), "Sprint 17",OR(COUNTIF(P81:V81,Versiones!$G$2)&gt;0, COUNTIF(P81:V81,Versiones!$H$2)&gt;0, COUNTIF(P81:V81,Versiones!$G$3)&gt;0, COUNTIF(P81:V81,Versiones!$H$3)&gt;0), "Sprint 16", OR(COUNTIF(P81:V81,Versiones!$G$2)&gt;0, COUNTIF(P81:V81,Versiones!$H$2)&gt;0, COUNTIF(P81:V81,Versiones!$G$3)&gt;0, COUNTIF(P81:V81,Versiones!$H$3)&gt;0), "Sprint 16",TRUE, "")</f>
        <v>Sprint 18</v>
      </c>
      <c r="AF81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81" t="str" cm="1">
        <f t="array" ref="AG81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81" s="24" t="str" cm="1">
        <f t="array" ref="AH81">_xlfn.IFS(COUNTIF(P81:V81, Versiones!$A$13)&gt;0, "Funcional", COUNTIF(P81:V81, Versiones!$A$14)&gt;0, "Configuración", COUNTIF(P81:V81, Versiones!$A$15)&gt;0, "Look&amp;Feel", COUNTIF(P81:V81, Versiones!$A$16)&gt;0, "Integración", COUNTIF(P81:V81, Versiones!$A$17)&gt;0, "Contenido/Datos", COUNTIF(P81:V81, Versiones!$A$18)&gt;0, "Eventos_Cosmos", COUNTIF(P81:V81, Versiones!$A$19)&gt;0, "Eventos_iOT", COUNTIF(P81:V81, Versiones!$A$20)&gt;0, "Eventos_Fabric", TRUE, "No encontrado")</f>
        <v>Eventos_iOT</v>
      </c>
    </row>
    <row r="82" spans="1:34">
      <c r="A82" s="45" t="s">
        <v>35</v>
      </c>
      <c r="B82" s="45" t="s">
        <v>291</v>
      </c>
      <c r="C82" s="45">
        <v>94311</v>
      </c>
      <c r="D82" s="45" t="s">
        <v>292</v>
      </c>
      <c r="E82" s="45">
        <v>87100</v>
      </c>
      <c r="F82" s="45" t="s">
        <v>38</v>
      </c>
      <c r="G82" s="45" t="s">
        <v>39</v>
      </c>
      <c r="H82" s="45" t="s">
        <v>40</v>
      </c>
      <c r="I82" s="45" t="s">
        <v>84</v>
      </c>
      <c r="J82" s="45" t="s">
        <v>108</v>
      </c>
      <c r="K82" s="45" t="s">
        <v>97</v>
      </c>
      <c r="L82" s="45"/>
      <c r="M82" s="45"/>
      <c r="N82" s="45"/>
      <c r="O82" s="45"/>
      <c r="P82" s="45" t="s">
        <v>98</v>
      </c>
      <c r="Q82" s="45" t="s">
        <v>129</v>
      </c>
      <c r="R82" s="45" t="s">
        <v>281</v>
      </c>
      <c r="S82" s="45" t="s">
        <v>100</v>
      </c>
      <c r="T82" s="45" t="s">
        <v>103</v>
      </c>
      <c r="U82" s="45"/>
      <c r="V82" s="45"/>
      <c r="W82" s="45" t="s">
        <v>185</v>
      </c>
      <c r="X82" s="60">
        <v>45912.357638888891</v>
      </c>
      <c r="Y82" s="45" t="s">
        <v>186</v>
      </c>
      <c r="Z82" s="45"/>
      <c r="AA82" s="45"/>
      <c r="AB82" t="str">
        <f>IF(LEFT(Jira__32[[#This Row],[Resumen]],3)="POS","POS",IF(LEFT(Jira__32[[#This Row],[Resumen]],3)="BOT","BOT",""))</f>
        <v>BOT</v>
      </c>
      <c r="AC82" s="10" t="s">
        <v>59</v>
      </c>
      <c r="AE82" s="24" t="str" cm="1">
        <f t="array" ref="AE82">_xlfn.IFS(OR(COUNTIF(P82:V82,Versiones!$G$9)&gt;0, COUNTIF(P82:V82,Versiones!$H$8)&gt;0), "Sprint 21",OR(COUNTIF(P82:V82,Versiones!$G$8)&gt;0, COUNTIF(P82:V82,Versiones!$H$8)&gt;0, COUNTIF(P82:V82,Versiones!$I$8)&gt;0), "Sprint 20",OR(COUNTIF(P82:V82,Versiones!$G$7)&gt;0, COUNTIF(P82:V82,Versiones!$H$7)&gt;0, COUNTIF(P82:V82,Versiones!$I$7)&gt;0), "Sprint 19",OR(COUNTIF(P82:V82,Versiones!$G$6)&gt;0, COUNTIF(P82:V82,Versiones!$H$6)&gt;0, COUNTIF(P82:V82,Versiones!$I$6)&gt;0), "Sprint 18",OR(COUNTIF(P82:V82,Versiones!$G$4)&gt;0, COUNTIF(P82:V82,Versiones!$H$4)&gt;0, COUNTIF(P82:V82,Versiones!$G$5)&gt;0, COUNTIF(P82:V82,Versiones!$H$5)&gt;0), "Sprint 17",OR(COUNTIF(P82:V82,Versiones!$G$2)&gt;0, COUNTIF(P82:V82,Versiones!$H$2)&gt;0, COUNTIF(P82:V82,Versiones!$G$3)&gt;0, COUNTIF(P82:V82,Versiones!$H$3)&gt;0), "Sprint 16", OR(COUNTIF(P82:V82,Versiones!$G$2)&gt;0, COUNTIF(P82:V82,Versiones!$H$2)&gt;0, COUNTIF(P82:V82,Versiones!$G$3)&gt;0, COUNTIF(P82:V82,Versiones!$H$3)&gt;0), "Sprint 16",TRUE, "")</f>
        <v>Sprint 18</v>
      </c>
      <c r="AF82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v0.8</v>
      </c>
      <c r="AG82" t="str" cm="1">
        <f t="array" ref="AG82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20</v>
      </c>
      <c r="AH82" s="24" t="str" cm="1">
        <f t="array" ref="AH82">_xlfn.IFS(COUNTIF(P82:V82, Versiones!$A$13)&gt;0, "Funcional", COUNTIF(P82:V82, Versiones!$A$14)&gt;0, "Configuración", COUNTIF(P82:V82, Versiones!$A$15)&gt;0, "Look&amp;Feel", COUNTIF(P82:V82, Versiones!$A$16)&gt;0, "Integración", COUNTIF(P82:V82, Versiones!$A$17)&gt;0, "Contenido/Datos", COUNTIF(P82:V82, Versiones!$A$18)&gt;0, "Eventos_Cosmos", COUNTIF(P82:V82, Versiones!$A$19)&gt;0, "Eventos_iOT", COUNTIF(P82:V82, Versiones!$A$20)&gt;0, "Eventos_Fabric", TRUE, "No encontrado")</f>
        <v>Eventos_iOT</v>
      </c>
    </row>
    <row r="83" spans="1:34">
      <c r="A83" s="45" t="s">
        <v>35</v>
      </c>
      <c r="B83" s="45" t="s">
        <v>293</v>
      </c>
      <c r="C83" s="45">
        <v>93423</v>
      </c>
      <c r="D83" s="45" t="s">
        <v>294</v>
      </c>
      <c r="E83" s="45">
        <v>87100</v>
      </c>
      <c r="F83" s="45" t="s">
        <v>38</v>
      </c>
      <c r="G83" s="45" t="s">
        <v>39</v>
      </c>
      <c r="H83" s="45" t="s">
        <v>54</v>
      </c>
      <c r="I83" s="45" t="s">
        <v>41</v>
      </c>
      <c r="J83" s="45" t="s">
        <v>97</v>
      </c>
      <c r="K83" s="45"/>
      <c r="L83" s="45"/>
      <c r="M83" s="45"/>
      <c r="N83" s="45"/>
      <c r="O83" s="45"/>
      <c r="P83" s="45" t="s">
        <v>43</v>
      </c>
      <c r="Q83" s="45" t="s">
        <v>281</v>
      </c>
      <c r="R83" s="45"/>
      <c r="S83" s="45"/>
      <c r="T83" s="45"/>
      <c r="U83" s="45"/>
      <c r="V83" s="45"/>
      <c r="W83" s="45" t="s">
        <v>45</v>
      </c>
      <c r="X83" s="60">
        <v>45908.700694444444</v>
      </c>
      <c r="Y83" s="45"/>
      <c r="Z83" s="45"/>
      <c r="AA83" s="45"/>
      <c r="AB83" t="str">
        <f>IF(LEFT(Jira__32[[#This Row],[Resumen]],3)="POS","POS",IF(LEFT(Jira__32[[#This Row],[Resumen]],3)="BOT","BOT",""))</f>
        <v>BOT</v>
      </c>
      <c r="AC83" s="10" t="s">
        <v>59</v>
      </c>
      <c r="AE83" s="24" t="str" cm="1">
        <f t="array" ref="AE83">_xlfn.IFS(OR(COUNTIF(P83:V83,Versiones!$G$9)&gt;0, COUNTIF(P83:V83,Versiones!$H$8)&gt;0), "Sprint 21",OR(COUNTIF(P83:V83,Versiones!$G$8)&gt;0, COUNTIF(P83:V83,Versiones!$H$8)&gt;0, COUNTIF(P83:V83,Versiones!$I$8)&gt;0), "Sprint 20",OR(COUNTIF(P83:V83,Versiones!$G$7)&gt;0, COUNTIF(P83:V83,Versiones!$H$7)&gt;0, COUNTIF(P83:V83,Versiones!$I$7)&gt;0), "Sprint 19",OR(COUNTIF(P83:V83,Versiones!$G$6)&gt;0, COUNTIF(P83:V83,Versiones!$H$6)&gt;0, COUNTIF(P83:V83,Versiones!$I$6)&gt;0), "Sprint 18",OR(COUNTIF(P83:V83,Versiones!$G$4)&gt;0, COUNTIF(P83:V83,Versiones!$H$4)&gt;0, COUNTIF(P83:V83,Versiones!$G$5)&gt;0, COUNTIF(P83:V83,Versiones!$H$5)&gt;0), "Sprint 17",OR(COUNTIF(P83:V83,Versiones!$G$2)&gt;0, COUNTIF(P83:V83,Versiones!$H$2)&gt;0, COUNTIF(P83:V83,Versiones!$G$3)&gt;0, COUNTIF(P83:V83,Versiones!$H$3)&gt;0), "Sprint 16", OR(COUNTIF(P83:V83,Versiones!$G$2)&gt;0, COUNTIF(P83:V83,Versiones!$H$2)&gt;0, COUNTIF(P83:V83,Versiones!$G$3)&gt;0, COUNTIF(P83:V83,Versiones!$H$3)&gt;0), "Sprint 16",TRUE, "")</f>
        <v>Sprint 18</v>
      </c>
      <c r="AF83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83" t="str" cm="1">
        <f t="array" ref="AG8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83" s="24" t="str" cm="1">
        <f t="array" ref="AH83">_xlfn.IFS(COUNTIF(P83:V83, Versiones!$A$13)&gt;0, "Funcional", COUNTIF(P83:V83, Versiones!$A$14)&gt;0, "Configuración", COUNTIF(P83:V83, Versiones!$A$15)&gt;0, "Look&amp;Feel", COUNTIF(P83:V83, Versiones!$A$16)&gt;0, "Integración", COUNTIF(P83:V83, Versiones!$A$17)&gt;0, "Contenido/Datos", COUNTIF(P83:V83, Versiones!$A$18)&gt;0, "Eventos_Cosmos", COUNTIF(P83:V83, Versiones!$A$19)&gt;0, "Eventos_iOT", COUNTIF(P83:V83, Versiones!$A$20)&gt;0, "Eventos_Fabric", TRUE, "No encontrado")</f>
        <v>Funcional</v>
      </c>
    </row>
    <row r="84" spans="1:34">
      <c r="A84" s="45" t="s">
        <v>35</v>
      </c>
      <c r="B84" s="45" t="s">
        <v>295</v>
      </c>
      <c r="C84" s="45">
        <v>93413</v>
      </c>
      <c r="D84" s="45" t="s">
        <v>296</v>
      </c>
      <c r="E84" s="45">
        <v>87100</v>
      </c>
      <c r="F84" s="45" t="s">
        <v>38</v>
      </c>
      <c r="G84" s="45" t="s">
        <v>39</v>
      </c>
      <c r="H84" s="45" t="s">
        <v>54</v>
      </c>
      <c r="I84" s="45" t="s">
        <v>41</v>
      </c>
      <c r="J84" s="45" t="s">
        <v>97</v>
      </c>
      <c r="K84" s="45"/>
      <c r="L84" s="45"/>
      <c r="M84" s="45"/>
      <c r="N84" s="45"/>
      <c r="O84" s="45"/>
      <c r="P84" s="45" t="s">
        <v>43</v>
      </c>
      <c r="Q84" s="45" t="s">
        <v>281</v>
      </c>
      <c r="R84" s="45"/>
      <c r="S84" s="45"/>
      <c r="T84" s="45"/>
      <c r="U84" s="45"/>
      <c r="V84" s="45"/>
      <c r="W84" s="45" t="s">
        <v>45</v>
      </c>
      <c r="X84" s="60">
        <v>45908.680555555555</v>
      </c>
      <c r="Y84" s="45"/>
      <c r="Z84" s="45"/>
      <c r="AA84" s="45"/>
      <c r="AB84" t="str">
        <f>IF(LEFT(Jira__32[[#This Row],[Resumen]],3)="POS","POS",IF(LEFT(Jira__32[[#This Row],[Resumen]],3)="BOT","BOT",""))</f>
        <v>POS</v>
      </c>
      <c r="AC84" s="10" t="s">
        <v>47</v>
      </c>
      <c r="AE84" s="24" t="str" cm="1">
        <f t="array" ref="AE84">_xlfn.IFS(OR(COUNTIF(P84:V84,Versiones!$G$9)&gt;0, COUNTIF(P84:V84,Versiones!$H$8)&gt;0), "Sprint 21",OR(COUNTIF(P84:V84,Versiones!$G$8)&gt;0, COUNTIF(P84:V84,Versiones!$H$8)&gt;0, COUNTIF(P84:V84,Versiones!$I$8)&gt;0), "Sprint 20",OR(COUNTIF(P84:V84,Versiones!$G$7)&gt;0, COUNTIF(P84:V84,Versiones!$H$7)&gt;0, COUNTIF(P84:V84,Versiones!$I$7)&gt;0), "Sprint 19",OR(COUNTIF(P84:V84,Versiones!$G$6)&gt;0, COUNTIF(P84:V84,Versiones!$H$6)&gt;0, COUNTIF(P84:V84,Versiones!$I$6)&gt;0), "Sprint 18",OR(COUNTIF(P84:V84,Versiones!$G$4)&gt;0, COUNTIF(P84:V84,Versiones!$H$4)&gt;0, COUNTIF(P84:V84,Versiones!$G$5)&gt;0, COUNTIF(P84:V84,Versiones!$H$5)&gt;0), "Sprint 17",OR(COUNTIF(P84:V84,Versiones!$G$2)&gt;0, COUNTIF(P84:V84,Versiones!$H$2)&gt;0, COUNTIF(P84:V84,Versiones!$G$3)&gt;0, COUNTIF(P84:V84,Versiones!$H$3)&gt;0), "Sprint 16", OR(COUNTIF(P84:V84,Versiones!$G$2)&gt;0, COUNTIF(P84:V84,Versiones!$H$2)&gt;0, COUNTIF(P84:V84,Versiones!$G$3)&gt;0, COUNTIF(P84:V84,Versiones!$H$3)&gt;0), "Sprint 16",TRUE, "")</f>
        <v>Sprint 18</v>
      </c>
      <c r="AF84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84" t="str" cm="1">
        <f t="array" ref="AG8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84" s="24" t="str" cm="1">
        <f t="array" ref="AH84">_xlfn.IFS(COUNTIF(P84:V84, Versiones!$A$13)&gt;0, "Funcional", COUNTIF(P84:V84, Versiones!$A$14)&gt;0, "Configuración", COUNTIF(P84:V84, Versiones!$A$15)&gt;0, "Look&amp;Feel", COUNTIF(P84:V84, Versiones!$A$16)&gt;0, "Integración", COUNTIF(P84:V84, Versiones!$A$17)&gt;0, "Contenido/Datos", COUNTIF(P84:V84, Versiones!$A$18)&gt;0, "Eventos_Cosmos", COUNTIF(P84:V84, Versiones!$A$19)&gt;0, "Eventos_iOT", COUNTIF(P84:V84, Versiones!$A$20)&gt;0, "Eventos_Fabric", TRUE, "No encontrado")</f>
        <v>Funcional</v>
      </c>
    </row>
    <row r="85" spans="1:34">
      <c r="A85" s="45" t="s">
        <v>35</v>
      </c>
      <c r="B85" s="45" t="s">
        <v>297</v>
      </c>
      <c r="C85" s="45">
        <v>93369</v>
      </c>
      <c r="D85" s="45" t="s">
        <v>298</v>
      </c>
      <c r="E85" s="45">
        <v>87100</v>
      </c>
      <c r="F85" s="45" t="s">
        <v>38</v>
      </c>
      <c r="G85" s="45" t="s">
        <v>39</v>
      </c>
      <c r="H85" s="45" t="s">
        <v>40</v>
      </c>
      <c r="I85" s="45" t="s">
        <v>84</v>
      </c>
      <c r="J85" s="45" t="s">
        <v>108</v>
      </c>
      <c r="K85" s="45" t="s">
        <v>97</v>
      </c>
      <c r="L85" s="45"/>
      <c r="M85" s="45"/>
      <c r="N85" s="45"/>
      <c r="O85" s="45"/>
      <c r="P85" s="45" t="s">
        <v>43</v>
      </c>
      <c r="Q85" s="45" t="s">
        <v>281</v>
      </c>
      <c r="R85" s="45" t="s">
        <v>100</v>
      </c>
      <c r="S85" s="45" t="s">
        <v>103</v>
      </c>
      <c r="T85" s="45"/>
      <c r="U85" s="45"/>
      <c r="V85" s="45"/>
      <c r="W85" s="45" t="s">
        <v>45</v>
      </c>
      <c r="X85" s="60">
        <v>45908.55972222222</v>
      </c>
      <c r="Y85" s="45" t="s">
        <v>186</v>
      </c>
      <c r="Z85" s="45"/>
      <c r="AA85" s="45"/>
      <c r="AB85" t="str">
        <f>IF(LEFT(Jira__32[[#This Row],[Resumen]],3)="POS","POS",IF(LEFT(Jira__32[[#This Row],[Resumen]],3)="BOT","BOT",""))</f>
        <v>BOT</v>
      </c>
      <c r="AC85" s="10" t="s">
        <v>47</v>
      </c>
      <c r="AE85" s="24" t="str" cm="1">
        <f t="array" ref="AE85">_xlfn.IFS(OR(COUNTIF(P85:V85,Versiones!$G$9)&gt;0, COUNTIF(P85:V85,Versiones!$H$8)&gt;0), "Sprint 21",OR(COUNTIF(P85:V85,Versiones!$G$8)&gt;0, COUNTIF(P85:V85,Versiones!$H$8)&gt;0, COUNTIF(P85:V85,Versiones!$I$8)&gt;0), "Sprint 20",OR(COUNTIF(P85:V85,Versiones!$G$7)&gt;0, COUNTIF(P85:V85,Versiones!$H$7)&gt;0, COUNTIF(P85:V85,Versiones!$I$7)&gt;0), "Sprint 19",OR(COUNTIF(P85:V85,Versiones!$G$6)&gt;0, COUNTIF(P85:V85,Versiones!$H$6)&gt;0, COUNTIF(P85:V85,Versiones!$I$6)&gt;0), "Sprint 18",OR(COUNTIF(P85:V85,Versiones!$G$4)&gt;0, COUNTIF(P85:V85,Versiones!$H$4)&gt;0, COUNTIF(P85:V85,Versiones!$G$5)&gt;0, COUNTIF(P85:V85,Versiones!$H$5)&gt;0), "Sprint 17",OR(COUNTIF(P85:V85,Versiones!$G$2)&gt;0, COUNTIF(P85:V85,Versiones!$H$2)&gt;0, COUNTIF(P85:V85,Versiones!$G$3)&gt;0, COUNTIF(P85:V85,Versiones!$H$3)&gt;0), "Sprint 16", OR(COUNTIF(P85:V85,Versiones!$G$2)&gt;0, COUNTIF(P85:V85,Versiones!$H$2)&gt;0, COUNTIF(P85:V85,Versiones!$G$3)&gt;0, COUNTIF(P85:V85,Versiones!$H$3)&gt;0), "Sprint 16",TRUE, "")</f>
        <v>Sprint 18</v>
      </c>
      <c r="AF85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v0.8</v>
      </c>
      <c r="AG85" t="str" cm="1">
        <f t="array" ref="AG8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20</v>
      </c>
      <c r="AH85" s="24" t="str" cm="1">
        <f t="array" ref="AH85">_xlfn.IFS(COUNTIF(P85:V85, Versiones!$A$13)&gt;0, "Funcional", COUNTIF(P85:V85, Versiones!$A$14)&gt;0, "Configuración", COUNTIF(P85:V85, Versiones!$A$15)&gt;0, "Look&amp;Feel", COUNTIF(P85:V85, Versiones!$A$16)&gt;0, "Integración", COUNTIF(P85:V85, Versiones!$A$17)&gt;0, "Contenido/Datos", COUNTIF(P85:V85, Versiones!$A$18)&gt;0, "Eventos_Cosmos", COUNTIF(P85:V85, Versiones!$A$19)&gt;0, "Eventos_iOT", COUNTIF(P85:V85, Versiones!$A$20)&gt;0, "Eventos_Fabric", TRUE, "No encontrado")</f>
        <v>Funcional</v>
      </c>
    </row>
    <row r="86" spans="1:34">
      <c r="A86" s="45" t="s">
        <v>35</v>
      </c>
      <c r="B86" s="45" t="s">
        <v>299</v>
      </c>
      <c r="C86" s="45">
        <v>92954</v>
      </c>
      <c r="D86" s="45" t="s">
        <v>300</v>
      </c>
      <c r="E86" s="45">
        <v>87100</v>
      </c>
      <c r="F86" s="45" t="s">
        <v>38</v>
      </c>
      <c r="G86" s="45" t="s">
        <v>39</v>
      </c>
      <c r="H86" s="45" t="s">
        <v>54</v>
      </c>
      <c r="I86" s="45" t="s">
        <v>41</v>
      </c>
      <c r="J86" s="45" t="s">
        <v>97</v>
      </c>
      <c r="K86" s="45"/>
      <c r="L86" s="45"/>
      <c r="M86" s="45"/>
      <c r="N86" s="45"/>
      <c r="O86" s="45"/>
      <c r="P86" s="45" t="s">
        <v>43</v>
      </c>
      <c r="Q86" s="45" t="s">
        <v>281</v>
      </c>
      <c r="R86" s="45"/>
      <c r="S86" s="45"/>
      <c r="T86" s="45"/>
      <c r="U86" s="45"/>
      <c r="V86" s="45"/>
      <c r="W86" s="45" t="s">
        <v>45</v>
      </c>
      <c r="X86" s="60">
        <v>45905.272916666669</v>
      </c>
      <c r="Y86" s="45"/>
      <c r="Z86" s="45"/>
      <c r="AA86" s="45"/>
      <c r="AB86" t="str">
        <f>IF(LEFT(Jira__32[[#This Row],[Resumen]],3)="POS","POS",IF(LEFT(Jira__32[[#This Row],[Resumen]],3)="BOT","BOT",""))</f>
        <v>POS</v>
      </c>
      <c r="AC86" s="10" t="s">
        <v>47</v>
      </c>
      <c r="AE86" s="24" t="str" cm="1">
        <f t="array" ref="AE86">_xlfn.IFS(OR(COUNTIF(P86:V86,Versiones!$G$9)&gt;0, COUNTIF(P86:V86,Versiones!$H$8)&gt;0), "Sprint 21",OR(COUNTIF(P86:V86,Versiones!$G$8)&gt;0, COUNTIF(P86:V86,Versiones!$H$8)&gt;0, COUNTIF(P86:V86,Versiones!$I$8)&gt;0), "Sprint 20",OR(COUNTIF(P86:V86,Versiones!$G$7)&gt;0, COUNTIF(P86:V86,Versiones!$H$7)&gt;0, COUNTIF(P86:V86,Versiones!$I$7)&gt;0), "Sprint 19",OR(COUNTIF(P86:V86,Versiones!$G$6)&gt;0, COUNTIF(P86:V86,Versiones!$H$6)&gt;0, COUNTIF(P86:V86,Versiones!$I$6)&gt;0), "Sprint 18",OR(COUNTIF(P86:V86,Versiones!$G$4)&gt;0, COUNTIF(P86:V86,Versiones!$H$4)&gt;0, COUNTIF(P86:V86,Versiones!$G$5)&gt;0, COUNTIF(P86:V86,Versiones!$H$5)&gt;0), "Sprint 17",OR(COUNTIF(P86:V86,Versiones!$G$2)&gt;0, COUNTIF(P86:V86,Versiones!$H$2)&gt;0, COUNTIF(P86:V86,Versiones!$G$3)&gt;0, COUNTIF(P86:V86,Versiones!$H$3)&gt;0), "Sprint 16", OR(COUNTIF(P86:V86,Versiones!$G$2)&gt;0, COUNTIF(P86:V86,Versiones!$H$2)&gt;0, COUNTIF(P86:V86,Versiones!$G$3)&gt;0, COUNTIF(P86:V86,Versiones!$H$3)&gt;0), "Sprint 16",TRUE, "")</f>
        <v>Sprint 18</v>
      </c>
      <c r="AF86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86" t="str" cm="1">
        <f t="array" ref="AG8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86" s="24" t="str" cm="1">
        <f t="array" ref="AH86">_xlfn.IFS(COUNTIF(P86:V86, Versiones!$A$13)&gt;0, "Funcional", COUNTIF(P86:V86, Versiones!$A$14)&gt;0, "Configuración", COUNTIF(P86:V86, Versiones!$A$15)&gt;0, "Look&amp;Feel", COUNTIF(P86:V86, Versiones!$A$16)&gt;0, "Integración", COUNTIF(P86:V86, Versiones!$A$17)&gt;0, "Contenido/Datos", COUNTIF(P86:V86, Versiones!$A$18)&gt;0, "Eventos_Cosmos", COUNTIF(P86:V86, Versiones!$A$19)&gt;0, "Eventos_iOT", COUNTIF(P86:V86, Versiones!$A$20)&gt;0, "Eventos_Fabric", TRUE, "No encontrado")</f>
        <v>Funcional</v>
      </c>
    </row>
    <row r="87" spans="1:34" ht="17.25" customHeight="1">
      <c r="A87" s="45" t="s">
        <v>35</v>
      </c>
      <c r="B87" s="45" t="s">
        <v>301</v>
      </c>
      <c r="C87" s="45">
        <v>92831</v>
      </c>
      <c r="D87" s="45" t="s">
        <v>302</v>
      </c>
      <c r="E87" s="45">
        <v>87100</v>
      </c>
      <c r="F87" s="45" t="s">
        <v>38</v>
      </c>
      <c r="G87" s="45" t="s">
        <v>39</v>
      </c>
      <c r="H87" s="45" t="s">
        <v>54</v>
      </c>
      <c r="I87" s="45" t="s">
        <v>41</v>
      </c>
      <c r="J87" s="45" t="s">
        <v>97</v>
      </c>
      <c r="K87" s="45"/>
      <c r="L87" s="45"/>
      <c r="M87" s="45"/>
      <c r="N87" s="45"/>
      <c r="O87" s="45"/>
      <c r="P87" s="45" t="s">
        <v>43</v>
      </c>
      <c r="Q87" s="45" t="s">
        <v>281</v>
      </c>
      <c r="R87" s="45"/>
      <c r="S87" s="45"/>
      <c r="T87" s="45"/>
      <c r="U87" s="45"/>
      <c r="V87" s="45"/>
      <c r="W87" s="45" t="s">
        <v>45</v>
      </c>
      <c r="X87" s="60">
        <v>45904.65</v>
      </c>
      <c r="Y87" s="45"/>
      <c r="Z87" s="45"/>
      <c r="AA87" s="45"/>
      <c r="AB87" t="str">
        <f>IF(LEFT(Jira__32[[#This Row],[Resumen]],3)="POS","POS",IF(LEFT(Jira__32[[#This Row],[Resumen]],3)="BOT","BOT",""))</f>
        <v>BOT</v>
      </c>
      <c r="AC87" s="10" t="s">
        <v>47</v>
      </c>
      <c r="AE87" s="24" t="str" cm="1">
        <f t="array" ref="AE87">_xlfn.IFS(OR(COUNTIF(P87:V87,Versiones!$G$9)&gt;0, COUNTIF(P87:V87,Versiones!$H$8)&gt;0), "Sprint 21",OR(COUNTIF(P87:V87,Versiones!$G$8)&gt;0, COUNTIF(P87:V87,Versiones!$H$8)&gt;0, COUNTIF(P87:V87,Versiones!$I$8)&gt;0), "Sprint 20",OR(COUNTIF(P87:V87,Versiones!$G$7)&gt;0, COUNTIF(P87:V87,Versiones!$H$7)&gt;0, COUNTIF(P87:V87,Versiones!$I$7)&gt;0), "Sprint 19",OR(COUNTIF(P87:V87,Versiones!$G$6)&gt;0, COUNTIF(P87:V87,Versiones!$H$6)&gt;0, COUNTIF(P87:V87,Versiones!$I$6)&gt;0), "Sprint 18",OR(COUNTIF(P87:V87,Versiones!$G$4)&gt;0, COUNTIF(P87:V87,Versiones!$H$4)&gt;0, COUNTIF(P87:V87,Versiones!$G$5)&gt;0, COUNTIF(P87:V87,Versiones!$H$5)&gt;0), "Sprint 17",OR(COUNTIF(P87:V87,Versiones!$G$2)&gt;0, COUNTIF(P87:V87,Versiones!$H$2)&gt;0, COUNTIF(P87:V87,Versiones!$G$3)&gt;0, COUNTIF(P87:V87,Versiones!$H$3)&gt;0), "Sprint 16", OR(COUNTIF(P87:V87,Versiones!$G$2)&gt;0, COUNTIF(P87:V87,Versiones!$H$2)&gt;0, COUNTIF(P87:V87,Versiones!$G$3)&gt;0, COUNTIF(P87:V87,Versiones!$H$3)&gt;0), "Sprint 16",TRUE, "")</f>
        <v>Sprint 18</v>
      </c>
      <c r="AF87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87" t="str" cm="1">
        <f t="array" ref="AG8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87" s="24" t="str" cm="1">
        <f t="array" ref="AH87">_xlfn.IFS(COUNTIF(P87:V87, Versiones!$A$13)&gt;0, "Funcional", COUNTIF(P87:V87, Versiones!$A$14)&gt;0, "Configuración", COUNTIF(P87:V87, Versiones!$A$15)&gt;0, "Look&amp;Feel", COUNTIF(P87:V87, Versiones!$A$16)&gt;0, "Integración", COUNTIF(P87:V87, Versiones!$A$17)&gt;0, "Contenido/Datos", COUNTIF(P87:V87, Versiones!$A$18)&gt;0, "Eventos_Cosmos", COUNTIF(P87:V87, Versiones!$A$19)&gt;0, "Eventos_iOT", COUNTIF(P87:V87, Versiones!$A$20)&gt;0, "Eventos_Fabric", TRUE, "No encontrado")</f>
        <v>Funcional</v>
      </c>
    </row>
    <row r="88" spans="1:34">
      <c r="A88" s="45" t="s">
        <v>35</v>
      </c>
      <c r="B88" s="45" t="s">
        <v>303</v>
      </c>
      <c r="C88" s="45">
        <v>92821</v>
      </c>
      <c r="D88" s="45" t="s">
        <v>304</v>
      </c>
      <c r="E88" s="45">
        <v>87100</v>
      </c>
      <c r="F88" s="45" t="s">
        <v>38</v>
      </c>
      <c r="G88" s="45" t="s">
        <v>39</v>
      </c>
      <c r="H88" s="45" t="s">
        <v>40</v>
      </c>
      <c r="I88" s="45" t="s">
        <v>41</v>
      </c>
      <c r="J88" s="45" t="s">
        <v>42</v>
      </c>
      <c r="K88" s="45"/>
      <c r="L88" s="45"/>
      <c r="M88" s="45"/>
      <c r="N88" s="45"/>
      <c r="O88" s="45"/>
      <c r="P88" s="45" t="s">
        <v>55</v>
      </c>
      <c r="Q88" s="45" t="s">
        <v>281</v>
      </c>
      <c r="R88" s="45" t="s">
        <v>100</v>
      </c>
      <c r="S88" s="45" t="s">
        <v>103</v>
      </c>
      <c r="T88" s="45"/>
      <c r="U88" s="45"/>
      <c r="V88" s="45"/>
      <c r="W88" s="45" t="s">
        <v>45</v>
      </c>
      <c r="X88" s="60">
        <v>45904.629166666666</v>
      </c>
      <c r="Y88" s="45"/>
      <c r="Z88" s="45"/>
      <c r="AA88" s="45"/>
      <c r="AB88" t="str">
        <f>IF(LEFT(Jira__32[[#This Row],[Resumen]],3)="POS","POS",IF(LEFT(Jira__32[[#This Row],[Resumen]],3)="BOT","BOT",""))</f>
        <v>BOT</v>
      </c>
      <c r="AC88" s="10" t="s">
        <v>47</v>
      </c>
      <c r="AE88" s="24" t="str" cm="1">
        <f t="array" ref="AE88">_xlfn.IFS(OR(COUNTIF(P88:V88,Versiones!$G$9)&gt;0, COUNTIF(P88:V88,Versiones!$H$8)&gt;0), "Sprint 21",OR(COUNTIF(P88:V88,Versiones!$G$8)&gt;0, COUNTIF(P88:V88,Versiones!$H$8)&gt;0, COUNTIF(P88:V88,Versiones!$I$8)&gt;0), "Sprint 20",OR(COUNTIF(P88:V88,Versiones!$G$7)&gt;0, COUNTIF(P88:V88,Versiones!$H$7)&gt;0, COUNTIF(P88:V88,Versiones!$I$7)&gt;0), "Sprint 19",OR(COUNTIF(P88:V88,Versiones!$G$6)&gt;0, COUNTIF(P88:V88,Versiones!$H$6)&gt;0, COUNTIF(P88:V88,Versiones!$I$6)&gt;0), "Sprint 18",OR(COUNTIF(P88:V88,Versiones!$G$4)&gt;0, COUNTIF(P88:V88,Versiones!$H$4)&gt;0, COUNTIF(P88:V88,Versiones!$G$5)&gt;0, COUNTIF(P88:V88,Versiones!$H$5)&gt;0), "Sprint 17",OR(COUNTIF(P88:V88,Versiones!$G$2)&gt;0, COUNTIF(P88:V88,Versiones!$H$2)&gt;0, COUNTIF(P88:V88,Versiones!$G$3)&gt;0, COUNTIF(P88:V88,Versiones!$H$3)&gt;0), "Sprint 16", OR(COUNTIF(P88:V88,Versiones!$G$2)&gt;0, COUNTIF(P88:V88,Versiones!$H$2)&gt;0, COUNTIF(P88:V88,Versiones!$G$3)&gt;0, COUNTIF(P88:V88,Versiones!$H$3)&gt;0), "Sprint 16",TRUE, "")</f>
        <v>Sprint 18</v>
      </c>
      <c r="AF88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88" t="str" cm="1">
        <f t="array" ref="AG8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88" s="24" t="str" cm="1">
        <f t="array" ref="AH88">_xlfn.IFS(COUNTIF(P88:V88, Versiones!$A$13)&gt;0, "Funcional", COUNTIF(P88:V88, Versiones!$A$14)&gt;0, "Configuración", COUNTIF(P88:V88, Versiones!$A$15)&gt;0, "Look&amp;Feel", COUNTIF(P88:V88, Versiones!$A$16)&gt;0, "Integración", COUNTIF(P88:V88, Versiones!$A$17)&gt;0, "Contenido/Datos", COUNTIF(P88:V88, Versiones!$A$18)&gt;0, "Eventos_Cosmos", COUNTIF(P88:V88, Versiones!$A$19)&gt;0, "Eventos_iOT", COUNTIF(P88:V88, Versiones!$A$20)&gt;0, "Eventos_Fabric", TRUE, "No encontrado")</f>
        <v>Look&amp;Feel</v>
      </c>
    </row>
    <row r="89" spans="1:34">
      <c r="A89" s="45" t="s">
        <v>35</v>
      </c>
      <c r="B89" s="45" t="s">
        <v>305</v>
      </c>
      <c r="C89" s="45">
        <v>92641</v>
      </c>
      <c r="D89" s="45" t="s">
        <v>306</v>
      </c>
      <c r="E89" s="45">
        <v>87100</v>
      </c>
      <c r="F89" s="45" t="s">
        <v>38</v>
      </c>
      <c r="G89" s="45" t="s">
        <v>39</v>
      </c>
      <c r="H89" s="45" t="s">
        <v>40</v>
      </c>
      <c r="I89" s="45" t="s">
        <v>85</v>
      </c>
      <c r="J89" s="45" t="s">
        <v>42</v>
      </c>
      <c r="K89" s="45"/>
      <c r="L89" s="45"/>
      <c r="M89" s="45"/>
      <c r="N89" s="45"/>
      <c r="O89" s="45"/>
      <c r="P89" s="45" t="s">
        <v>64</v>
      </c>
      <c r="Q89" s="45" t="s">
        <v>307</v>
      </c>
      <c r="R89" s="45" t="s">
        <v>100</v>
      </c>
      <c r="S89" s="45" t="s">
        <v>103</v>
      </c>
      <c r="T89" s="45"/>
      <c r="U89" s="45"/>
      <c r="V89" s="45"/>
      <c r="W89" s="45" t="s">
        <v>65</v>
      </c>
      <c r="X89" s="60">
        <v>45904.413194444445</v>
      </c>
      <c r="Y89" s="45" t="s">
        <v>266</v>
      </c>
      <c r="Z89" s="45"/>
      <c r="AA89" s="45"/>
      <c r="AB89" t="str">
        <f>IF(LEFT(Jira__32[[#This Row],[Resumen]],3)="POS","POS",IF(LEFT(Jira__32[[#This Row],[Resumen]],3)="BOT","BOT",""))</f>
        <v>BOT</v>
      </c>
      <c r="AC89" s="10" t="s">
        <v>47</v>
      </c>
      <c r="AD89" s="10"/>
      <c r="AE89" s="24" t="str" cm="1">
        <f t="array" ref="AE89">_xlfn.IFS(OR(COUNTIF(P89:V89,Versiones!$G$9)&gt;0, COUNTIF(P89:V89,Versiones!$H$8)&gt;0), "Sprint 21",OR(COUNTIF(P89:V89,Versiones!$G$8)&gt;0, COUNTIF(P89:V89,Versiones!$H$8)&gt;0, COUNTIF(P89:V89,Versiones!$I$8)&gt;0), "Sprint 20",OR(COUNTIF(P89:V89,Versiones!$G$7)&gt;0, COUNTIF(P89:V89,Versiones!$H$7)&gt;0, COUNTIF(P89:V89,Versiones!$I$7)&gt;0), "Sprint 19",OR(COUNTIF(P89:V89,Versiones!$G$6)&gt;0, COUNTIF(P89:V89,Versiones!$H$6)&gt;0, COUNTIF(P89:V89,Versiones!$I$6)&gt;0), "Sprint 18",OR(COUNTIF(P89:V89,Versiones!$G$4)&gt;0, COUNTIF(P89:V89,Versiones!$H$4)&gt;0, COUNTIF(P89:V89,Versiones!$G$5)&gt;0, COUNTIF(P89:V89,Versiones!$H$5)&gt;0), "Sprint 17",OR(COUNTIF(P89:V89,Versiones!$G$2)&gt;0, COUNTIF(P89:V89,Versiones!$H$2)&gt;0, COUNTIF(P89:V89,Versiones!$G$3)&gt;0, COUNTIF(P89:V89,Versiones!$H$3)&gt;0), "Sprint 16", OR(COUNTIF(P89:V89,Versiones!$G$2)&gt;0, COUNTIF(P89:V89,Versiones!$H$2)&gt;0, COUNTIF(P89:V89,Versiones!$G$3)&gt;0, COUNTIF(P89:V89,Versiones!$H$3)&gt;0), "Sprint 16",TRUE, "")</f>
        <v>Sprint 18</v>
      </c>
      <c r="AF89" s="24" t="s">
        <v>266</v>
      </c>
      <c r="AG89" t="s">
        <v>50</v>
      </c>
      <c r="AH89" s="24" t="str" cm="1">
        <f t="array" ref="AH89">_xlfn.IFS(COUNTIF(P89:V89, Versiones!$A$13)&gt;0, "Funcional", COUNTIF(P89:V89, Versiones!$A$14)&gt;0, "Configuración", COUNTIF(P89:V89, Versiones!$A$15)&gt;0, "Look&amp;Feel", COUNTIF(P89:V89, Versiones!$A$16)&gt;0, "Integración", COUNTIF(P89:V89, Versiones!$A$17)&gt;0, "Contenido/Datos", COUNTIF(P89:V89, Versiones!$A$18)&gt;0, "Eventos_Cosmos", COUNTIF(P89:V89, Versiones!$A$19)&gt;0, "Eventos_iOT", COUNTIF(P89:V89, Versiones!$A$20)&gt;0, "Eventos_Fabric", TRUE, "No encontrado")</f>
        <v>Contenido/Datos</v>
      </c>
    </row>
    <row r="90" spans="1:34">
      <c r="A90" s="45" t="s">
        <v>35</v>
      </c>
      <c r="B90" s="45" t="s">
        <v>308</v>
      </c>
      <c r="C90" s="45">
        <v>92636</v>
      </c>
      <c r="D90" s="45" t="s">
        <v>309</v>
      </c>
      <c r="E90" s="45">
        <v>87100</v>
      </c>
      <c r="F90" s="45" t="s">
        <v>38</v>
      </c>
      <c r="G90" s="45" t="s">
        <v>39</v>
      </c>
      <c r="H90" s="45" t="s">
        <v>192</v>
      </c>
      <c r="I90" s="45" t="s">
        <v>84</v>
      </c>
      <c r="J90" s="45" t="s">
        <v>118</v>
      </c>
      <c r="K90" s="45" t="s">
        <v>108</v>
      </c>
      <c r="L90" s="45" t="s">
        <v>97</v>
      </c>
      <c r="M90" s="45"/>
      <c r="N90" s="45"/>
      <c r="O90" s="45"/>
      <c r="P90" s="45" t="s">
        <v>43</v>
      </c>
      <c r="Q90" s="45" t="s">
        <v>119</v>
      </c>
      <c r="R90" s="45" t="s">
        <v>307</v>
      </c>
      <c r="S90" s="45" t="s">
        <v>100</v>
      </c>
      <c r="T90" s="45" t="s">
        <v>103</v>
      </c>
      <c r="U90" s="45"/>
      <c r="V90" s="45"/>
      <c r="W90" s="45" t="s">
        <v>65</v>
      </c>
      <c r="X90" s="60">
        <v>45904.402083333334</v>
      </c>
      <c r="Y90" s="45" t="s">
        <v>109</v>
      </c>
      <c r="Z90" s="45" t="s">
        <v>186</v>
      </c>
      <c r="AA90" s="45"/>
      <c r="AB90" t="str">
        <f>IF(LEFT(Jira__32[[#This Row],[Resumen]],3)="POS","POS",IF(LEFT(Jira__32[[#This Row],[Resumen]],3)="BOT","BOT",""))</f>
        <v>BOT</v>
      </c>
      <c r="AC90" s="10" t="s">
        <v>47</v>
      </c>
      <c r="AE90" s="24" t="str" cm="1">
        <f t="array" ref="AE90">_xlfn.IFS(OR(COUNTIF(P90:V90,Versiones!$G$9)&gt;0, COUNTIF(P90:V90,Versiones!$H$8)&gt;0), "Sprint 21",OR(COUNTIF(P90:V90,Versiones!$G$8)&gt;0, COUNTIF(P90:V90,Versiones!$H$8)&gt;0, COUNTIF(P90:V90,Versiones!$I$8)&gt;0), "Sprint 20",OR(COUNTIF(P90:V90,Versiones!$G$7)&gt;0, COUNTIF(P90:V90,Versiones!$H$7)&gt;0, COUNTIF(P90:V90,Versiones!$I$7)&gt;0), "Sprint 19",OR(COUNTIF(P90:V90,Versiones!$G$6)&gt;0, COUNTIF(P90:V90,Versiones!$H$6)&gt;0, COUNTIF(P90:V90,Versiones!$I$6)&gt;0), "Sprint 18",OR(COUNTIF(P90:V90,Versiones!$G$4)&gt;0, COUNTIF(P90:V90,Versiones!$H$4)&gt;0, COUNTIF(P90:V90,Versiones!$G$5)&gt;0, COUNTIF(P90:V90,Versiones!$H$5)&gt;0), "Sprint 17",OR(COUNTIF(P90:V90,Versiones!$G$2)&gt;0, COUNTIF(P90:V90,Versiones!$H$2)&gt;0, COUNTIF(P90:V90,Versiones!$G$3)&gt;0, COUNTIF(P90:V90,Versiones!$H$3)&gt;0), "Sprint 16", OR(COUNTIF(P90:V90,Versiones!$G$2)&gt;0, COUNTIF(P90:V90,Versiones!$H$2)&gt;0, COUNTIF(P90:V90,Versiones!$G$3)&gt;0, COUNTIF(P90:V90,Versiones!$H$3)&gt;0), "Sprint 16",TRUE, "")</f>
        <v>Sprint 18</v>
      </c>
      <c r="AF90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v0.8</v>
      </c>
      <c r="AG90" t="str" cm="1">
        <f t="array" ref="AG90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20</v>
      </c>
      <c r="AH90" s="24" t="str" cm="1">
        <f t="array" ref="AH90">_xlfn.IFS(COUNTIF(P90:V90, Versiones!$A$13)&gt;0, "Funcional", COUNTIF(P90:V90, Versiones!$A$14)&gt;0, "Configuración", COUNTIF(P90:V90, Versiones!$A$15)&gt;0, "Look&amp;Feel", COUNTIF(P90:V90, Versiones!$A$16)&gt;0, "Integración", COUNTIF(P90:V90, Versiones!$A$17)&gt;0, "Contenido/Datos", COUNTIF(P90:V90, Versiones!$A$18)&gt;0, "Eventos_Cosmos", COUNTIF(P90:V90, Versiones!$A$19)&gt;0, "Eventos_iOT", COUNTIF(P90:V90, Versiones!$A$20)&gt;0, "Eventos_Fabric", TRUE, "No encontrado")</f>
        <v>Funcional</v>
      </c>
    </row>
    <row r="91" spans="1:34">
      <c r="A91" s="45" t="s">
        <v>35</v>
      </c>
      <c r="B91" s="45" t="s">
        <v>310</v>
      </c>
      <c r="C91" s="45">
        <v>92633</v>
      </c>
      <c r="D91" s="45" t="s">
        <v>311</v>
      </c>
      <c r="E91" s="45">
        <v>87100</v>
      </c>
      <c r="F91" s="45" t="s">
        <v>38</v>
      </c>
      <c r="G91" s="45" t="s">
        <v>39</v>
      </c>
      <c r="H91" s="45" t="s">
        <v>192</v>
      </c>
      <c r="I91" s="45" t="s">
        <v>84</v>
      </c>
      <c r="J91" s="45" t="s">
        <v>118</v>
      </c>
      <c r="K91" s="45" t="s">
        <v>108</v>
      </c>
      <c r="L91" s="45" t="s">
        <v>97</v>
      </c>
      <c r="M91" s="45"/>
      <c r="N91" s="45"/>
      <c r="O91" s="45"/>
      <c r="P91" s="45" t="s">
        <v>64</v>
      </c>
      <c r="Q91" s="45" t="s">
        <v>119</v>
      </c>
      <c r="R91" s="45" t="s">
        <v>307</v>
      </c>
      <c r="S91" s="45" t="s">
        <v>100</v>
      </c>
      <c r="T91" s="45" t="s">
        <v>103</v>
      </c>
      <c r="U91" s="45"/>
      <c r="V91" s="45"/>
      <c r="W91" s="45" t="s">
        <v>65</v>
      </c>
      <c r="X91" s="60">
        <v>45904.398611111108</v>
      </c>
      <c r="Y91" s="45" t="s">
        <v>109</v>
      </c>
      <c r="Z91" s="45"/>
      <c r="AA91" s="45"/>
      <c r="AB91" t="str">
        <f>IF(LEFT(Jira__32[[#This Row],[Resumen]],3)="POS","POS",IF(LEFT(Jira__32[[#This Row],[Resumen]],3)="BOT","BOT",""))</f>
        <v>BOT</v>
      </c>
      <c r="AC91" s="10" t="s">
        <v>47</v>
      </c>
      <c r="AE91" s="24" t="str" cm="1">
        <f t="array" ref="AE91">_xlfn.IFS(OR(COUNTIF(P91:V91,Versiones!$G$9)&gt;0, COUNTIF(P91:V91,Versiones!$H$8)&gt;0), "Sprint 21",OR(COUNTIF(P91:V91,Versiones!$G$8)&gt;0, COUNTIF(P91:V91,Versiones!$H$8)&gt;0, COUNTIF(P91:V91,Versiones!$I$8)&gt;0), "Sprint 20",OR(COUNTIF(P91:V91,Versiones!$G$7)&gt;0, COUNTIF(P91:V91,Versiones!$H$7)&gt;0, COUNTIF(P91:V91,Versiones!$I$7)&gt;0), "Sprint 19",OR(COUNTIF(P91:V91,Versiones!$G$6)&gt;0, COUNTIF(P91:V91,Versiones!$H$6)&gt;0, COUNTIF(P91:V91,Versiones!$I$6)&gt;0), "Sprint 18",OR(COUNTIF(P91:V91,Versiones!$G$4)&gt;0, COUNTIF(P91:V91,Versiones!$H$4)&gt;0, COUNTIF(P91:V91,Versiones!$G$5)&gt;0, COUNTIF(P91:V91,Versiones!$H$5)&gt;0), "Sprint 17",OR(COUNTIF(P91:V91,Versiones!$G$2)&gt;0, COUNTIF(P91:V91,Versiones!$H$2)&gt;0, COUNTIF(P91:V91,Versiones!$G$3)&gt;0, COUNTIF(P91:V91,Versiones!$H$3)&gt;0), "Sprint 16", OR(COUNTIF(P91:V91,Versiones!$G$2)&gt;0, COUNTIF(P91:V91,Versiones!$H$2)&gt;0, COUNTIF(P91:V91,Versiones!$G$3)&gt;0, COUNTIF(P91:V91,Versiones!$H$3)&gt;0), "Sprint 16",TRUE, "")</f>
        <v>Sprint 18</v>
      </c>
      <c r="AF91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91" t="str" cm="1">
        <f t="array" ref="AG91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91" s="24" t="str" cm="1">
        <f t="array" ref="AH91">_xlfn.IFS(COUNTIF(P91:V91, Versiones!$A$13)&gt;0, "Funcional", COUNTIF(P91:V91, Versiones!$A$14)&gt;0, "Configuración", COUNTIF(P91:V91, Versiones!$A$15)&gt;0, "Look&amp;Feel", COUNTIF(P91:V91, Versiones!$A$16)&gt;0, "Integración", COUNTIF(P91:V91, Versiones!$A$17)&gt;0, "Contenido/Datos", COUNTIF(P91:V91, Versiones!$A$18)&gt;0, "Eventos_Cosmos", COUNTIF(P91:V91, Versiones!$A$19)&gt;0, "Eventos_iOT", COUNTIF(P91:V91, Versiones!$A$20)&gt;0, "Eventos_Fabric", TRUE, "No encontrado")</f>
        <v>Contenido/Datos</v>
      </c>
    </row>
    <row r="92" spans="1:34" ht="18" customHeight="1">
      <c r="A92" s="45" t="s">
        <v>35</v>
      </c>
      <c r="B92" s="45" t="s">
        <v>312</v>
      </c>
      <c r="C92" s="45">
        <v>92630</v>
      </c>
      <c r="D92" s="45" t="s">
        <v>313</v>
      </c>
      <c r="E92" s="45">
        <v>87100</v>
      </c>
      <c r="F92" s="45" t="s">
        <v>38</v>
      </c>
      <c r="G92" s="45" t="s">
        <v>39</v>
      </c>
      <c r="H92" s="45" t="s">
        <v>54</v>
      </c>
      <c r="I92" s="45" t="s">
        <v>41</v>
      </c>
      <c r="J92" s="45" t="s">
        <v>97</v>
      </c>
      <c r="K92" s="45"/>
      <c r="L92" s="45"/>
      <c r="M92" s="45"/>
      <c r="N92" s="45"/>
      <c r="O92" s="45"/>
      <c r="P92" s="45" t="s">
        <v>43</v>
      </c>
      <c r="Q92" s="45" t="s">
        <v>281</v>
      </c>
      <c r="R92" s="45"/>
      <c r="S92" s="45"/>
      <c r="T92" s="45"/>
      <c r="U92" s="45"/>
      <c r="V92" s="45"/>
      <c r="W92" s="45" t="s">
        <v>45</v>
      </c>
      <c r="X92" s="60">
        <v>45904.395833333336</v>
      </c>
      <c r="Y92" s="45"/>
      <c r="Z92" s="45"/>
      <c r="AA92" s="45"/>
      <c r="AB92" t="str">
        <f>IF(LEFT(Jira__32[[#This Row],[Resumen]],3)="POS","POS",IF(LEFT(Jira__32[[#This Row],[Resumen]],3)="BOT","BOT",""))</f>
        <v>BOT</v>
      </c>
      <c r="AC92" s="10" t="s">
        <v>47</v>
      </c>
      <c r="AE92" s="24" t="str" cm="1">
        <f t="array" ref="AE92">_xlfn.IFS(OR(COUNTIF(P92:V92,Versiones!$G$9)&gt;0, COUNTIF(P92:V92,Versiones!$H$8)&gt;0), "Sprint 21",OR(COUNTIF(P92:V92,Versiones!$G$8)&gt;0, COUNTIF(P92:V92,Versiones!$H$8)&gt;0, COUNTIF(P92:V92,Versiones!$I$8)&gt;0), "Sprint 20",OR(COUNTIF(P92:V92,Versiones!$G$7)&gt;0, COUNTIF(P92:V92,Versiones!$H$7)&gt;0, COUNTIF(P92:V92,Versiones!$I$7)&gt;0), "Sprint 19",OR(COUNTIF(P92:V92,Versiones!$G$6)&gt;0, COUNTIF(P92:V92,Versiones!$H$6)&gt;0, COUNTIF(P92:V92,Versiones!$I$6)&gt;0), "Sprint 18",OR(COUNTIF(P92:V92,Versiones!$G$4)&gt;0, COUNTIF(P92:V92,Versiones!$H$4)&gt;0, COUNTIF(P92:V92,Versiones!$G$5)&gt;0, COUNTIF(P92:V92,Versiones!$H$5)&gt;0), "Sprint 17",OR(COUNTIF(P92:V92,Versiones!$G$2)&gt;0, COUNTIF(P92:V92,Versiones!$H$2)&gt;0, COUNTIF(P92:V92,Versiones!$G$3)&gt;0, COUNTIF(P92:V92,Versiones!$H$3)&gt;0), "Sprint 16", OR(COUNTIF(P92:V92,Versiones!$G$2)&gt;0, COUNTIF(P92:V92,Versiones!$H$2)&gt;0, COUNTIF(P92:V92,Versiones!$G$3)&gt;0, COUNTIF(P92:V92,Versiones!$H$3)&gt;0), "Sprint 16",TRUE, "")</f>
        <v>Sprint 18</v>
      </c>
      <c r="AF92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92" t="str" cm="1">
        <f t="array" ref="AG92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92" s="24" t="str" cm="1">
        <f t="array" ref="AH92">_xlfn.IFS(COUNTIF(P92:V92, Versiones!$A$13)&gt;0, "Funcional", COUNTIF(P92:V92, Versiones!$A$14)&gt;0, "Configuración", COUNTIF(P92:V92, Versiones!$A$15)&gt;0, "Look&amp;Feel", COUNTIF(P92:V92, Versiones!$A$16)&gt;0, "Integración", COUNTIF(P92:V92, Versiones!$A$17)&gt;0, "Contenido/Datos", COUNTIF(P92:V92, Versiones!$A$18)&gt;0, "Eventos_Cosmos", COUNTIF(P92:V92, Versiones!$A$19)&gt;0, "Eventos_iOT", COUNTIF(P92:V92, Versiones!$A$20)&gt;0, "Eventos_Fabric", TRUE, "No encontrado")</f>
        <v>Funcional</v>
      </c>
    </row>
    <row r="93" spans="1:34">
      <c r="A93" s="45" t="s">
        <v>35</v>
      </c>
      <c r="B93" s="45" t="s">
        <v>314</v>
      </c>
      <c r="C93" s="45">
        <v>92327</v>
      </c>
      <c r="D93" s="45" t="s">
        <v>315</v>
      </c>
      <c r="E93" s="45">
        <v>87100</v>
      </c>
      <c r="F93" s="45" t="s">
        <v>38</v>
      </c>
      <c r="G93" s="45" t="s">
        <v>39</v>
      </c>
      <c r="H93" s="45" t="s">
        <v>192</v>
      </c>
      <c r="I93" s="45" t="s">
        <v>84</v>
      </c>
      <c r="J93" s="45" t="s">
        <v>118</v>
      </c>
      <c r="K93" s="45" t="s">
        <v>108</v>
      </c>
      <c r="L93" s="45" t="s">
        <v>97</v>
      </c>
      <c r="M93" s="45"/>
      <c r="N93" s="45"/>
      <c r="O93" s="45"/>
      <c r="P93" s="45" t="s">
        <v>64</v>
      </c>
      <c r="Q93" s="45" t="s">
        <v>119</v>
      </c>
      <c r="R93" s="45" t="s">
        <v>307</v>
      </c>
      <c r="S93" s="45"/>
      <c r="T93" s="45"/>
      <c r="U93" s="45"/>
      <c r="V93" s="45"/>
      <c r="W93" s="45" t="s">
        <v>65</v>
      </c>
      <c r="X93" s="60">
        <v>45903.552777777775</v>
      </c>
      <c r="Y93" s="45" t="s">
        <v>109</v>
      </c>
      <c r="Z93" s="45"/>
      <c r="AA93" s="45"/>
      <c r="AB93" t="str">
        <f>IF(LEFT(Jira__32[[#This Row],[Resumen]],3)="POS","POS",IF(LEFT(Jira__32[[#This Row],[Resumen]],3)="BOT","BOT",""))</f>
        <v>POS</v>
      </c>
      <c r="AC93" s="10" t="s">
        <v>110</v>
      </c>
      <c r="AE93" s="24" t="str" cm="1">
        <f t="array" ref="AE93">_xlfn.IFS(OR(COUNTIF(P93:V93,Versiones!$G$9)&gt;0, COUNTIF(P93:V93,Versiones!$H$8)&gt;0), "Sprint 21",OR(COUNTIF(P93:V93,Versiones!$G$8)&gt;0, COUNTIF(P93:V93,Versiones!$H$8)&gt;0, COUNTIF(P93:V93,Versiones!$I$8)&gt;0), "Sprint 20",OR(COUNTIF(P93:V93,Versiones!$G$7)&gt;0, COUNTIF(P93:V93,Versiones!$H$7)&gt;0, COUNTIF(P93:V93,Versiones!$I$7)&gt;0), "Sprint 19",OR(COUNTIF(P93:V93,Versiones!$G$6)&gt;0, COUNTIF(P93:V93,Versiones!$H$6)&gt;0, COUNTIF(P93:V93,Versiones!$I$6)&gt;0), "Sprint 18",OR(COUNTIF(P93:V93,Versiones!$G$4)&gt;0, COUNTIF(P93:V93,Versiones!$H$4)&gt;0, COUNTIF(P93:V93,Versiones!$G$5)&gt;0, COUNTIF(P93:V93,Versiones!$H$5)&gt;0), "Sprint 17",OR(COUNTIF(P93:V93,Versiones!$G$2)&gt;0, COUNTIF(P93:V93,Versiones!$H$2)&gt;0, COUNTIF(P93:V93,Versiones!$G$3)&gt;0, COUNTIF(P93:V93,Versiones!$H$3)&gt;0), "Sprint 16", OR(COUNTIF(P93:V93,Versiones!$G$2)&gt;0, COUNTIF(P93:V93,Versiones!$H$2)&gt;0, COUNTIF(P93:V93,Versiones!$G$3)&gt;0, COUNTIF(P93:V93,Versiones!$H$3)&gt;0), "Sprint 16",TRUE, "")</f>
        <v>Sprint 18</v>
      </c>
      <c r="AF93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93" t="str" cm="1">
        <f t="array" ref="AG9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93" s="24" t="str" cm="1">
        <f t="array" ref="AH93">_xlfn.IFS(COUNTIF(P93:V93, Versiones!$A$13)&gt;0, "Funcional", COUNTIF(P93:V93, Versiones!$A$14)&gt;0, "Configuración", COUNTIF(P93:V93, Versiones!$A$15)&gt;0, "Look&amp;Feel", COUNTIF(P93:V93, Versiones!$A$16)&gt;0, "Integración", COUNTIF(P93:V93, Versiones!$A$17)&gt;0, "Contenido/Datos", COUNTIF(P93:V93, Versiones!$A$18)&gt;0, "Eventos_Cosmos", COUNTIF(P93:V93, Versiones!$A$19)&gt;0, "Eventos_iOT", COUNTIF(P93:V93, Versiones!$A$20)&gt;0, "Eventos_Fabric", TRUE, "No encontrado")</f>
        <v>Contenido/Datos</v>
      </c>
    </row>
    <row r="94" spans="1:34">
      <c r="A94" s="45" t="s">
        <v>35</v>
      </c>
      <c r="B94" s="45" t="s">
        <v>316</v>
      </c>
      <c r="C94" s="45">
        <v>92278</v>
      </c>
      <c r="D94" s="45" t="s">
        <v>317</v>
      </c>
      <c r="E94" s="45">
        <v>87100</v>
      </c>
      <c r="F94" s="45" t="s">
        <v>38</v>
      </c>
      <c r="G94" s="45" t="s">
        <v>39</v>
      </c>
      <c r="H94" s="45" t="s">
        <v>40</v>
      </c>
      <c r="I94" s="45" t="s">
        <v>84</v>
      </c>
      <c r="J94" s="45" t="s">
        <v>118</v>
      </c>
      <c r="K94" s="45" t="s">
        <v>108</v>
      </c>
      <c r="L94" s="45" t="s">
        <v>97</v>
      </c>
      <c r="M94" s="45"/>
      <c r="N94" s="45"/>
      <c r="O94" s="45"/>
      <c r="P94" s="45" t="s">
        <v>64</v>
      </c>
      <c r="Q94" s="45" t="s">
        <v>119</v>
      </c>
      <c r="R94" s="45" t="s">
        <v>307</v>
      </c>
      <c r="S94" s="45"/>
      <c r="T94" s="45"/>
      <c r="U94" s="45"/>
      <c r="V94" s="45"/>
      <c r="W94" s="45" t="s">
        <v>65</v>
      </c>
      <c r="X94" s="60">
        <v>45903.515972222223</v>
      </c>
      <c r="Y94" s="45" t="s">
        <v>109</v>
      </c>
      <c r="Z94" s="45"/>
      <c r="AA94" s="45"/>
      <c r="AB94" t="str">
        <f>IF(LEFT(Jira__32[[#This Row],[Resumen]],3)="POS","POS",IF(LEFT(Jira__32[[#This Row],[Resumen]],3)="BOT","BOT",""))</f>
        <v>POS</v>
      </c>
      <c r="AC94" s="10" t="s">
        <v>47</v>
      </c>
      <c r="AE94" s="24" t="str" cm="1">
        <f t="array" ref="AE94">_xlfn.IFS(OR(COUNTIF(P94:V94,Versiones!$G$9)&gt;0, COUNTIF(P94:V94,Versiones!$H$8)&gt;0), "Sprint 21",OR(COUNTIF(P94:V94,Versiones!$G$8)&gt;0, COUNTIF(P94:V94,Versiones!$H$8)&gt;0, COUNTIF(P94:V94,Versiones!$I$8)&gt;0), "Sprint 20",OR(COUNTIF(P94:V94,Versiones!$G$7)&gt;0, COUNTIF(P94:V94,Versiones!$H$7)&gt;0, COUNTIF(P94:V94,Versiones!$I$7)&gt;0), "Sprint 19",OR(COUNTIF(P94:V94,Versiones!$G$6)&gt;0, COUNTIF(P94:V94,Versiones!$H$6)&gt;0, COUNTIF(P94:V94,Versiones!$I$6)&gt;0), "Sprint 18",OR(COUNTIF(P94:V94,Versiones!$G$4)&gt;0, COUNTIF(P94:V94,Versiones!$H$4)&gt;0, COUNTIF(P94:V94,Versiones!$G$5)&gt;0, COUNTIF(P94:V94,Versiones!$H$5)&gt;0), "Sprint 17",OR(COUNTIF(P94:V94,Versiones!$G$2)&gt;0, COUNTIF(P94:V94,Versiones!$H$2)&gt;0, COUNTIF(P94:V94,Versiones!$G$3)&gt;0, COUNTIF(P94:V94,Versiones!$H$3)&gt;0), "Sprint 16", OR(COUNTIF(P94:V94,Versiones!$G$2)&gt;0, COUNTIF(P94:V94,Versiones!$H$2)&gt;0, COUNTIF(P94:V94,Versiones!$G$3)&gt;0, COUNTIF(P94:V94,Versiones!$H$3)&gt;0), "Sprint 16",TRUE, "")</f>
        <v>Sprint 18</v>
      </c>
      <c r="AF94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94" t="str" cm="1">
        <f t="array" ref="AG9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94" s="24" t="str" cm="1">
        <f t="array" ref="AH94">_xlfn.IFS(COUNTIF(P94:V94, Versiones!$A$13)&gt;0, "Funcional", COUNTIF(P94:V94, Versiones!$A$14)&gt;0, "Configuración", COUNTIF(P94:V94, Versiones!$A$15)&gt;0, "Look&amp;Feel", COUNTIF(P94:V94, Versiones!$A$16)&gt;0, "Integración", COUNTIF(P94:V94, Versiones!$A$17)&gt;0, "Contenido/Datos", COUNTIF(P94:V94, Versiones!$A$18)&gt;0, "Eventos_Cosmos", COUNTIF(P94:V94, Versiones!$A$19)&gt;0, "Eventos_iOT", COUNTIF(P94:V94, Versiones!$A$20)&gt;0, "Eventos_Fabric", TRUE, "No encontrado")</f>
        <v>Contenido/Datos</v>
      </c>
    </row>
    <row r="95" spans="1:34">
      <c r="A95" s="45" t="s">
        <v>35</v>
      </c>
      <c r="B95" s="45" t="s">
        <v>318</v>
      </c>
      <c r="C95" s="45">
        <v>92241</v>
      </c>
      <c r="D95" s="45" t="s">
        <v>319</v>
      </c>
      <c r="E95" s="45">
        <v>87100</v>
      </c>
      <c r="F95" s="45" t="s">
        <v>38</v>
      </c>
      <c r="G95" s="45" t="s">
        <v>39</v>
      </c>
      <c r="H95" s="45" t="s">
        <v>40</v>
      </c>
      <c r="I95" s="45" t="s">
        <v>41</v>
      </c>
      <c r="J95" s="45" t="s">
        <v>42</v>
      </c>
      <c r="K95" s="45"/>
      <c r="L95" s="45"/>
      <c r="M95" s="45"/>
      <c r="N95" s="45"/>
      <c r="O95" s="45"/>
      <c r="P95" s="45" t="s">
        <v>43</v>
      </c>
      <c r="Q95" s="45" t="s">
        <v>281</v>
      </c>
      <c r="R95" s="45"/>
      <c r="S95" s="45"/>
      <c r="T95" s="45"/>
      <c r="U95" s="45"/>
      <c r="V95" s="45"/>
      <c r="W95" s="45" t="s">
        <v>45</v>
      </c>
      <c r="X95" s="60">
        <v>45903.465277777781</v>
      </c>
      <c r="Y95" s="45"/>
      <c r="Z95" s="45"/>
      <c r="AA95" s="45"/>
      <c r="AB95" t="str">
        <f>IF(LEFT(Jira__32[[#This Row],[Resumen]],3)="POS","POS",IF(LEFT(Jira__32[[#This Row],[Resumen]],3)="BOT","BOT",""))</f>
        <v>POS</v>
      </c>
      <c r="AC95" s="10" t="s">
        <v>176</v>
      </c>
      <c r="AE95" s="24" t="str" cm="1">
        <f t="array" ref="AE95">_xlfn.IFS(OR(COUNTIF(P95:V95,Versiones!$G$9)&gt;0, COUNTIF(P95:V95,Versiones!$H$8)&gt;0), "Sprint 21",OR(COUNTIF(P95:V95,Versiones!$G$8)&gt;0, COUNTIF(P95:V95,Versiones!$H$8)&gt;0, COUNTIF(P95:V95,Versiones!$I$8)&gt;0), "Sprint 20",OR(COUNTIF(P95:V95,Versiones!$G$7)&gt;0, COUNTIF(P95:V95,Versiones!$H$7)&gt;0, COUNTIF(P95:V95,Versiones!$I$7)&gt;0), "Sprint 19",OR(COUNTIF(P95:V95,Versiones!$G$6)&gt;0, COUNTIF(P95:V95,Versiones!$H$6)&gt;0, COUNTIF(P95:V95,Versiones!$I$6)&gt;0), "Sprint 18",OR(COUNTIF(P95:V95,Versiones!$G$4)&gt;0, COUNTIF(P95:V95,Versiones!$H$4)&gt;0, COUNTIF(P95:V95,Versiones!$G$5)&gt;0, COUNTIF(P95:V95,Versiones!$H$5)&gt;0), "Sprint 17",OR(COUNTIF(P95:V95,Versiones!$G$2)&gt;0, COUNTIF(P95:V95,Versiones!$H$2)&gt;0, COUNTIF(P95:V95,Versiones!$G$3)&gt;0, COUNTIF(P95:V95,Versiones!$H$3)&gt;0), "Sprint 16", OR(COUNTIF(P95:V95,Versiones!$G$2)&gt;0, COUNTIF(P95:V95,Versiones!$H$2)&gt;0, COUNTIF(P95:V95,Versiones!$G$3)&gt;0, COUNTIF(P95:V95,Versiones!$H$3)&gt;0), "Sprint 16",TRUE, "")</f>
        <v>Sprint 18</v>
      </c>
      <c r="AF95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95" t="str" cm="1">
        <f t="array" ref="AG9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95" s="24" t="str" cm="1">
        <f t="array" ref="AH95">_xlfn.IFS(COUNTIF(P95:V95, Versiones!$A$13)&gt;0, "Funcional", COUNTIF(P95:V95, Versiones!$A$14)&gt;0, "Configuración", COUNTIF(P95:V95, Versiones!$A$15)&gt;0, "Look&amp;Feel", COUNTIF(P95:V95, Versiones!$A$16)&gt;0, "Integración", COUNTIF(P95:V95, Versiones!$A$17)&gt;0, "Contenido/Datos", COUNTIF(P95:V95, Versiones!$A$18)&gt;0, "Eventos_Cosmos", COUNTIF(P95:V95, Versiones!$A$19)&gt;0, "Eventos_iOT", COUNTIF(P95:V95, Versiones!$A$20)&gt;0, "Eventos_Fabric", TRUE, "No encontrado")</f>
        <v>Funcional</v>
      </c>
    </row>
    <row r="96" spans="1:34">
      <c r="A96" s="45" t="s">
        <v>35</v>
      </c>
      <c r="B96" s="45" t="s">
        <v>320</v>
      </c>
      <c r="C96" s="45">
        <v>92233</v>
      </c>
      <c r="D96" s="45" t="s">
        <v>321</v>
      </c>
      <c r="E96" s="45">
        <v>87100</v>
      </c>
      <c r="F96" s="45" t="s">
        <v>38</v>
      </c>
      <c r="G96" s="45" t="s">
        <v>39</v>
      </c>
      <c r="H96" s="45" t="s">
        <v>54</v>
      </c>
      <c r="I96" s="45" t="s">
        <v>41</v>
      </c>
      <c r="J96" s="45" t="s">
        <v>97</v>
      </c>
      <c r="K96" s="45"/>
      <c r="L96" s="45"/>
      <c r="M96" s="45"/>
      <c r="N96" s="45"/>
      <c r="O96" s="45"/>
      <c r="P96" s="45" t="s">
        <v>43</v>
      </c>
      <c r="Q96" s="45" t="s">
        <v>307</v>
      </c>
      <c r="R96" s="45"/>
      <c r="S96" s="45"/>
      <c r="T96" s="45"/>
      <c r="U96" s="45"/>
      <c r="V96" s="45"/>
      <c r="W96" s="45" t="s">
        <v>65</v>
      </c>
      <c r="X96" s="60">
        <v>45903.454861111109</v>
      </c>
      <c r="Y96" s="45"/>
      <c r="Z96" s="45"/>
      <c r="AA96" s="45"/>
      <c r="AB96" t="str">
        <f>IF(LEFT(Jira__32[[#This Row],[Resumen]],3)="POS","POS",IF(LEFT(Jira__32[[#This Row],[Resumen]],3)="BOT","BOT",""))</f>
        <v>POS</v>
      </c>
      <c r="AC96" s="10" t="s">
        <v>47</v>
      </c>
      <c r="AE96" s="24" t="str" cm="1">
        <f t="array" ref="AE96">_xlfn.IFS(OR(COUNTIF(P96:V96,Versiones!$G$9)&gt;0, COUNTIF(P96:V96,Versiones!$H$8)&gt;0), "Sprint 21",OR(COUNTIF(P96:V96,Versiones!$G$8)&gt;0, COUNTIF(P96:V96,Versiones!$H$8)&gt;0, COUNTIF(P96:V96,Versiones!$I$8)&gt;0), "Sprint 20",OR(COUNTIF(P96:V96,Versiones!$G$7)&gt;0, COUNTIF(P96:V96,Versiones!$H$7)&gt;0, COUNTIF(P96:V96,Versiones!$I$7)&gt;0), "Sprint 19",OR(COUNTIF(P96:V96,Versiones!$G$6)&gt;0, COUNTIF(P96:V96,Versiones!$H$6)&gt;0, COUNTIF(P96:V96,Versiones!$I$6)&gt;0), "Sprint 18",OR(COUNTIF(P96:V96,Versiones!$G$4)&gt;0, COUNTIF(P96:V96,Versiones!$H$4)&gt;0, COUNTIF(P96:V96,Versiones!$G$5)&gt;0, COUNTIF(P96:V96,Versiones!$H$5)&gt;0), "Sprint 17",OR(COUNTIF(P96:V96,Versiones!$G$2)&gt;0, COUNTIF(P96:V96,Versiones!$H$2)&gt;0, COUNTIF(P96:V96,Versiones!$G$3)&gt;0, COUNTIF(P96:V96,Versiones!$H$3)&gt;0), "Sprint 16", OR(COUNTIF(P96:V96,Versiones!$G$2)&gt;0, COUNTIF(P96:V96,Versiones!$H$2)&gt;0, COUNTIF(P96:V96,Versiones!$G$3)&gt;0, COUNTIF(P96:V96,Versiones!$H$3)&gt;0), "Sprint 16",TRUE, "")</f>
        <v>Sprint 18</v>
      </c>
      <c r="AF96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96" t="str" cm="1">
        <f t="array" ref="AG9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96" s="24" t="str" cm="1">
        <f t="array" ref="AH96">_xlfn.IFS(COUNTIF(P96:V96, Versiones!$A$13)&gt;0, "Funcional", COUNTIF(P96:V96, Versiones!$A$14)&gt;0, "Configuración", COUNTIF(P96:V96, Versiones!$A$15)&gt;0, "Look&amp;Feel", COUNTIF(P96:V96, Versiones!$A$16)&gt;0, "Integración", COUNTIF(P96:V96, Versiones!$A$17)&gt;0, "Contenido/Datos", COUNTIF(P96:V96, Versiones!$A$18)&gt;0, "Eventos_Cosmos", COUNTIF(P96:V96, Versiones!$A$19)&gt;0, "Eventos_iOT", COUNTIF(P96:V96, Versiones!$A$20)&gt;0, "Eventos_Fabric", TRUE, "No encontrado")</f>
        <v>Funcional</v>
      </c>
    </row>
    <row r="97" spans="1:34">
      <c r="A97" s="45" t="s">
        <v>35</v>
      </c>
      <c r="B97" s="45" t="s">
        <v>322</v>
      </c>
      <c r="C97" s="45">
        <v>92229</v>
      </c>
      <c r="D97" s="45" t="s">
        <v>323</v>
      </c>
      <c r="E97" s="45">
        <v>87100</v>
      </c>
      <c r="F97" s="45" t="s">
        <v>38</v>
      </c>
      <c r="G97" s="45" t="s">
        <v>39</v>
      </c>
      <c r="H97" s="45" t="s">
        <v>54</v>
      </c>
      <c r="I97" s="45" t="s">
        <v>41</v>
      </c>
      <c r="J97" s="45" t="s">
        <v>108</v>
      </c>
      <c r="K97" s="45" t="s">
        <v>97</v>
      </c>
      <c r="L97" s="45"/>
      <c r="M97" s="45"/>
      <c r="N97" s="45"/>
      <c r="O97" s="45"/>
      <c r="P97" s="45" t="s">
        <v>43</v>
      </c>
      <c r="Q97" s="45" t="s">
        <v>281</v>
      </c>
      <c r="R97" s="45"/>
      <c r="S97" s="45"/>
      <c r="T97" s="45"/>
      <c r="U97" s="45"/>
      <c r="V97" s="45"/>
      <c r="W97" s="45" t="s">
        <v>45</v>
      </c>
      <c r="X97" s="60">
        <v>45903.452777777777</v>
      </c>
      <c r="Y97" s="45" t="s">
        <v>109</v>
      </c>
      <c r="Z97" s="45"/>
      <c r="AA97" s="45"/>
      <c r="AB97" t="str">
        <f>IF(LEFT(Jira__32[[#This Row],[Resumen]],3)="POS","POS",IF(LEFT(Jira__32[[#This Row],[Resumen]],3)="BOT","BOT",""))</f>
        <v>POS</v>
      </c>
      <c r="AC97" s="10" t="s">
        <v>47</v>
      </c>
      <c r="AE97" s="24" t="str" cm="1">
        <f t="array" ref="AE97">_xlfn.IFS(OR(COUNTIF(P97:V97,Versiones!$G$9)&gt;0, COUNTIF(P97:V97,Versiones!$H$8)&gt;0), "Sprint 21",OR(COUNTIF(P97:V97,Versiones!$G$8)&gt;0, COUNTIF(P97:V97,Versiones!$H$8)&gt;0, COUNTIF(P97:V97,Versiones!$I$8)&gt;0), "Sprint 20",OR(COUNTIF(P97:V97,Versiones!$G$7)&gt;0, COUNTIF(P97:V97,Versiones!$H$7)&gt;0, COUNTIF(P97:V97,Versiones!$I$7)&gt;0), "Sprint 19",OR(COUNTIF(P97:V97,Versiones!$G$6)&gt;0, COUNTIF(P97:V97,Versiones!$H$6)&gt;0, COUNTIF(P97:V97,Versiones!$I$6)&gt;0), "Sprint 18",OR(COUNTIF(P97:V97,Versiones!$G$4)&gt;0, COUNTIF(P97:V97,Versiones!$H$4)&gt;0, COUNTIF(P97:V97,Versiones!$G$5)&gt;0, COUNTIF(P97:V97,Versiones!$H$5)&gt;0), "Sprint 17",OR(COUNTIF(P97:V97,Versiones!$G$2)&gt;0, COUNTIF(P97:V97,Versiones!$H$2)&gt;0, COUNTIF(P97:V97,Versiones!$G$3)&gt;0, COUNTIF(P97:V97,Versiones!$H$3)&gt;0), "Sprint 16", OR(COUNTIF(P97:V97,Versiones!$G$2)&gt;0, COUNTIF(P97:V97,Versiones!$H$2)&gt;0, COUNTIF(P97:V97,Versiones!$G$3)&gt;0, COUNTIF(P97:V97,Versiones!$H$3)&gt;0), "Sprint 16",TRUE, "")</f>
        <v>Sprint 18</v>
      </c>
      <c r="AF97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97" t="str" cm="1">
        <f t="array" ref="AG9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97" s="24" t="str" cm="1">
        <f t="array" ref="AH97">_xlfn.IFS(COUNTIF(P97:V97, Versiones!$A$13)&gt;0, "Funcional", COUNTIF(P97:V97, Versiones!$A$14)&gt;0, "Configuración", COUNTIF(P97:V97, Versiones!$A$15)&gt;0, "Look&amp;Feel", COUNTIF(P97:V97, Versiones!$A$16)&gt;0, "Integración", COUNTIF(P97:V97, Versiones!$A$17)&gt;0, "Contenido/Datos", COUNTIF(P97:V97, Versiones!$A$18)&gt;0, "Eventos_Cosmos", COUNTIF(P97:V97, Versiones!$A$19)&gt;0, "Eventos_iOT", COUNTIF(P97:V97, Versiones!$A$20)&gt;0, "Eventos_Fabric", TRUE, "No encontrado")</f>
        <v>Funcional</v>
      </c>
    </row>
    <row r="98" spans="1:34">
      <c r="A98" s="45" t="s">
        <v>35</v>
      </c>
      <c r="B98" s="45" t="s">
        <v>324</v>
      </c>
      <c r="C98" s="45">
        <v>92221</v>
      </c>
      <c r="D98" s="45" t="s">
        <v>325</v>
      </c>
      <c r="E98" s="45">
        <v>87100</v>
      </c>
      <c r="F98" s="45" t="s">
        <v>38</v>
      </c>
      <c r="G98" s="45" t="s">
        <v>39</v>
      </c>
      <c r="H98" s="45" t="s">
        <v>40</v>
      </c>
      <c r="I98" s="45" t="s">
        <v>81</v>
      </c>
      <c r="J98" s="45" t="s">
        <v>42</v>
      </c>
      <c r="K98" s="45"/>
      <c r="L98" s="45"/>
      <c r="M98" s="45"/>
      <c r="N98" s="45"/>
      <c r="O98" s="45"/>
      <c r="P98" s="45" t="s">
        <v>43</v>
      </c>
      <c r="Q98" s="45" t="s">
        <v>307</v>
      </c>
      <c r="R98" s="45"/>
      <c r="S98" s="45"/>
      <c r="T98" s="45"/>
      <c r="U98" s="45"/>
      <c r="V98" s="45"/>
      <c r="W98" s="45" t="s">
        <v>65</v>
      </c>
      <c r="X98" s="60">
        <v>45903.447916666664</v>
      </c>
      <c r="Y98" s="45"/>
      <c r="Z98" s="45"/>
      <c r="AA98" s="45"/>
      <c r="AB98" t="str">
        <f>IF(LEFT(Jira__32[[#This Row],[Resumen]],3)="POS","POS",IF(LEFT(Jira__32[[#This Row],[Resumen]],3)="BOT","BOT",""))</f>
        <v>POS</v>
      </c>
      <c r="AC98" s="10" t="s">
        <v>47</v>
      </c>
      <c r="AE98" s="24" t="str" cm="1">
        <f t="array" ref="AE98">_xlfn.IFS(OR(COUNTIF(P98:V98,Versiones!$G$9)&gt;0, COUNTIF(P98:V98,Versiones!$H$8)&gt;0), "Sprint 21",OR(COUNTIF(P98:V98,Versiones!$G$8)&gt;0, COUNTIF(P98:V98,Versiones!$H$8)&gt;0, COUNTIF(P98:V98,Versiones!$I$8)&gt;0), "Sprint 20",OR(COUNTIF(P98:V98,Versiones!$G$7)&gt;0, COUNTIF(P98:V98,Versiones!$H$7)&gt;0, COUNTIF(P98:V98,Versiones!$I$7)&gt;0), "Sprint 19",OR(COUNTIF(P98:V98,Versiones!$G$6)&gt;0, COUNTIF(P98:V98,Versiones!$H$6)&gt;0, COUNTIF(P98:V98,Versiones!$I$6)&gt;0), "Sprint 18",OR(COUNTIF(P98:V98,Versiones!$G$4)&gt;0, COUNTIF(P98:V98,Versiones!$H$4)&gt;0, COUNTIF(P98:V98,Versiones!$G$5)&gt;0, COUNTIF(P98:V98,Versiones!$H$5)&gt;0), "Sprint 17",OR(COUNTIF(P98:V98,Versiones!$G$2)&gt;0, COUNTIF(P98:V98,Versiones!$H$2)&gt;0, COUNTIF(P98:V98,Versiones!$G$3)&gt;0, COUNTIF(P98:V98,Versiones!$H$3)&gt;0), "Sprint 16", OR(COUNTIF(P98:V98,Versiones!$G$2)&gt;0, COUNTIF(P98:V98,Versiones!$H$2)&gt;0, COUNTIF(P98:V98,Versiones!$G$3)&gt;0, COUNTIF(P98:V98,Versiones!$H$3)&gt;0), "Sprint 16",TRUE, "")</f>
        <v>Sprint 18</v>
      </c>
      <c r="AF98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98" t="str" cm="1">
        <f t="array" ref="AG9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98" s="24" t="str" cm="1">
        <f t="array" ref="AH98">_xlfn.IFS(COUNTIF(P98:V98, Versiones!$A$13)&gt;0, "Funcional", COUNTIF(P98:V98, Versiones!$A$14)&gt;0, "Configuración", COUNTIF(P98:V98, Versiones!$A$15)&gt;0, "Look&amp;Feel", COUNTIF(P98:V98, Versiones!$A$16)&gt;0, "Integración", COUNTIF(P98:V98, Versiones!$A$17)&gt;0, "Contenido/Datos", COUNTIF(P98:V98, Versiones!$A$18)&gt;0, "Eventos_Cosmos", COUNTIF(P98:V98, Versiones!$A$19)&gt;0, "Eventos_iOT", COUNTIF(P98:V98, Versiones!$A$20)&gt;0, "Eventos_Fabric", TRUE, "No encontrado")</f>
        <v>Funcional</v>
      </c>
    </row>
    <row r="99" spans="1:34">
      <c r="A99" s="45" t="s">
        <v>35</v>
      </c>
      <c r="B99" s="45" t="s">
        <v>326</v>
      </c>
      <c r="C99" s="45">
        <v>91981</v>
      </c>
      <c r="D99" s="45" t="s">
        <v>327</v>
      </c>
      <c r="E99" s="45">
        <v>87100</v>
      </c>
      <c r="F99" s="45" t="s">
        <v>38</v>
      </c>
      <c r="G99" s="45" t="s">
        <v>39</v>
      </c>
      <c r="H99" s="45" t="s">
        <v>54</v>
      </c>
      <c r="I99" s="45" t="s">
        <v>41</v>
      </c>
      <c r="J99" s="45" t="s">
        <v>97</v>
      </c>
      <c r="K99" s="45"/>
      <c r="L99" s="45"/>
      <c r="M99" s="45"/>
      <c r="N99" s="45"/>
      <c r="O99" s="45"/>
      <c r="P99" s="45" t="s">
        <v>55</v>
      </c>
      <c r="Q99" s="45" t="s">
        <v>307</v>
      </c>
      <c r="R99" s="45"/>
      <c r="S99" s="45"/>
      <c r="T99" s="45"/>
      <c r="U99" s="45"/>
      <c r="V99" s="45"/>
      <c r="W99" s="45" t="s">
        <v>65</v>
      </c>
      <c r="X99" s="60">
        <v>45902.715277777781</v>
      </c>
      <c r="Y99" s="45"/>
      <c r="Z99" s="45"/>
      <c r="AA99" s="45"/>
      <c r="AB99" t="str">
        <f>IF(LEFT(Jira__32[[#This Row],[Resumen]],3)="POS","POS",IF(LEFT(Jira__32[[#This Row],[Resumen]],3)="BOT","BOT",""))</f>
        <v>POS</v>
      </c>
      <c r="AC99" s="10" t="s">
        <v>47</v>
      </c>
      <c r="AE99" s="24" t="str" cm="1">
        <f t="array" ref="AE99">_xlfn.IFS(OR(COUNTIF(P99:V99,Versiones!$G$9)&gt;0, COUNTIF(P99:V99,Versiones!$H$8)&gt;0), "Sprint 21",OR(COUNTIF(P99:V99,Versiones!$G$8)&gt;0, COUNTIF(P99:V99,Versiones!$H$8)&gt;0, COUNTIF(P99:V99,Versiones!$I$8)&gt;0), "Sprint 20",OR(COUNTIF(P99:V99,Versiones!$G$7)&gt;0, COUNTIF(P99:V99,Versiones!$H$7)&gt;0, COUNTIF(P99:V99,Versiones!$I$7)&gt;0), "Sprint 19",OR(COUNTIF(P99:V99,Versiones!$G$6)&gt;0, COUNTIF(P99:V99,Versiones!$H$6)&gt;0, COUNTIF(P99:V99,Versiones!$I$6)&gt;0), "Sprint 18",OR(COUNTIF(P99:V99,Versiones!$G$4)&gt;0, COUNTIF(P99:V99,Versiones!$H$4)&gt;0, COUNTIF(P99:V99,Versiones!$G$5)&gt;0, COUNTIF(P99:V99,Versiones!$H$5)&gt;0), "Sprint 17",OR(COUNTIF(P99:V99,Versiones!$G$2)&gt;0, COUNTIF(P99:V99,Versiones!$H$2)&gt;0, COUNTIF(P99:V99,Versiones!$G$3)&gt;0, COUNTIF(P99:V99,Versiones!$H$3)&gt;0), "Sprint 16", OR(COUNTIF(P99:V99,Versiones!$G$2)&gt;0, COUNTIF(P99:V99,Versiones!$H$2)&gt;0, COUNTIF(P99:V99,Versiones!$G$3)&gt;0, COUNTIF(P99:V99,Versiones!$H$3)&gt;0), "Sprint 16",TRUE, "")</f>
        <v>Sprint 18</v>
      </c>
      <c r="AF99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99" t="str" cm="1">
        <f t="array" ref="AG99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99" s="24" t="str" cm="1">
        <f t="array" ref="AH99">_xlfn.IFS(COUNTIF(P99:V99, Versiones!$A$13)&gt;0, "Funcional", COUNTIF(P99:V99, Versiones!$A$14)&gt;0, "Configuración", COUNTIF(P99:V99, Versiones!$A$15)&gt;0, "Look&amp;Feel", COUNTIF(P99:V99, Versiones!$A$16)&gt;0, "Integración", COUNTIF(P99:V99, Versiones!$A$17)&gt;0, "Contenido/Datos", COUNTIF(P99:V99, Versiones!$A$18)&gt;0, "Eventos_Cosmos", COUNTIF(P99:V99, Versiones!$A$19)&gt;0, "Eventos_iOT", COUNTIF(P99:V99, Versiones!$A$20)&gt;0, "Eventos_Fabric", TRUE, "No encontrado")</f>
        <v>Look&amp;Feel</v>
      </c>
    </row>
    <row r="100" spans="1:34">
      <c r="A100" s="45" t="s">
        <v>35</v>
      </c>
      <c r="B100" s="45" t="s">
        <v>328</v>
      </c>
      <c r="C100" s="45">
        <v>91815</v>
      </c>
      <c r="D100" s="45" t="s">
        <v>329</v>
      </c>
      <c r="E100" s="45">
        <v>87100</v>
      </c>
      <c r="F100" s="45" t="s">
        <v>38</v>
      </c>
      <c r="G100" s="45" t="s">
        <v>39</v>
      </c>
      <c r="H100" s="45" t="s">
        <v>40</v>
      </c>
      <c r="I100" s="45" t="s">
        <v>84</v>
      </c>
      <c r="J100" s="45" t="s">
        <v>118</v>
      </c>
      <c r="K100" s="45" t="s">
        <v>108</v>
      </c>
      <c r="L100" s="45" t="s">
        <v>97</v>
      </c>
      <c r="M100" s="45"/>
      <c r="N100" s="45"/>
      <c r="O100" s="45"/>
      <c r="P100" s="45" t="s">
        <v>64</v>
      </c>
      <c r="Q100" s="45" t="s">
        <v>119</v>
      </c>
      <c r="R100" s="45" t="s">
        <v>307</v>
      </c>
      <c r="S100" s="45"/>
      <c r="T100" s="45"/>
      <c r="U100" s="45"/>
      <c r="V100" s="45"/>
      <c r="W100" s="45" t="s">
        <v>65</v>
      </c>
      <c r="X100" s="60">
        <v>45902.527777777781</v>
      </c>
      <c r="Y100" s="45" t="s">
        <v>109</v>
      </c>
      <c r="Z100" s="45"/>
      <c r="AA100" s="45"/>
      <c r="AB100" t="str">
        <f>IF(LEFT(Jira__32[[#This Row],[Resumen]],3)="POS","POS",IF(LEFT(Jira__32[[#This Row],[Resumen]],3)="BOT","BOT",""))</f>
        <v>POS</v>
      </c>
      <c r="AC100" s="10" t="s">
        <v>59</v>
      </c>
      <c r="AE100" s="24" t="str" cm="1">
        <f t="array" ref="AE100">_xlfn.IFS(OR(COUNTIF(P100:V100,Versiones!$G$9)&gt;0, COUNTIF(P100:V100,Versiones!$H$8)&gt;0), "Sprint 21",OR(COUNTIF(P100:V100,Versiones!$G$8)&gt;0, COUNTIF(P100:V100,Versiones!$H$8)&gt;0, COUNTIF(P100:V100,Versiones!$I$8)&gt;0), "Sprint 20",OR(COUNTIF(P100:V100,Versiones!$G$7)&gt;0, COUNTIF(P100:V100,Versiones!$H$7)&gt;0, COUNTIF(P100:V100,Versiones!$I$7)&gt;0), "Sprint 19",OR(COUNTIF(P100:V100,Versiones!$G$6)&gt;0, COUNTIF(P100:V100,Versiones!$H$6)&gt;0, COUNTIF(P100:V100,Versiones!$I$6)&gt;0), "Sprint 18",OR(COUNTIF(P100:V100,Versiones!$G$4)&gt;0, COUNTIF(P100:V100,Versiones!$H$4)&gt;0, COUNTIF(P100:V100,Versiones!$G$5)&gt;0, COUNTIF(P100:V100,Versiones!$H$5)&gt;0), "Sprint 17",OR(COUNTIF(P100:V100,Versiones!$G$2)&gt;0, COUNTIF(P100:V100,Versiones!$H$2)&gt;0, COUNTIF(P100:V100,Versiones!$G$3)&gt;0, COUNTIF(P100:V100,Versiones!$H$3)&gt;0), "Sprint 16", OR(COUNTIF(P100:V100,Versiones!$G$2)&gt;0, COUNTIF(P100:V100,Versiones!$H$2)&gt;0, COUNTIF(P100:V100,Versiones!$G$3)&gt;0, COUNTIF(P100:V100,Versiones!$H$3)&gt;0), "Sprint 16",TRUE, "")</f>
        <v>Sprint 18</v>
      </c>
      <c r="AF100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100" t="str" cm="1">
        <f t="array" ref="AG100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100" s="24" t="str" cm="1">
        <f t="array" ref="AH100">_xlfn.IFS(COUNTIF(P100:V100, Versiones!$A$13)&gt;0, "Funcional", COUNTIF(P100:V100, Versiones!$A$14)&gt;0, "Configuración", COUNTIF(P100:V100, Versiones!$A$15)&gt;0, "Look&amp;Feel", COUNTIF(P100:V100, Versiones!$A$16)&gt;0, "Integración", COUNTIF(P100:V100, Versiones!$A$17)&gt;0, "Contenido/Datos", COUNTIF(P100:V100, Versiones!$A$18)&gt;0, "Eventos_Cosmos", COUNTIF(P100:V100, Versiones!$A$19)&gt;0, "Eventos_iOT", COUNTIF(P100:V100, Versiones!$A$20)&gt;0, "Eventos_Fabric", TRUE, "No encontrado")</f>
        <v>Contenido/Datos</v>
      </c>
    </row>
    <row r="101" spans="1:34">
      <c r="A101" s="45" t="s">
        <v>35</v>
      </c>
      <c r="B101" s="45" t="s">
        <v>330</v>
      </c>
      <c r="C101" s="45">
        <v>91752</v>
      </c>
      <c r="D101" s="45" t="s">
        <v>331</v>
      </c>
      <c r="E101" s="45">
        <v>79941</v>
      </c>
      <c r="F101" s="45" t="s">
        <v>124</v>
      </c>
      <c r="G101" s="45" t="s">
        <v>125</v>
      </c>
      <c r="H101" s="45" t="s">
        <v>249</v>
      </c>
      <c r="I101" s="45" t="s">
        <v>41</v>
      </c>
      <c r="J101" s="45" t="s">
        <v>97</v>
      </c>
      <c r="K101" s="45"/>
      <c r="L101" s="45"/>
      <c r="M101" s="45"/>
      <c r="N101" s="45"/>
      <c r="O101" s="45"/>
      <c r="P101" s="45" t="s">
        <v>55</v>
      </c>
      <c r="Q101" s="45" t="s">
        <v>281</v>
      </c>
      <c r="R101" s="45"/>
      <c r="S101" s="45"/>
      <c r="T101" s="45"/>
      <c r="U101" s="45"/>
      <c r="V101" s="45"/>
      <c r="W101" s="45" t="s">
        <v>45</v>
      </c>
      <c r="X101" s="60">
        <v>45902.495833333334</v>
      </c>
      <c r="Y101" s="45"/>
      <c r="Z101" s="45"/>
      <c r="AA101" s="45"/>
      <c r="AB101" t="str">
        <f>IF(LEFT(Jira__32[[#This Row],[Resumen]],3)="POS","POS",IF(LEFT(Jira__32[[#This Row],[Resumen]],3)="BOT","BOT",""))</f>
        <v>POS</v>
      </c>
      <c r="AC101" s="13" t="s">
        <v>150</v>
      </c>
      <c r="AE101" s="24" t="str" cm="1">
        <f t="array" ref="AE101">_xlfn.IFS(OR(COUNTIF(P101:V101,Versiones!$G$9)&gt;0, COUNTIF(P101:V101,Versiones!$H$8)&gt;0), "Sprint 21",OR(COUNTIF(P101:V101,Versiones!$G$8)&gt;0, COUNTIF(P101:V101,Versiones!$H$8)&gt;0, COUNTIF(P101:V101,Versiones!$I$8)&gt;0), "Sprint 20",OR(COUNTIF(P101:V101,Versiones!$G$7)&gt;0, COUNTIF(P101:V101,Versiones!$H$7)&gt;0, COUNTIF(P101:V101,Versiones!$I$7)&gt;0), "Sprint 19",OR(COUNTIF(P101:V101,Versiones!$G$6)&gt;0, COUNTIF(P101:V101,Versiones!$H$6)&gt;0, COUNTIF(P101:V101,Versiones!$I$6)&gt;0), "Sprint 18",OR(COUNTIF(P101:V101,Versiones!$G$4)&gt;0, COUNTIF(P101:V101,Versiones!$H$4)&gt;0, COUNTIF(P101:V101,Versiones!$G$5)&gt;0, COUNTIF(P101:V101,Versiones!$H$5)&gt;0), "Sprint 17",OR(COUNTIF(P101:V101,Versiones!$G$2)&gt;0, COUNTIF(P101:V101,Versiones!$H$2)&gt;0, COUNTIF(P101:V101,Versiones!$G$3)&gt;0, COUNTIF(P101:V101,Versiones!$H$3)&gt;0), "Sprint 16", OR(COUNTIF(P101:V101,Versiones!$G$2)&gt;0, COUNTIF(P101:V101,Versiones!$H$2)&gt;0, COUNTIF(P101:V101,Versiones!$G$3)&gt;0, COUNTIF(P101:V101,Versiones!$H$3)&gt;0), "Sprint 16",TRUE, "")</f>
        <v>Sprint 18</v>
      </c>
      <c r="AF101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101" t="str" cm="1">
        <f t="array" ref="AG101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101" s="24" t="str" cm="1">
        <f t="array" ref="AH101">_xlfn.IFS(COUNTIF(P101:V101, Versiones!$A$13)&gt;0, "Funcional", COUNTIF(P101:V101, Versiones!$A$14)&gt;0, "Configuración", COUNTIF(P101:V101, Versiones!$A$15)&gt;0, "Look&amp;Feel", COUNTIF(P101:V101, Versiones!$A$16)&gt;0, "Integración", COUNTIF(P101:V101, Versiones!$A$17)&gt;0, "Contenido/Datos", COUNTIF(P101:V101, Versiones!$A$18)&gt;0, "Eventos_Cosmos", COUNTIF(P101:V101, Versiones!$A$19)&gt;0, "Eventos_iOT", COUNTIF(P101:V101, Versiones!$A$20)&gt;0, "Eventos_Fabric", TRUE, "No encontrado")</f>
        <v>Look&amp;Feel</v>
      </c>
    </row>
    <row r="102" spans="1:34">
      <c r="A102" s="45" t="s">
        <v>35</v>
      </c>
      <c r="B102" s="45" t="s">
        <v>332</v>
      </c>
      <c r="C102" s="45">
        <v>91734</v>
      </c>
      <c r="D102" s="45" t="s">
        <v>333</v>
      </c>
      <c r="E102" s="45">
        <v>79941</v>
      </c>
      <c r="F102" s="45" t="s">
        <v>124</v>
      </c>
      <c r="G102" s="45" t="s">
        <v>125</v>
      </c>
      <c r="H102" s="45" t="s">
        <v>54</v>
      </c>
      <c r="I102" s="45" t="s">
        <v>41</v>
      </c>
      <c r="J102" s="45" t="s">
        <v>97</v>
      </c>
      <c r="K102" s="45"/>
      <c r="L102" s="45"/>
      <c r="M102" s="45"/>
      <c r="N102" s="45"/>
      <c r="O102" s="45"/>
      <c r="P102" s="45" t="s">
        <v>55</v>
      </c>
      <c r="Q102" s="45" t="s">
        <v>307</v>
      </c>
      <c r="R102" s="45"/>
      <c r="S102" s="45"/>
      <c r="T102" s="45"/>
      <c r="U102" s="45"/>
      <c r="V102" s="45"/>
      <c r="W102" s="45" t="s">
        <v>65</v>
      </c>
      <c r="X102" s="60">
        <v>45902.477083333331</v>
      </c>
      <c r="Y102" s="45"/>
      <c r="Z102" s="45"/>
      <c r="AA102" s="45"/>
      <c r="AB102" t="str">
        <f>IF(LEFT(Jira__32[[#This Row],[Resumen]],3)="POS","POS",IF(LEFT(Jira__32[[#This Row],[Resumen]],3)="BOT","BOT",""))</f>
        <v>POS</v>
      </c>
      <c r="AC102" s="10" t="s">
        <v>59</v>
      </c>
      <c r="AE102" s="24" t="str" cm="1">
        <f t="array" ref="AE102">_xlfn.IFS(OR(COUNTIF(P102:V102,Versiones!$G$9)&gt;0, COUNTIF(P102:V102,Versiones!$H$8)&gt;0), "Sprint 21",OR(COUNTIF(P102:V102,Versiones!$G$8)&gt;0, COUNTIF(P102:V102,Versiones!$H$8)&gt;0, COUNTIF(P102:V102,Versiones!$I$8)&gt;0), "Sprint 20",OR(COUNTIF(P102:V102,Versiones!$G$7)&gt;0, COUNTIF(P102:V102,Versiones!$H$7)&gt;0, COUNTIF(P102:V102,Versiones!$I$7)&gt;0), "Sprint 19",OR(COUNTIF(P102:V102,Versiones!$G$6)&gt;0, COUNTIF(P102:V102,Versiones!$H$6)&gt;0, COUNTIF(P102:V102,Versiones!$I$6)&gt;0), "Sprint 18",OR(COUNTIF(P102:V102,Versiones!$G$4)&gt;0, COUNTIF(P102:V102,Versiones!$H$4)&gt;0, COUNTIF(P102:V102,Versiones!$G$5)&gt;0, COUNTIF(P102:V102,Versiones!$H$5)&gt;0), "Sprint 17",OR(COUNTIF(P102:V102,Versiones!$G$2)&gt;0, COUNTIF(P102:V102,Versiones!$H$2)&gt;0, COUNTIF(P102:V102,Versiones!$G$3)&gt;0, COUNTIF(P102:V102,Versiones!$H$3)&gt;0), "Sprint 16", OR(COUNTIF(P102:V102,Versiones!$G$2)&gt;0, COUNTIF(P102:V102,Versiones!$H$2)&gt;0, COUNTIF(P102:V102,Versiones!$G$3)&gt;0, COUNTIF(P102:V102,Versiones!$H$3)&gt;0), "Sprint 16",TRUE, "")</f>
        <v>Sprint 18</v>
      </c>
      <c r="AF102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102" t="str" cm="1">
        <f t="array" ref="AG102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102" s="24" t="str" cm="1">
        <f t="array" ref="AH102">_xlfn.IFS(COUNTIF(P102:V102, Versiones!$A$13)&gt;0, "Funcional", COUNTIF(P102:V102, Versiones!$A$14)&gt;0, "Configuración", COUNTIF(P102:V102, Versiones!$A$15)&gt;0, "Look&amp;Feel", COUNTIF(P102:V102, Versiones!$A$16)&gt;0, "Integración", COUNTIF(P102:V102, Versiones!$A$17)&gt;0, "Contenido/Datos", COUNTIF(P102:V102, Versiones!$A$18)&gt;0, "Eventos_Cosmos", COUNTIF(P102:V102, Versiones!$A$19)&gt;0, "Eventos_iOT", COUNTIF(P102:V102, Versiones!$A$20)&gt;0, "Eventos_Fabric", TRUE, "No encontrado")</f>
        <v>Look&amp;Feel</v>
      </c>
    </row>
    <row r="103" spans="1:34">
      <c r="A103" s="45" t="s">
        <v>35</v>
      </c>
      <c r="B103" s="45" t="s">
        <v>334</v>
      </c>
      <c r="C103" s="45">
        <v>91730</v>
      </c>
      <c r="D103" s="45" t="s">
        <v>335</v>
      </c>
      <c r="E103" s="45">
        <v>79941</v>
      </c>
      <c r="F103" s="45" t="s">
        <v>124</v>
      </c>
      <c r="G103" s="45" t="s">
        <v>125</v>
      </c>
      <c r="H103" s="45" t="s">
        <v>249</v>
      </c>
      <c r="I103" s="45" t="s">
        <v>41</v>
      </c>
      <c r="J103" s="45" t="s">
        <v>97</v>
      </c>
      <c r="K103" s="45"/>
      <c r="L103" s="45"/>
      <c r="M103" s="45"/>
      <c r="N103" s="45"/>
      <c r="O103" s="45"/>
      <c r="P103" s="45" t="s">
        <v>55</v>
      </c>
      <c r="Q103" s="45" t="s">
        <v>281</v>
      </c>
      <c r="R103" s="45"/>
      <c r="S103" s="45"/>
      <c r="T103" s="45"/>
      <c r="U103" s="45"/>
      <c r="V103" s="45"/>
      <c r="W103" s="45" t="s">
        <v>45</v>
      </c>
      <c r="X103" s="60">
        <v>45902.472222222219</v>
      </c>
      <c r="Y103" s="45"/>
      <c r="Z103" s="45"/>
      <c r="AA103" s="45"/>
      <c r="AB103" t="str">
        <f>IF(LEFT(Jira__32[[#This Row],[Resumen]],3)="POS","POS",IF(LEFT(Jira__32[[#This Row],[Resumen]],3)="BOT","BOT",""))</f>
        <v>POS</v>
      </c>
      <c r="AC103" s="10" t="s">
        <v>59</v>
      </c>
      <c r="AE103" s="24" t="str" cm="1">
        <f t="array" ref="AE103">_xlfn.IFS(OR(COUNTIF(P103:V103,Versiones!$G$9)&gt;0, COUNTIF(P103:V103,Versiones!$H$8)&gt;0), "Sprint 21",OR(COUNTIF(P103:V103,Versiones!$G$8)&gt;0, COUNTIF(P103:V103,Versiones!$H$8)&gt;0, COUNTIF(P103:V103,Versiones!$I$8)&gt;0), "Sprint 20",OR(COUNTIF(P103:V103,Versiones!$G$7)&gt;0, COUNTIF(P103:V103,Versiones!$H$7)&gt;0, COUNTIF(P103:V103,Versiones!$I$7)&gt;0), "Sprint 19",OR(COUNTIF(P103:V103,Versiones!$G$6)&gt;0, COUNTIF(P103:V103,Versiones!$H$6)&gt;0, COUNTIF(P103:V103,Versiones!$I$6)&gt;0), "Sprint 18",OR(COUNTIF(P103:V103,Versiones!$G$4)&gt;0, COUNTIF(P103:V103,Versiones!$H$4)&gt;0, COUNTIF(P103:V103,Versiones!$G$5)&gt;0, COUNTIF(P103:V103,Versiones!$H$5)&gt;0), "Sprint 17",OR(COUNTIF(P103:V103,Versiones!$G$2)&gt;0, COUNTIF(P103:V103,Versiones!$H$2)&gt;0, COUNTIF(P103:V103,Versiones!$G$3)&gt;0, COUNTIF(P103:V103,Versiones!$H$3)&gt;0), "Sprint 16", OR(COUNTIF(P103:V103,Versiones!$G$2)&gt;0, COUNTIF(P103:V103,Versiones!$H$2)&gt;0, COUNTIF(P103:V103,Versiones!$G$3)&gt;0, COUNTIF(P103:V103,Versiones!$H$3)&gt;0), "Sprint 16",TRUE, "")</f>
        <v>Sprint 18</v>
      </c>
      <c r="AF103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103" t="str" cm="1">
        <f t="array" ref="AG10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103" s="24" t="str" cm="1">
        <f t="array" ref="AH103">_xlfn.IFS(COUNTIF(P103:V103, Versiones!$A$13)&gt;0, "Funcional", COUNTIF(P103:V103, Versiones!$A$14)&gt;0, "Configuración", COUNTIF(P103:V103, Versiones!$A$15)&gt;0, "Look&amp;Feel", COUNTIF(P103:V103, Versiones!$A$16)&gt;0, "Integración", COUNTIF(P103:V103, Versiones!$A$17)&gt;0, "Contenido/Datos", COUNTIF(P103:V103, Versiones!$A$18)&gt;0, "Eventos_Cosmos", COUNTIF(P103:V103, Versiones!$A$19)&gt;0, "Eventos_iOT", COUNTIF(P103:V103, Versiones!$A$20)&gt;0, "Eventos_Fabric", TRUE, "No encontrado")</f>
        <v>Look&amp;Feel</v>
      </c>
    </row>
    <row r="104" spans="1:34">
      <c r="A104" s="45" t="s">
        <v>35</v>
      </c>
      <c r="B104" s="45" t="s">
        <v>336</v>
      </c>
      <c r="C104" s="45">
        <v>90978</v>
      </c>
      <c r="D104" s="45" t="s">
        <v>337</v>
      </c>
      <c r="E104" s="45">
        <v>79941</v>
      </c>
      <c r="F104" s="45" t="s">
        <v>124</v>
      </c>
      <c r="G104" s="45" t="s">
        <v>125</v>
      </c>
      <c r="H104" s="45" t="s">
        <v>40</v>
      </c>
      <c r="I104" s="45" t="s">
        <v>41</v>
      </c>
      <c r="J104" s="45" t="s">
        <v>117</v>
      </c>
      <c r="K104" s="45" t="s">
        <v>118</v>
      </c>
      <c r="L104" s="45" t="s">
        <v>42</v>
      </c>
      <c r="M104" s="45"/>
      <c r="N104" s="45"/>
      <c r="O104" s="45"/>
      <c r="P104" s="45" t="s">
        <v>55</v>
      </c>
      <c r="Q104" s="45" t="s">
        <v>119</v>
      </c>
      <c r="R104" s="45" t="s">
        <v>338</v>
      </c>
      <c r="S104" s="45" t="s">
        <v>100</v>
      </c>
      <c r="T104" s="45" t="s">
        <v>339</v>
      </c>
      <c r="U104" s="45" t="s">
        <v>103</v>
      </c>
      <c r="V104" s="45"/>
      <c r="W104" s="45" t="s">
        <v>45</v>
      </c>
      <c r="X104" s="60">
        <v>45898.640972222223</v>
      </c>
      <c r="Y104" s="45" t="s">
        <v>109</v>
      </c>
      <c r="Z104" s="45"/>
      <c r="AA104" s="45"/>
      <c r="AB104" t="str">
        <f>IF(LEFT(Jira__32[[#This Row],[Resumen]],3)="POS","POS",IF(LEFT(Jira__32[[#This Row],[Resumen]],3)="BOT","BOT",""))</f>
        <v>BOT</v>
      </c>
      <c r="AC104" s="10" t="s">
        <v>176</v>
      </c>
      <c r="AE104" s="24" t="str" cm="1">
        <f t="array" ref="AE104">_xlfn.IFS(OR(COUNTIF(P104:V104,Versiones!$G$9)&gt;0, COUNTIF(P104:V104,Versiones!$H$8)&gt;0), "Sprint 21",OR(COUNTIF(P104:V104,Versiones!$G$8)&gt;0, COUNTIF(P104:V104,Versiones!$H$8)&gt;0, COUNTIF(P104:V104,Versiones!$I$8)&gt;0), "Sprint 20",OR(COUNTIF(P104:V104,Versiones!$G$7)&gt;0, COUNTIF(P104:V104,Versiones!$H$7)&gt;0, COUNTIF(P104:V104,Versiones!$I$7)&gt;0), "Sprint 19",OR(COUNTIF(P104:V104,Versiones!$G$6)&gt;0, COUNTIF(P104:V104,Versiones!$H$6)&gt;0, COUNTIF(P104:V104,Versiones!$I$6)&gt;0), "Sprint 18",OR(COUNTIF(P104:V104,Versiones!$G$4)&gt;0, COUNTIF(P104:V104,Versiones!$H$4)&gt;0, COUNTIF(P104:V104,Versiones!$G$5)&gt;0, COUNTIF(P104:V104,Versiones!$H$5)&gt;0), "Sprint 17",OR(COUNTIF(P104:V104,Versiones!$G$2)&gt;0, COUNTIF(P104:V104,Versiones!$H$2)&gt;0, COUNTIF(P104:V104,Versiones!$G$3)&gt;0, COUNTIF(P104:V104,Versiones!$H$3)&gt;0), "Sprint 16", OR(COUNTIF(P104:V104,Versiones!$G$2)&gt;0, COUNTIF(P104:V104,Versiones!$H$2)&gt;0, COUNTIF(P104:V104,Versiones!$G$3)&gt;0, COUNTIF(P104:V104,Versiones!$H$3)&gt;0), "Sprint 16",TRUE, "")</f>
        <v>Sprint 17</v>
      </c>
      <c r="AF104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104" t="str" cm="1">
        <f t="array" ref="AG10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104" s="24" t="str" cm="1">
        <f t="array" ref="AH104">_xlfn.IFS(COUNTIF(P104:V104, Versiones!$A$13)&gt;0, "Funcional", COUNTIF(P104:V104, Versiones!$A$14)&gt;0, "Configuración", COUNTIF(P104:V104, Versiones!$A$15)&gt;0, "Look&amp;Feel", COUNTIF(P104:V104, Versiones!$A$16)&gt;0, "Integración", COUNTIF(P104:V104, Versiones!$A$17)&gt;0, "Contenido/Datos", COUNTIF(P104:V104, Versiones!$A$18)&gt;0, "Eventos_Cosmos", COUNTIF(P104:V104, Versiones!$A$19)&gt;0, "Eventos_iOT", COUNTIF(P104:V104, Versiones!$A$20)&gt;0, "Eventos_Fabric", TRUE, "No encontrado")</f>
        <v>Look&amp;Feel</v>
      </c>
    </row>
    <row r="105" spans="1:34">
      <c r="A105" s="45" t="s">
        <v>35</v>
      </c>
      <c r="B105" s="45" t="s">
        <v>340</v>
      </c>
      <c r="C105" s="45">
        <v>90484</v>
      </c>
      <c r="D105" s="45" t="s">
        <v>341</v>
      </c>
      <c r="E105" s="45">
        <v>87100</v>
      </c>
      <c r="F105" s="45" t="s">
        <v>38</v>
      </c>
      <c r="G105" s="45" t="s">
        <v>39</v>
      </c>
      <c r="H105" s="45" t="s">
        <v>54</v>
      </c>
      <c r="I105" s="45" t="s">
        <v>84</v>
      </c>
      <c r="J105" s="45" t="s">
        <v>117</v>
      </c>
      <c r="K105" s="45" t="s">
        <v>118</v>
      </c>
      <c r="L105" s="45" t="s">
        <v>97</v>
      </c>
      <c r="M105" s="45"/>
      <c r="N105" s="45"/>
      <c r="O105" s="45"/>
      <c r="P105" s="45" t="s">
        <v>43</v>
      </c>
      <c r="Q105" s="45" t="s">
        <v>338</v>
      </c>
      <c r="R105" s="45" t="s">
        <v>101</v>
      </c>
      <c r="S105" s="45" t="s">
        <v>103</v>
      </c>
      <c r="T105" s="45"/>
      <c r="U105" s="45"/>
      <c r="V105" s="45"/>
      <c r="W105" s="45" t="s">
        <v>45</v>
      </c>
      <c r="X105" s="60">
        <v>45897.631249999999</v>
      </c>
      <c r="Y105" s="45" t="s">
        <v>121</v>
      </c>
      <c r="Z105" s="45"/>
      <c r="AA105" s="45"/>
      <c r="AB105" t="str">
        <f>IF(LEFT(Jira__32[[#This Row],[Resumen]],3)="POS","POS",IF(LEFT(Jira__32[[#This Row],[Resumen]],3)="BOT","BOT",""))</f>
        <v>POS</v>
      </c>
      <c r="AC105" s="10" t="s">
        <v>176</v>
      </c>
      <c r="AE105" s="24" t="str" cm="1">
        <f t="array" ref="AE105">_xlfn.IFS(OR(COUNTIF(P105:V105,Versiones!$G$9)&gt;0, COUNTIF(P105:V105,Versiones!$H$8)&gt;0), "Sprint 21",OR(COUNTIF(P105:V105,Versiones!$G$8)&gt;0, COUNTIF(P105:V105,Versiones!$H$8)&gt;0, COUNTIF(P105:V105,Versiones!$I$8)&gt;0), "Sprint 20",OR(COUNTIF(P105:V105,Versiones!$G$7)&gt;0, COUNTIF(P105:V105,Versiones!$H$7)&gt;0, COUNTIF(P105:V105,Versiones!$I$7)&gt;0), "Sprint 19",OR(COUNTIF(P105:V105,Versiones!$G$6)&gt;0, COUNTIF(P105:V105,Versiones!$H$6)&gt;0, COUNTIF(P105:V105,Versiones!$I$6)&gt;0), "Sprint 18",OR(COUNTIF(P105:V105,Versiones!$G$4)&gt;0, COUNTIF(P105:V105,Versiones!$H$4)&gt;0, COUNTIF(P105:V105,Versiones!$G$5)&gt;0, COUNTIF(P105:V105,Versiones!$H$5)&gt;0), "Sprint 17",OR(COUNTIF(P105:V105,Versiones!$G$2)&gt;0, COUNTIF(P105:V105,Versiones!$H$2)&gt;0, COUNTIF(P105:V105,Versiones!$G$3)&gt;0, COUNTIF(P105:V105,Versiones!$H$3)&gt;0), "Sprint 16", OR(COUNTIF(P105:V105,Versiones!$G$2)&gt;0, COUNTIF(P105:V105,Versiones!$H$2)&gt;0, COUNTIF(P105:V105,Versiones!$G$3)&gt;0, COUNTIF(P105:V105,Versiones!$H$3)&gt;0), "Sprint 16",TRUE, "")</f>
        <v>Sprint 17</v>
      </c>
      <c r="AF105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05" t="str" cm="1">
        <f t="array" ref="AG10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05" s="24" t="str" cm="1">
        <f t="array" ref="AH105">_xlfn.IFS(COUNTIF(P105:V105, Versiones!$A$13)&gt;0, "Funcional", COUNTIF(P105:V105, Versiones!$A$14)&gt;0, "Configuración", COUNTIF(P105:V105, Versiones!$A$15)&gt;0, "Look&amp;Feel", COUNTIF(P105:V105, Versiones!$A$16)&gt;0, "Integración", COUNTIF(P105:V105, Versiones!$A$17)&gt;0, "Contenido/Datos", COUNTIF(P105:V105, Versiones!$A$18)&gt;0, "Eventos_Cosmos", COUNTIF(P105:V105, Versiones!$A$19)&gt;0, "Eventos_iOT", COUNTIF(P105:V105, Versiones!$A$20)&gt;0, "Eventos_Fabric", TRUE, "No encontrado")</f>
        <v>Funcional</v>
      </c>
    </row>
    <row r="106" spans="1:34">
      <c r="A106" s="45" t="s">
        <v>35</v>
      </c>
      <c r="B106" s="45" t="s">
        <v>342</v>
      </c>
      <c r="C106" s="45">
        <v>90296</v>
      </c>
      <c r="D106" s="45" t="s">
        <v>343</v>
      </c>
      <c r="E106" s="45">
        <v>87100</v>
      </c>
      <c r="F106" s="45" t="s">
        <v>38</v>
      </c>
      <c r="G106" s="45" t="s">
        <v>39</v>
      </c>
      <c r="H106" s="45" t="s">
        <v>192</v>
      </c>
      <c r="I106" s="45" t="s">
        <v>84</v>
      </c>
      <c r="J106" s="45" t="s">
        <v>118</v>
      </c>
      <c r="K106" s="45" t="s">
        <v>108</v>
      </c>
      <c r="L106" s="45" t="s">
        <v>97</v>
      </c>
      <c r="M106" s="45"/>
      <c r="N106" s="45"/>
      <c r="O106" s="45"/>
      <c r="P106" s="45" t="s">
        <v>43</v>
      </c>
      <c r="Q106" s="45" t="s">
        <v>119</v>
      </c>
      <c r="R106" s="45" t="s">
        <v>344</v>
      </c>
      <c r="S106" s="45"/>
      <c r="T106" s="45"/>
      <c r="U106" s="45"/>
      <c r="V106" s="45"/>
      <c r="W106" s="45" t="s">
        <v>65</v>
      </c>
      <c r="X106" s="60">
        <v>45896.714583333334</v>
      </c>
      <c r="Y106" s="45" t="s">
        <v>109</v>
      </c>
      <c r="Z106" s="45"/>
      <c r="AA106" s="45"/>
      <c r="AB106" t="str">
        <f>IF(LEFT(Jira__32[[#This Row],[Resumen]],3)="POS","POS",IF(LEFT(Jira__32[[#This Row],[Resumen]],3)="BOT","BOT",""))</f>
        <v>POS</v>
      </c>
      <c r="AC106" s="13" t="s">
        <v>150</v>
      </c>
      <c r="AE106" s="24" t="str" cm="1">
        <f t="array" ref="AE106">_xlfn.IFS(OR(COUNTIF(P106:V106,Versiones!$G$9)&gt;0, COUNTIF(P106:V106,Versiones!$H$8)&gt;0), "Sprint 21",OR(COUNTIF(P106:V106,Versiones!$G$8)&gt;0, COUNTIF(P106:V106,Versiones!$H$8)&gt;0, COUNTIF(P106:V106,Versiones!$I$8)&gt;0), "Sprint 20",OR(COUNTIF(P106:V106,Versiones!$G$7)&gt;0, COUNTIF(P106:V106,Versiones!$H$7)&gt;0, COUNTIF(P106:V106,Versiones!$I$7)&gt;0), "Sprint 19",OR(COUNTIF(P106:V106,Versiones!$G$6)&gt;0, COUNTIF(P106:V106,Versiones!$H$6)&gt;0, COUNTIF(P106:V106,Versiones!$I$6)&gt;0), "Sprint 18",OR(COUNTIF(P106:V106,Versiones!$G$4)&gt;0, COUNTIF(P106:V106,Versiones!$H$4)&gt;0, COUNTIF(P106:V106,Versiones!$G$5)&gt;0, COUNTIF(P106:V106,Versiones!$H$5)&gt;0), "Sprint 17",OR(COUNTIF(P106:V106,Versiones!$G$2)&gt;0, COUNTIF(P106:V106,Versiones!$H$2)&gt;0, COUNTIF(P106:V106,Versiones!$G$3)&gt;0, COUNTIF(P106:V106,Versiones!$H$3)&gt;0), "Sprint 16", OR(COUNTIF(P106:V106,Versiones!$G$2)&gt;0, COUNTIF(P106:V106,Versiones!$H$2)&gt;0, COUNTIF(P106:V106,Versiones!$G$3)&gt;0, COUNTIF(P106:V106,Versiones!$H$3)&gt;0), "Sprint 16",TRUE, "")</f>
        <v>Sprint 17</v>
      </c>
      <c r="AF106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106" t="str" cm="1">
        <f t="array" ref="AG10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106" s="24" t="str" cm="1">
        <f t="array" ref="AH106">_xlfn.IFS(COUNTIF(P106:V106, Versiones!$A$13)&gt;0, "Funcional", COUNTIF(P106:V106, Versiones!$A$14)&gt;0, "Configuración", COUNTIF(P106:V106, Versiones!$A$15)&gt;0, "Look&amp;Feel", COUNTIF(P106:V106, Versiones!$A$16)&gt;0, "Integración", COUNTIF(P106:V106, Versiones!$A$17)&gt;0, "Contenido/Datos", COUNTIF(P106:V106, Versiones!$A$18)&gt;0, "Eventos_Cosmos", COUNTIF(P106:V106, Versiones!$A$19)&gt;0, "Eventos_iOT", COUNTIF(P106:V106, Versiones!$A$20)&gt;0, "Eventos_Fabric", TRUE, "No encontrado")</f>
        <v>Funcional</v>
      </c>
    </row>
    <row r="107" spans="1:34">
      <c r="A107" s="45" t="s">
        <v>35</v>
      </c>
      <c r="B107" s="45" t="s">
        <v>345</v>
      </c>
      <c r="C107" s="45">
        <v>90222</v>
      </c>
      <c r="D107" s="45" t="s">
        <v>346</v>
      </c>
      <c r="E107" s="45">
        <v>79941</v>
      </c>
      <c r="F107" s="45" t="s">
        <v>124</v>
      </c>
      <c r="G107" s="45" t="s">
        <v>125</v>
      </c>
      <c r="H107" s="45" t="s">
        <v>40</v>
      </c>
      <c r="I107" s="45" t="s">
        <v>84</v>
      </c>
      <c r="J107" s="45" t="s">
        <v>117</v>
      </c>
      <c r="K107" s="45" t="s">
        <v>118</v>
      </c>
      <c r="L107" s="45" t="s">
        <v>108</v>
      </c>
      <c r="M107" s="45" t="s">
        <v>97</v>
      </c>
      <c r="N107" s="45"/>
      <c r="O107" s="45"/>
      <c r="P107" s="45" t="s">
        <v>43</v>
      </c>
      <c r="Q107" s="45" t="s">
        <v>338</v>
      </c>
      <c r="R107" s="45"/>
      <c r="S107" s="45"/>
      <c r="T107" s="45"/>
      <c r="U107" s="45"/>
      <c r="V107" s="45"/>
      <c r="W107" s="45" t="s">
        <v>45</v>
      </c>
      <c r="X107" s="60">
        <v>45896.630555555559</v>
      </c>
      <c r="Y107" s="45" t="s">
        <v>121</v>
      </c>
      <c r="Z107" s="45"/>
      <c r="AA107" s="45"/>
      <c r="AB107" t="str">
        <f>IF(LEFT(Jira__32[[#This Row],[Resumen]],3)="POS","POS",IF(LEFT(Jira__32[[#This Row],[Resumen]],3)="BOT","BOT",""))</f>
        <v>POS</v>
      </c>
      <c r="AC107" s="10" t="s">
        <v>176</v>
      </c>
      <c r="AE107" s="24" t="str" cm="1">
        <f t="array" ref="AE107">_xlfn.IFS(OR(COUNTIF(P107:V107,Versiones!$G$9)&gt;0, COUNTIF(P107:V107,Versiones!$H$8)&gt;0), "Sprint 21",OR(COUNTIF(P107:V107,Versiones!$G$8)&gt;0, COUNTIF(P107:V107,Versiones!$H$8)&gt;0, COUNTIF(P107:V107,Versiones!$I$8)&gt;0), "Sprint 20",OR(COUNTIF(P107:V107,Versiones!$G$7)&gt;0, COUNTIF(P107:V107,Versiones!$H$7)&gt;0, COUNTIF(P107:V107,Versiones!$I$7)&gt;0), "Sprint 19",OR(COUNTIF(P107:V107,Versiones!$G$6)&gt;0, COUNTIF(P107:V107,Versiones!$H$6)&gt;0, COUNTIF(P107:V107,Versiones!$I$6)&gt;0), "Sprint 18",OR(COUNTIF(P107:V107,Versiones!$G$4)&gt;0, COUNTIF(P107:V107,Versiones!$H$4)&gt;0, COUNTIF(P107:V107,Versiones!$G$5)&gt;0, COUNTIF(P107:V107,Versiones!$H$5)&gt;0), "Sprint 17",OR(COUNTIF(P107:V107,Versiones!$G$2)&gt;0, COUNTIF(P107:V107,Versiones!$H$2)&gt;0, COUNTIF(P107:V107,Versiones!$G$3)&gt;0, COUNTIF(P107:V107,Versiones!$H$3)&gt;0), "Sprint 16", OR(COUNTIF(P107:V107,Versiones!$G$2)&gt;0, COUNTIF(P107:V107,Versiones!$H$2)&gt;0, COUNTIF(P107:V107,Versiones!$G$3)&gt;0, COUNTIF(P107:V107,Versiones!$H$3)&gt;0), "Sprint 16",TRUE, "")</f>
        <v>Sprint 17</v>
      </c>
      <c r="AF107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07" t="str" cm="1">
        <f t="array" ref="AG10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07" s="24" t="str" cm="1">
        <f t="array" ref="AH107">_xlfn.IFS(COUNTIF(P107:V107, Versiones!$A$13)&gt;0, "Funcional", COUNTIF(P107:V107, Versiones!$A$14)&gt;0, "Configuración", COUNTIF(P107:V107, Versiones!$A$15)&gt;0, "Look&amp;Feel", COUNTIF(P107:V107, Versiones!$A$16)&gt;0, "Integración", COUNTIF(P107:V107, Versiones!$A$17)&gt;0, "Contenido/Datos", COUNTIF(P107:V107, Versiones!$A$18)&gt;0, "Eventos_Cosmos", COUNTIF(P107:V107, Versiones!$A$19)&gt;0, "Eventos_iOT", COUNTIF(P107:V107, Versiones!$A$20)&gt;0, "Eventos_Fabric", TRUE, "No encontrado")</f>
        <v>Funcional</v>
      </c>
    </row>
    <row r="108" spans="1:34">
      <c r="A108" s="45" t="s">
        <v>35</v>
      </c>
      <c r="B108" s="45" t="s">
        <v>347</v>
      </c>
      <c r="C108" s="45">
        <v>90190</v>
      </c>
      <c r="D108" s="45" t="s">
        <v>348</v>
      </c>
      <c r="E108" s="45">
        <v>87100</v>
      </c>
      <c r="F108" s="45" t="s">
        <v>38</v>
      </c>
      <c r="G108" s="45" t="s">
        <v>39</v>
      </c>
      <c r="H108" s="45" t="s">
        <v>54</v>
      </c>
      <c r="I108" s="45" t="s">
        <v>84</v>
      </c>
      <c r="J108" s="45" t="s">
        <v>117</v>
      </c>
      <c r="K108" s="45" t="s">
        <v>118</v>
      </c>
      <c r="L108" s="45" t="s">
        <v>97</v>
      </c>
      <c r="M108" s="45"/>
      <c r="N108" s="45"/>
      <c r="O108" s="45"/>
      <c r="P108" s="45" t="s">
        <v>43</v>
      </c>
      <c r="Q108" s="45" t="s">
        <v>344</v>
      </c>
      <c r="R108" s="45"/>
      <c r="S108" s="45"/>
      <c r="T108" s="45"/>
      <c r="U108" s="45"/>
      <c r="V108" s="45"/>
      <c r="W108" s="45" t="s">
        <v>65</v>
      </c>
      <c r="X108" s="60">
        <v>45896.554166666669</v>
      </c>
      <c r="Y108" s="45" t="s">
        <v>121</v>
      </c>
      <c r="Z108" s="45"/>
      <c r="AA108" s="45"/>
      <c r="AB108" t="str">
        <f>IF(LEFT(Jira__32[[#This Row],[Resumen]],3)="POS","POS",IF(LEFT(Jira__32[[#This Row],[Resumen]],3)="BOT","BOT",""))</f>
        <v>POS</v>
      </c>
      <c r="AC108" s="10" t="s">
        <v>59</v>
      </c>
      <c r="AE108" s="24" t="str" cm="1">
        <f t="array" ref="AE108">_xlfn.IFS(OR(COUNTIF(P108:V108,Versiones!$G$9)&gt;0, COUNTIF(P108:V108,Versiones!$H$8)&gt;0), "Sprint 21",OR(COUNTIF(P108:V108,Versiones!$G$8)&gt;0, COUNTIF(P108:V108,Versiones!$H$8)&gt;0, COUNTIF(P108:V108,Versiones!$I$8)&gt;0), "Sprint 20",OR(COUNTIF(P108:V108,Versiones!$G$7)&gt;0, COUNTIF(P108:V108,Versiones!$H$7)&gt;0, COUNTIF(P108:V108,Versiones!$I$7)&gt;0), "Sprint 19",OR(COUNTIF(P108:V108,Versiones!$G$6)&gt;0, COUNTIF(P108:V108,Versiones!$H$6)&gt;0, COUNTIF(P108:V108,Versiones!$I$6)&gt;0), "Sprint 18",OR(COUNTIF(P108:V108,Versiones!$G$4)&gt;0, COUNTIF(P108:V108,Versiones!$H$4)&gt;0, COUNTIF(P108:V108,Versiones!$G$5)&gt;0, COUNTIF(P108:V108,Versiones!$H$5)&gt;0), "Sprint 17",OR(COUNTIF(P108:V108,Versiones!$G$2)&gt;0, COUNTIF(P108:V108,Versiones!$H$2)&gt;0, COUNTIF(P108:V108,Versiones!$G$3)&gt;0, COUNTIF(P108:V108,Versiones!$H$3)&gt;0), "Sprint 16", OR(COUNTIF(P108:V108,Versiones!$G$2)&gt;0, COUNTIF(P108:V108,Versiones!$H$2)&gt;0, COUNTIF(P108:V108,Versiones!$G$3)&gt;0, COUNTIF(P108:V108,Versiones!$H$3)&gt;0), "Sprint 16",TRUE, "")</f>
        <v>Sprint 17</v>
      </c>
      <c r="AF108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08" t="str" cm="1">
        <f t="array" ref="AG10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08" s="24" t="str" cm="1">
        <f t="array" ref="AH108">_xlfn.IFS(COUNTIF(P108:V108, Versiones!$A$13)&gt;0, "Funcional", COUNTIF(P108:V108, Versiones!$A$14)&gt;0, "Configuración", COUNTIF(P108:V108, Versiones!$A$15)&gt;0, "Look&amp;Feel", COUNTIF(P108:V108, Versiones!$A$16)&gt;0, "Integración", COUNTIF(P108:V108, Versiones!$A$17)&gt;0, "Contenido/Datos", COUNTIF(P108:V108, Versiones!$A$18)&gt;0, "Eventos_Cosmos", COUNTIF(P108:V108, Versiones!$A$19)&gt;0, "Eventos_iOT", COUNTIF(P108:V108, Versiones!$A$20)&gt;0, "Eventos_Fabric", TRUE, "No encontrado")</f>
        <v>Funcional</v>
      </c>
    </row>
    <row r="109" spans="1:34">
      <c r="A109" s="45" t="s">
        <v>35</v>
      </c>
      <c r="B109" s="45" t="s">
        <v>349</v>
      </c>
      <c r="C109" s="45">
        <v>90143</v>
      </c>
      <c r="D109" s="45" t="s">
        <v>350</v>
      </c>
      <c r="E109" s="45">
        <v>87100</v>
      </c>
      <c r="F109" s="45" t="s">
        <v>38</v>
      </c>
      <c r="G109" s="45" t="s">
        <v>39</v>
      </c>
      <c r="H109" s="45" t="s">
        <v>54</v>
      </c>
      <c r="I109" s="45" t="s">
        <v>84</v>
      </c>
      <c r="J109" s="45" t="s">
        <v>117</v>
      </c>
      <c r="K109" s="45" t="s">
        <v>118</v>
      </c>
      <c r="L109" s="45" t="s">
        <v>97</v>
      </c>
      <c r="M109" s="45"/>
      <c r="N109" s="45"/>
      <c r="O109" s="45"/>
      <c r="P109" s="45" t="s">
        <v>43</v>
      </c>
      <c r="Q109" s="45" t="s">
        <v>344</v>
      </c>
      <c r="R109" s="45" t="s">
        <v>101</v>
      </c>
      <c r="S109" s="45" t="s">
        <v>103</v>
      </c>
      <c r="T109" s="45"/>
      <c r="U109" s="45"/>
      <c r="V109" s="45"/>
      <c r="W109" s="45" t="s">
        <v>65</v>
      </c>
      <c r="X109" s="60">
        <v>45896.479861111111</v>
      </c>
      <c r="Y109" s="45" t="s">
        <v>121</v>
      </c>
      <c r="Z109" s="45"/>
      <c r="AA109" s="45"/>
      <c r="AB109" t="str">
        <f>IF(LEFT(Jira__32[[#This Row],[Resumen]],3)="POS","POS",IF(LEFT(Jira__32[[#This Row],[Resumen]],3)="BOT","BOT",""))</f>
        <v>POS</v>
      </c>
      <c r="AC109" s="10" t="s">
        <v>47</v>
      </c>
      <c r="AE109" s="24" t="str" cm="1">
        <f t="array" ref="AE109">_xlfn.IFS(OR(COUNTIF(P109:V109,Versiones!$G$9)&gt;0, COUNTIF(P109:V109,Versiones!$H$8)&gt;0), "Sprint 21",OR(COUNTIF(P109:V109,Versiones!$G$8)&gt;0, COUNTIF(P109:V109,Versiones!$H$8)&gt;0, COUNTIF(P109:V109,Versiones!$I$8)&gt;0), "Sprint 20",OR(COUNTIF(P109:V109,Versiones!$G$7)&gt;0, COUNTIF(P109:V109,Versiones!$H$7)&gt;0, COUNTIF(P109:V109,Versiones!$I$7)&gt;0), "Sprint 19",OR(COUNTIF(P109:V109,Versiones!$G$6)&gt;0, COUNTIF(P109:V109,Versiones!$H$6)&gt;0, COUNTIF(P109:V109,Versiones!$I$6)&gt;0), "Sprint 18",OR(COUNTIF(P109:V109,Versiones!$G$4)&gt;0, COUNTIF(P109:V109,Versiones!$H$4)&gt;0, COUNTIF(P109:V109,Versiones!$G$5)&gt;0, COUNTIF(P109:V109,Versiones!$H$5)&gt;0), "Sprint 17",OR(COUNTIF(P109:V109,Versiones!$G$2)&gt;0, COUNTIF(P109:V109,Versiones!$H$2)&gt;0, COUNTIF(P109:V109,Versiones!$G$3)&gt;0, COUNTIF(P109:V109,Versiones!$H$3)&gt;0), "Sprint 16", OR(COUNTIF(P109:V109,Versiones!$G$2)&gt;0, COUNTIF(P109:V109,Versiones!$H$2)&gt;0, COUNTIF(P109:V109,Versiones!$G$3)&gt;0, COUNTIF(P109:V109,Versiones!$H$3)&gt;0), "Sprint 16",TRUE, "")</f>
        <v>Sprint 17</v>
      </c>
      <c r="AF109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09" t="str" cm="1">
        <f t="array" ref="AG109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09" s="24" t="str" cm="1">
        <f t="array" ref="AH109">_xlfn.IFS(COUNTIF(P109:V109, Versiones!$A$13)&gt;0, "Funcional", COUNTIF(P109:V109, Versiones!$A$14)&gt;0, "Configuración", COUNTIF(P109:V109, Versiones!$A$15)&gt;0, "Look&amp;Feel", COUNTIF(P109:V109, Versiones!$A$16)&gt;0, "Integración", COUNTIF(P109:V109, Versiones!$A$17)&gt;0, "Contenido/Datos", COUNTIF(P109:V109, Versiones!$A$18)&gt;0, "Eventos_Cosmos", COUNTIF(P109:V109, Versiones!$A$19)&gt;0, "Eventos_iOT", COUNTIF(P109:V109, Versiones!$A$20)&gt;0, "Eventos_Fabric", TRUE, "No encontrado")</f>
        <v>Funcional</v>
      </c>
    </row>
    <row r="110" spans="1:34">
      <c r="A110" s="45" t="s">
        <v>35</v>
      </c>
      <c r="B110" s="45" t="s">
        <v>351</v>
      </c>
      <c r="C110" s="45">
        <v>90021</v>
      </c>
      <c r="D110" s="45" t="s">
        <v>352</v>
      </c>
      <c r="E110" s="45">
        <v>87100</v>
      </c>
      <c r="F110" s="45" t="s">
        <v>38</v>
      </c>
      <c r="G110" s="45" t="s">
        <v>39</v>
      </c>
      <c r="H110" s="45" t="s">
        <v>54</v>
      </c>
      <c r="I110" s="45" t="s">
        <v>84</v>
      </c>
      <c r="J110" s="45" t="s">
        <v>117</v>
      </c>
      <c r="K110" s="45" t="s">
        <v>118</v>
      </c>
      <c r="L110" s="45" t="s">
        <v>97</v>
      </c>
      <c r="M110" s="45"/>
      <c r="N110" s="45"/>
      <c r="O110" s="45"/>
      <c r="P110" s="45" t="s">
        <v>64</v>
      </c>
      <c r="Q110" s="45" t="s">
        <v>344</v>
      </c>
      <c r="R110" s="45" t="s">
        <v>100</v>
      </c>
      <c r="S110" s="45" t="s">
        <v>339</v>
      </c>
      <c r="T110" s="45" t="s">
        <v>101</v>
      </c>
      <c r="U110" s="45" t="s">
        <v>103</v>
      </c>
      <c r="V110" s="45"/>
      <c r="W110" s="45" t="s">
        <v>65</v>
      </c>
      <c r="X110" s="60">
        <v>45895.704861111109</v>
      </c>
      <c r="Y110" s="45" t="s">
        <v>121</v>
      </c>
      <c r="Z110" s="45"/>
      <c r="AA110" s="45"/>
      <c r="AB110" t="str">
        <f>IF(LEFT(Jira__32[[#This Row],[Resumen]],3)="POS","POS",IF(LEFT(Jira__32[[#This Row],[Resumen]],3)="BOT","BOT",""))</f>
        <v>BOT</v>
      </c>
      <c r="AC110" s="10" t="s">
        <v>47</v>
      </c>
      <c r="AE110" s="24" t="str" cm="1">
        <f t="array" ref="AE110">_xlfn.IFS(OR(COUNTIF(P110:V110,Versiones!$G$9)&gt;0, COUNTIF(P110:V110,Versiones!$H$8)&gt;0), "Sprint 21",OR(COUNTIF(P110:V110,Versiones!$G$8)&gt;0, COUNTIF(P110:V110,Versiones!$H$8)&gt;0, COUNTIF(P110:V110,Versiones!$I$8)&gt;0), "Sprint 20",OR(COUNTIF(P110:V110,Versiones!$G$7)&gt;0, COUNTIF(P110:V110,Versiones!$H$7)&gt;0, COUNTIF(P110:V110,Versiones!$I$7)&gt;0), "Sprint 19",OR(COUNTIF(P110:V110,Versiones!$G$6)&gt;0, COUNTIF(P110:V110,Versiones!$H$6)&gt;0, COUNTIF(P110:V110,Versiones!$I$6)&gt;0), "Sprint 18",OR(COUNTIF(P110:V110,Versiones!$G$4)&gt;0, COUNTIF(P110:V110,Versiones!$H$4)&gt;0, COUNTIF(P110:V110,Versiones!$G$5)&gt;0, COUNTIF(P110:V110,Versiones!$H$5)&gt;0), "Sprint 17",OR(COUNTIF(P110:V110,Versiones!$G$2)&gt;0, COUNTIF(P110:V110,Versiones!$H$2)&gt;0, COUNTIF(P110:V110,Versiones!$G$3)&gt;0, COUNTIF(P110:V110,Versiones!$H$3)&gt;0), "Sprint 16", OR(COUNTIF(P110:V110,Versiones!$G$2)&gt;0, COUNTIF(P110:V110,Versiones!$H$2)&gt;0, COUNTIF(P110:V110,Versiones!$G$3)&gt;0, COUNTIF(P110:V110,Versiones!$H$3)&gt;0), "Sprint 16",TRUE, "")</f>
        <v>Sprint 17</v>
      </c>
      <c r="AF110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10" t="str" cm="1">
        <f t="array" ref="AG110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10" s="24" t="str" cm="1">
        <f t="array" ref="AH110">_xlfn.IFS(COUNTIF(P110:V110, Versiones!$A$13)&gt;0, "Funcional", COUNTIF(P110:V110, Versiones!$A$14)&gt;0, "Configuración", COUNTIF(P110:V110, Versiones!$A$15)&gt;0, "Look&amp;Feel", COUNTIF(P110:V110, Versiones!$A$16)&gt;0, "Integración", COUNTIF(P110:V110, Versiones!$A$17)&gt;0, "Contenido/Datos", COUNTIF(P110:V110, Versiones!$A$18)&gt;0, "Eventos_Cosmos", COUNTIF(P110:V110, Versiones!$A$19)&gt;0, "Eventos_iOT", COUNTIF(P110:V110, Versiones!$A$20)&gt;0, "Eventos_Fabric", TRUE, "No encontrado")</f>
        <v>Contenido/Datos</v>
      </c>
    </row>
    <row r="111" spans="1:34">
      <c r="A111" s="45" t="s">
        <v>35</v>
      </c>
      <c r="B111" s="45" t="s">
        <v>353</v>
      </c>
      <c r="C111" s="45">
        <v>90007</v>
      </c>
      <c r="D111" s="45" t="s">
        <v>354</v>
      </c>
      <c r="E111" s="45">
        <v>79941</v>
      </c>
      <c r="F111" s="45" t="s">
        <v>124</v>
      </c>
      <c r="G111" s="45" t="s">
        <v>125</v>
      </c>
      <c r="H111" s="45" t="s">
        <v>249</v>
      </c>
      <c r="I111" s="45" t="s">
        <v>41</v>
      </c>
      <c r="J111" s="45" t="s">
        <v>117</v>
      </c>
      <c r="K111" s="45" t="s">
        <v>118</v>
      </c>
      <c r="L111" s="45" t="s">
        <v>97</v>
      </c>
      <c r="M111" s="45"/>
      <c r="N111" s="45"/>
      <c r="O111" s="45"/>
      <c r="P111" s="45" t="s">
        <v>55</v>
      </c>
      <c r="Q111" s="45" t="s">
        <v>344</v>
      </c>
      <c r="R111" s="45" t="s">
        <v>100</v>
      </c>
      <c r="S111" s="45" t="s">
        <v>103</v>
      </c>
      <c r="T111" s="45"/>
      <c r="U111" s="45"/>
      <c r="V111" s="45"/>
      <c r="W111" s="45" t="s">
        <v>65</v>
      </c>
      <c r="X111" s="60">
        <v>45895.677083333336</v>
      </c>
      <c r="Y111" s="45" t="s">
        <v>121</v>
      </c>
      <c r="Z111" s="45"/>
      <c r="AA111" s="45"/>
      <c r="AB111" t="str">
        <f>IF(LEFT(Jira__32[[#This Row],[Resumen]],3)="POS","POS",IF(LEFT(Jira__32[[#This Row],[Resumen]],3)="BOT","BOT",""))</f>
        <v>BOT</v>
      </c>
      <c r="AC111" s="10" t="s">
        <v>47</v>
      </c>
      <c r="AE111" s="24" t="str" cm="1">
        <f t="array" ref="AE111">_xlfn.IFS(OR(COUNTIF(P111:V111,Versiones!$G$9)&gt;0, COUNTIF(P111:V111,Versiones!$H$8)&gt;0), "Sprint 21",OR(COUNTIF(P111:V111,Versiones!$G$8)&gt;0, COUNTIF(P111:V111,Versiones!$H$8)&gt;0, COUNTIF(P111:V111,Versiones!$I$8)&gt;0), "Sprint 20",OR(COUNTIF(P111:V111,Versiones!$G$7)&gt;0, COUNTIF(P111:V111,Versiones!$H$7)&gt;0, COUNTIF(P111:V111,Versiones!$I$7)&gt;0), "Sprint 19",OR(COUNTIF(P111:V111,Versiones!$G$6)&gt;0, COUNTIF(P111:V111,Versiones!$H$6)&gt;0, COUNTIF(P111:V111,Versiones!$I$6)&gt;0), "Sprint 18",OR(COUNTIF(P111:V111,Versiones!$G$4)&gt;0, COUNTIF(P111:V111,Versiones!$H$4)&gt;0, COUNTIF(P111:V111,Versiones!$G$5)&gt;0, COUNTIF(P111:V111,Versiones!$H$5)&gt;0), "Sprint 17",OR(COUNTIF(P111:V111,Versiones!$G$2)&gt;0, COUNTIF(P111:V111,Versiones!$H$2)&gt;0, COUNTIF(P111:V111,Versiones!$G$3)&gt;0, COUNTIF(P111:V111,Versiones!$H$3)&gt;0), "Sprint 16", OR(COUNTIF(P111:V111,Versiones!$G$2)&gt;0, COUNTIF(P111:V111,Versiones!$H$2)&gt;0, COUNTIF(P111:V111,Versiones!$G$3)&gt;0, COUNTIF(P111:V111,Versiones!$H$3)&gt;0), "Sprint 16",TRUE, "")</f>
        <v>Sprint 17</v>
      </c>
      <c r="AF111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11" t="str" cm="1">
        <f t="array" ref="AG111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11" s="24" t="str" cm="1">
        <f t="array" ref="AH111">_xlfn.IFS(COUNTIF(P111:V111, Versiones!$A$13)&gt;0, "Funcional", COUNTIF(P111:V111, Versiones!$A$14)&gt;0, "Configuración", COUNTIF(P111:V111, Versiones!$A$15)&gt;0, "Look&amp;Feel", COUNTIF(P111:V111, Versiones!$A$16)&gt;0, "Integración", COUNTIF(P111:V111, Versiones!$A$17)&gt;0, "Contenido/Datos", COUNTIF(P111:V111, Versiones!$A$18)&gt;0, "Eventos_Cosmos", COUNTIF(P111:V111, Versiones!$A$19)&gt;0, "Eventos_iOT", COUNTIF(P111:V111, Versiones!$A$20)&gt;0, "Eventos_Fabric", TRUE, "No encontrado")</f>
        <v>Look&amp;Feel</v>
      </c>
    </row>
    <row r="112" spans="1:34">
      <c r="A112" s="45" t="s">
        <v>35</v>
      </c>
      <c r="B112" s="45" t="s">
        <v>355</v>
      </c>
      <c r="C112" s="45">
        <v>89957</v>
      </c>
      <c r="D112" s="45" t="s">
        <v>356</v>
      </c>
      <c r="E112" s="45">
        <v>79941</v>
      </c>
      <c r="F112" s="45" t="s">
        <v>124</v>
      </c>
      <c r="G112" s="45" t="s">
        <v>125</v>
      </c>
      <c r="H112" s="45" t="s">
        <v>54</v>
      </c>
      <c r="I112" s="45" t="s">
        <v>84</v>
      </c>
      <c r="J112" s="45" t="s">
        <v>117</v>
      </c>
      <c r="K112" s="45" t="s">
        <v>118</v>
      </c>
      <c r="L112" s="45" t="s">
        <v>97</v>
      </c>
      <c r="M112" s="45"/>
      <c r="N112" s="45"/>
      <c r="O112" s="45"/>
      <c r="P112" s="45" t="s">
        <v>43</v>
      </c>
      <c r="Q112" s="45" t="s">
        <v>338</v>
      </c>
      <c r="R112" s="45" t="s">
        <v>100</v>
      </c>
      <c r="S112" s="45" t="s">
        <v>103</v>
      </c>
      <c r="T112" s="45"/>
      <c r="U112" s="45"/>
      <c r="V112" s="45"/>
      <c r="W112" s="45" t="s">
        <v>45</v>
      </c>
      <c r="X112" s="60">
        <v>45895.569444444445</v>
      </c>
      <c r="Y112" s="45" t="s">
        <v>121</v>
      </c>
      <c r="Z112" s="45"/>
      <c r="AA112" s="45"/>
      <c r="AB112" t="str">
        <f>IF(LEFT(Jira__32[[#This Row],[Resumen]],3)="POS","POS",IF(LEFT(Jira__32[[#This Row],[Resumen]],3)="BOT","BOT",""))</f>
        <v>BOT</v>
      </c>
      <c r="AC112" s="10" t="s">
        <v>176</v>
      </c>
      <c r="AE112" s="24" t="str" cm="1">
        <f t="array" ref="AE112">_xlfn.IFS(OR(COUNTIF(P112:V112,Versiones!$G$9)&gt;0, COUNTIF(P112:V112,Versiones!$H$8)&gt;0), "Sprint 21",OR(COUNTIF(P112:V112,Versiones!$G$8)&gt;0, COUNTIF(P112:V112,Versiones!$H$8)&gt;0, COUNTIF(P112:V112,Versiones!$I$8)&gt;0), "Sprint 20",OR(COUNTIF(P112:V112,Versiones!$G$7)&gt;0, COUNTIF(P112:V112,Versiones!$H$7)&gt;0, COUNTIF(P112:V112,Versiones!$I$7)&gt;0), "Sprint 19",OR(COUNTIF(P112:V112,Versiones!$G$6)&gt;0, COUNTIF(P112:V112,Versiones!$H$6)&gt;0, COUNTIF(P112:V112,Versiones!$I$6)&gt;0), "Sprint 18",OR(COUNTIF(P112:V112,Versiones!$G$4)&gt;0, COUNTIF(P112:V112,Versiones!$H$4)&gt;0, COUNTIF(P112:V112,Versiones!$G$5)&gt;0, COUNTIF(P112:V112,Versiones!$H$5)&gt;0), "Sprint 17",OR(COUNTIF(P112:V112,Versiones!$G$2)&gt;0, COUNTIF(P112:V112,Versiones!$H$2)&gt;0, COUNTIF(P112:V112,Versiones!$G$3)&gt;0, COUNTIF(P112:V112,Versiones!$H$3)&gt;0), "Sprint 16", OR(COUNTIF(P112:V112,Versiones!$G$2)&gt;0, COUNTIF(P112:V112,Versiones!$H$2)&gt;0, COUNTIF(P112:V112,Versiones!$G$3)&gt;0, COUNTIF(P112:V112,Versiones!$H$3)&gt;0), "Sprint 16",TRUE, "")</f>
        <v>Sprint 17</v>
      </c>
      <c r="AF112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12" t="str" cm="1">
        <f t="array" ref="AG112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12" s="24" t="str" cm="1">
        <f t="array" ref="AH112">_xlfn.IFS(COUNTIF(P112:V112, Versiones!$A$13)&gt;0, "Funcional", COUNTIF(P112:V112, Versiones!$A$14)&gt;0, "Configuración", COUNTIF(P112:V112, Versiones!$A$15)&gt;0, "Look&amp;Feel", COUNTIF(P112:V112, Versiones!$A$16)&gt;0, "Integración", COUNTIF(P112:V112, Versiones!$A$17)&gt;0, "Contenido/Datos", COUNTIF(P112:V112, Versiones!$A$18)&gt;0, "Eventos_Cosmos", COUNTIF(P112:V112, Versiones!$A$19)&gt;0, "Eventos_iOT", COUNTIF(P112:V112, Versiones!$A$20)&gt;0, "Eventos_Fabric", TRUE, "No encontrado")</f>
        <v>Funcional</v>
      </c>
    </row>
    <row r="113" spans="1:34">
      <c r="A113" s="45" t="s">
        <v>35</v>
      </c>
      <c r="B113" s="45" t="s">
        <v>357</v>
      </c>
      <c r="C113" s="45">
        <v>89615</v>
      </c>
      <c r="D113" s="45" t="s">
        <v>358</v>
      </c>
      <c r="E113" s="45">
        <v>79941</v>
      </c>
      <c r="F113" s="45" t="s">
        <v>124</v>
      </c>
      <c r="G113" s="45" t="s">
        <v>125</v>
      </c>
      <c r="H113" s="45" t="s">
        <v>54</v>
      </c>
      <c r="I113" s="45" t="s">
        <v>80</v>
      </c>
      <c r="J113" s="45" t="s">
        <v>117</v>
      </c>
      <c r="K113" s="45" t="s">
        <v>118</v>
      </c>
      <c r="L113" s="45" t="s">
        <v>108</v>
      </c>
      <c r="M113" s="45" t="s">
        <v>200</v>
      </c>
      <c r="N113" s="45" t="s">
        <v>42</v>
      </c>
      <c r="O113" s="45"/>
      <c r="P113" s="45" t="s">
        <v>43</v>
      </c>
      <c r="Q113" s="45" t="s">
        <v>359</v>
      </c>
      <c r="R113" s="45"/>
      <c r="S113" s="45"/>
      <c r="T113" s="45"/>
      <c r="U113" s="45"/>
      <c r="V113" s="45"/>
      <c r="W113" s="45" t="s">
        <v>120</v>
      </c>
      <c r="X113" s="60">
        <v>45894.412499999999</v>
      </c>
      <c r="Y113" s="45"/>
      <c r="Z113" s="45"/>
      <c r="AA113" s="45"/>
      <c r="AB113" t="str">
        <f>IF(LEFT(Jira__32[[#This Row],[Resumen]],3)="POS","POS",IF(LEFT(Jira__32[[#This Row],[Resumen]],3)="BOT","BOT",""))</f>
        <v>BOT</v>
      </c>
      <c r="AC113" s="10" t="s">
        <v>176</v>
      </c>
      <c r="AE113" s="24" t="str" cm="1">
        <f t="array" ref="AE113">_xlfn.IFS(OR(COUNTIF(P113:V113,Versiones!$G$9)&gt;0, COUNTIF(P113:V113,Versiones!$H$8)&gt;0), "Sprint 21",OR(COUNTIF(P113:V113,Versiones!$G$8)&gt;0, COUNTIF(P113:V113,Versiones!$H$8)&gt;0, COUNTIF(P113:V113,Versiones!$I$8)&gt;0), "Sprint 20",OR(COUNTIF(P113:V113,Versiones!$G$7)&gt;0, COUNTIF(P113:V113,Versiones!$H$7)&gt;0, COUNTIF(P113:V113,Versiones!$I$7)&gt;0), "Sprint 19",OR(COUNTIF(P113:V113,Versiones!$G$6)&gt;0, COUNTIF(P113:V113,Versiones!$H$6)&gt;0, COUNTIF(P113:V113,Versiones!$I$6)&gt;0), "Sprint 18",OR(COUNTIF(P113:V113,Versiones!$G$4)&gt;0, COUNTIF(P113:V113,Versiones!$H$4)&gt;0, COUNTIF(P113:V113,Versiones!$G$5)&gt;0, COUNTIF(P113:V113,Versiones!$H$5)&gt;0), "Sprint 17",OR(COUNTIF(P113:V113,Versiones!$G$2)&gt;0, COUNTIF(P113:V113,Versiones!$H$2)&gt;0, COUNTIF(P113:V113,Versiones!$G$3)&gt;0, COUNTIF(P113:V113,Versiones!$H$3)&gt;0), "Sprint 16", OR(COUNTIF(P113:V113,Versiones!$G$2)&gt;0, COUNTIF(P113:V113,Versiones!$H$2)&gt;0, COUNTIF(P113:V113,Versiones!$G$3)&gt;0, COUNTIF(P113:V113,Versiones!$H$3)&gt;0), "Sprint 16",TRUE, "")</f>
        <v>Sprint 17</v>
      </c>
      <c r="AF113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113" t="str" cm="1">
        <f t="array" ref="AG11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113" s="24" t="str" cm="1">
        <f t="array" ref="AH113">_xlfn.IFS(COUNTIF(P113:V113, Versiones!$A$13)&gt;0, "Funcional", COUNTIF(P113:V113, Versiones!$A$14)&gt;0, "Configuración", COUNTIF(P113:V113, Versiones!$A$15)&gt;0, "Look&amp;Feel", COUNTIF(P113:V113, Versiones!$A$16)&gt;0, "Integración", COUNTIF(P113:V113, Versiones!$A$17)&gt;0, "Contenido/Datos", COUNTIF(P113:V113, Versiones!$A$18)&gt;0, "Eventos_Cosmos", COUNTIF(P113:V113, Versiones!$A$19)&gt;0, "Eventos_iOT", COUNTIF(P113:V113, Versiones!$A$20)&gt;0, "Eventos_Fabric", TRUE, "No encontrado")</f>
        <v>Funcional</v>
      </c>
    </row>
    <row r="114" spans="1:34">
      <c r="A114" s="45" t="s">
        <v>35</v>
      </c>
      <c r="B114" s="45" t="s">
        <v>360</v>
      </c>
      <c r="C114" s="45">
        <v>89612</v>
      </c>
      <c r="D114" s="45" t="s">
        <v>361</v>
      </c>
      <c r="E114" s="45">
        <v>79941</v>
      </c>
      <c r="F114" s="45" t="s">
        <v>124</v>
      </c>
      <c r="G114" s="45" t="s">
        <v>125</v>
      </c>
      <c r="H114" s="45" t="s">
        <v>40</v>
      </c>
      <c r="I114" s="45" t="s">
        <v>84</v>
      </c>
      <c r="J114" s="45" t="s">
        <v>117</v>
      </c>
      <c r="K114" s="45" t="s">
        <v>118</v>
      </c>
      <c r="L114" s="45" t="s">
        <v>108</v>
      </c>
      <c r="M114" s="45" t="s">
        <v>97</v>
      </c>
      <c r="N114" s="45"/>
      <c r="O114" s="45"/>
      <c r="P114" s="45" t="s">
        <v>43</v>
      </c>
      <c r="Q114" s="45" t="s">
        <v>338</v>
      </c>
      <c r="R114" s="45" t="s">
        <v>100</v>
      </c>
      <c r="S114" s="45" t="s">
        <v>103</v>
      </c>
      <c r="T114" s="45"/>
      <c r="U114" s="45"/>
      <c r="V114" s="45"/>
      <c r="W114" s="45" t="s">
        <v>120</v>
      </c>
      <c r="X114" s="60">
        <v>45894.404166666667</v>
      </c>
      <c r="Y114" s="45" t="s">
        <v>186</v>
      </c>
      <c r="Z114" s="45"/>
      <c r="AA114" s="45"/>
      <c r="AB114" t="str">
        <f>IF(LEFT(Jira__32[[#This Row],[Resumen]],3)="POS","POS",IF(LEFT(Jira__32[[#This Row],[Resumen]],3)="BOT","BOT",""))</f>
        <v>BOT</v>
      </c>
      <c r="AC114" s="10" t="s">
        <v>220</v>
      </c>
      <c r="AE114" s="24" t="str" cm="1">
        <f t="array" ref="AE114">_xlfn.IFS(OR(COUNTIF(P114:V114,Versiones!$G$9)&gt;0, COUNTIF(P114:V114,Versiones!$H$8)&gt;0), "Sprint 21",OR(COUNTIF(P114:V114,Versiones!$G$8)&gt;0, COUNTIF(P114:V114,Versiones!$H$8)&gt;0, COUNTIF(P114:V114,Versiones!$I$8)&gt;0), "Sprint 20",OR(COUNTIF(P114:V114,Versiones!$G$7)&gt;0, COUNTIF(P114:V114,Versiones!$H$7)&gt;0, COUNTIF(P114:V114,Versiones!$I$7)&gt;0), "Sprint 19",OR(COUNTIF(P114:V114,Versiones!$G$6)&gt;0, COUNTIF(P114:V114,Versiones!$H$6)&gt;0, COUNTIF(P114:V114,Versiones!$I$6)&gt;0), "Sprint 18",OR(COUNTIF(P114:V114,Versiones!$G$4)&gt;0, COUNTIF(P114:V114,Versiones!$H$4)&gt;0, COUNTIF(P114:V114,Versiones!$G$5)&gt;0, COUNTIF(P114:V114,Versiones!$H$5)&gt;0), "Sprint 17",OR(COUNTIF(P114:V114,Versiones!$G$2)&gt;0, COUNTIF(P114:V114,Versiones!$H$2)&gt;0, COUNTIF(P114:V114,Versiones!$G$3)&gt;0, COUNTIF(P114:V114,Versiones!$H$3)&gt;0), "Sprint 16", OR(COUNTIF(P114:V114,Versiones!$G$2)&gt;0, COUNTIF(P114:V114,Versiones!$H$2)&gt;0, COUNTIF(P114:V114,Versiones!$G$3)&gt;0, COUNTIF(P114:V114,Versiones!$H$3)&gt;0), "Sprint 16",TRUE, "")</f>
        <v>Sprint 17</v>
      </c>
      <c r="AF114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v0.8</v>
      </c>
      <c r="AG114" t="str" cm="1">
        <f t="array" ref="AG11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20</v>
      </c>
      <c r="AH114" s="24" t="str" cm="1">
        <f t="array" ref="AH114">_xlfn.IFS(COUNTIF(P114:V114, Versiones!$A$13)&gt;0, "Funcional", COUNTIF(P114:V114, Versiones!$A$14)&gt;0, "Configuración", COUNTIF(P114:V114, Versiones!$A$15)&gt;0, "Look&amp;Feel", COUNTIF(P114:V114, Versiones!$A$16)&gt;0, "Integración", COUNTIF(P114:V114, Versiones!$A$17)&gt;0, "Contenido/Datos", COUNTIF(P114:V114, Versiones!$A$18)&gt;0, "Eventos_Cosmos", COUNTIF(P114:V114, Versiones!$A$19)&gt;0, "Eventos_iOT", COUNTIF(P114:V114, Versiones!$A$20)&gt;0, "Eventos_Fabric", TRUE, "No encontrado")</f>
        <v>Funcional</v>
      </c>
    </row>
    <row r="115" spans="1:34">
      <c r="A115" s="45" t="s">
        <v>35</v>
      </c>
      <c r="B115" s="45" t="s">
        <v>362</v>
      </c>
      <c r="C115" s="45">
        <v>89392</v>
      </c>
      <c r="D115" s="45" t="s">
        <v>363</v>
      </c>
      <c r="E115" s="45">
        <v>79941</v>
      </c>
      <c r="F115" s="45" t="s">
        <v>124</v>
      </c>
      <c r="G115" s="45" t="s">
        <v>125</v>
      </c>
      <c r="H115" s="45" t="s">
        <v>54</v>
      </c>
      <c r="I115" s="45" t="s">
        <v>84</v>
      </c>
      <c r="J115" s="45" t="s">
        <v>117</v>
      </c>
      <c r="K115" s="45" t="s">
        <v>118</v>
      </c>
      <c r="L115" s="45" t="s">
        <v>97</v>
      </c>
      <c r="M115" s="45"/>
      <c r="N115" s="45"/>
      <c r="O115" s="45"/>
      <c r="P115" s="45" t="s">
        <v>55</v>
      </c>
      <c r="Q115" s="45" t="s">
        <v>359</v>
      </c>
      <c r="R115" s="45" t="s">
        <v>101</v>
      </c>
      <c r="S115" s="45" t="s">
        <v>103</v>
      </c>
      <c r="T115" s="45"/>
      <c r="U115" s="45"/>
      <c r="V115" s="45"/>
      <c r="W115" s="45" t="s">
        <v>45</v>
      </c>
      <c r="X115" s="60">
        <v>45891.636805555558</v>
      </c>
      <c r="Y115" s="45" t="s">
        <v>121</v>
      </c>
      <c r="Z115" s="45"/>
      <c r="AA115" s="45"/>
      <c r="AB115" t="str">
        <f>IF(LEFT(Jira__32[[#This Row],[Resumen]],3)="POS","POS",IF(LEFT(Jira__32[[#This Row],[Resumen]],3)="BOT","BOT",""))</f>
        <v>POS</v>
      </c>
      <c r="AC115" s="10" t="s">
        <v>59</v>
      </c>
      <c r="AE115" s="24" t="str" cm="1">
        <f t="array" ref="AE115">_xlfn.IFS(OR(COUNTIF(P115:V115,Versiones!$G$9)&gt;0, COUNTIF(P115:V115,Versiones!$H$8)&gt;0), "Sprint 21",OR(COUNTIF(P115:V115,Versiones!$G$8)&gt;0, COUNTIF(P115:V115,Versiones!$H$8)&gt;0, COUNTIF(P115:V115,Versiones!$I$8)&gt;0), "Sprint 20",OR(COUNTIF(P115:V115,Versiones!$G$7)&gt;0, COUNTIF(P115:V115,Versiones!$H$7)&gt;0, COUNTIF(P115:V115,Versiones!$I$7)&gt;0), "Sprint 19",OR(COUNTIF(P115:V115,Versiones!$G$6)&gt;0, COUNTIF(P115:V115,Versiones!$H$6)&gt;0, COUNTIF(P115:V115,Versiones!$I$6)&gt;0), "Sprint 18",OR(COUNTIF(P115:V115,Versiones!$G$4)&gt;0, COUNTIF(P115:V115,Versiones!$H$4)&gt;0, COUNTIF(P115:V115,Versiones!$G$5)&gt;0, COUNTIF(P115:V115,Versiones!$H$5)&gt;0), "Sprint 17",OR(COUNTIF(P115:V115,Versiones!$G$2)&gt;0, COUNTIF(P115:V115,Versiones!$H$2)&gt;0, COUNTIF(P115:V115,Versiones!$G$3)&gt;0, COUNTIF(P115:V115,Versiones!$H$3)&gt;0), "Sprint 16", OR(COUNTIF(P115:V115,Versiones!$G$2)&gt;0, COUNTIF(P115:V115,Versiones!$H$2)&gt;0, COUNTIF(P115:V115,Versiones!$G$3)&gt;0, COUNTIF(P115:V115,Versiones!$H$3)&gt;0), "Sprint 16",TRUE, "")</f>
        <v>Sprint 17</v>
      </c>
      <c r="AF115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15" t="str" cm="1">
        <f t="array" ref="AG11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15" s="24" t="str" cm="1">
        <f t="array" ref="AH115">_xlfn.IFS(COUNTIF(P115:V115, Versiones!$A$13)&gt;0, "Funcional", COUNTIF(P115:V115, Versiones!$A$14)&gt;0, "Configuración", COUNTIF(P115:V115, Versiones!$A$15)&gt;0, "Look&amp;Feel", COUNTIF(P115:V115, Versiones!$A$16)&gt;0, "Integración", COUNTIF(P115:V115, Versiones!$A$17)&gt;0, "Contenido/Datos", COUNTIF(P115:V115, Versiones!$A$18)&gt;0, "Eventos_Cosmos", COUNTIF(P115:V115, Versiones!$A$19)&gt;0, "Eventos_iOT", COUNTIF(P115:V115, Versiones!$A$20)&gt;0, "Eventos_Fabric", TRUE, "No encontrado")</f>
        <v>Look&amp;Feel</v>
      </c>
    </row>
    <row r="116" spans="1:34">
      <c r="A116" s="45" t="s">
        <v>35</v>
      </c>
      <c r="B116" s="45" t="s">
        <v>364</v>
      </c>
      <c r="C116" s="45">
        <v>89363</v>
      </c>
      <c r="D116" s="45" t="s">
        <v>365</v>
      </c>
      <c r="E116" s="45">
        <v>79941</v>
      </c>
      <c r="F116" s="45" t="s">
        <v>124</v>
      </c>
      <c r="G116" s="45" t="s">
        <v>125</v>
      </c>
      <c r="H116" s="45" t="s">
        <v>54</v>
      </c>
      <c r="I116" s="45" t="s">
        <v>84</v>
      </c>
      <c r="J116" s="45" t="s">
        <v>117</v>
      </c>
      <c r="K116" s="45" t="s">
        <v>118</v>
      </c>
      <c r="L116" s="45" t="s">
        <v>97</v>
      </c>
      <c r="M116" s="45"/>
      <c r="N116" s="45"/>
      <c r="O116" s="45"/>
      <c r="P116" s="45" t="s">
        <v>55</v>
      </c>
      <c r="Q116" s="45" t="s">
        <v>119</v>
      </c>
      <c r="R116" s="45" t="s">
        <v>359</v>
      </c>
      <c r="S116" s="45" t="s">
        <v>101</v>
      </c>
      <c r="T116" s="45" t="s">
        <v>103</v>
      </c>
      <c r="U116" s="45"/>
      <c r="V116" s="45"/>
      <c r="W116" s="45" t="s">
        <v>45</v>
      </c>
      <c r="X116" s="60">
        <v>45891.556944444441</v>
      </c>
      <c r="Y116" s="45" t="s">
        <v>121</v>
      </c>
      <c r="Z116" s="45" t="s">
        <v>109</v>
      </c>
      <c r="AA116" s="45"/>
      <c r="AB116" t="str">
        <f>IF(LEFT(Jira__32[[#This Row],[Resumen]],3)="POS","POS",IF(LEFT(Jira__32[[#This Row],[Resumen]],3)="BOT","BOT",""))</f>
        <v>POS</v>
      </c>
      <c r="AC116" s="13" t="s">
        <v>150</v>
      </c>
      <c r="AE116" s="24" t="str" cm="1">
        <f t="array" ref="AE116">_xlfn.IFS(OR(COUNTIF(P116:V116,Versiones!$G$9)&gt;0, COUNTIF(P116:V116,Versiones!$H$8)&gt;0), "Sprint 21",OR(COUNTIF(P116:V116,Versiones!$G$8)&gt;0, COUNTIF(P116:V116,Versiones!$H$8)&gt;0, COUNTIF(P116:V116,Versiones!$I$8)&gt;0), "Sprint 20",OR(COUNTIF(P116:V116,Versiones!$G$7)&gt;0, COUNTIF(P116:V116,Versiones!$H$7)&gt;0, COUNTIF(P116:V116,Versiones!$I$7)&gt;0), "Sprint 19",OR(COUNTIF(P116:V116,Versiones!$G$6)&gt;0, COUNTIF(P116:V116,Versiones!$H$6)&gt;0, COUNTIF(P116:V116,Versiones!$I$6)&gt;0), "Sprint 18",OR(COUNTIF(P116:V116,Versiones!$G$4)&gt;0, COUNTIF(P116:V116,Versiones!$H$4)&gt;0, COUNTIF(P116:V116,Versiones!$G$5)&gt;0, COUNTIF(P116:V116,Versiones!$H$5)&gt;0), "Sprint 17",OR(COUNTIF(P116:V116,Versiones!$G$2)&gt;0, COUNTIF(P116:V116,Versiones!$H$2)&gt;0, COUNTIF(P116:V116,Versiones!$G$3)&gt;0, COUNTIF(P116:V116,Versiones!$H$3)&gt;0), "Sprint 16", OR(COUNTIF(P116:V116,Versiones!$G$2)&gt;0, COUNTIF(P116:V116,Versiones!$H$2)&gt;0, COUNTIF(P116:V116,Versiones!$G$3)&gt;0, COUNTIF(P116:V116,Versiones!$H$3)&gt;0), "Sprint 16",TRUE, "")</f>
        <v>Sprint 17</v>
      </c>
      <c r="AF116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v0.7</v>
      </c>
      <c r="AG116" t="str" cm="1">
        <f t="array" ref="AG11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19</v>
      </c>
      <c r="AH116" s="24" t="str" cm="1">
        <f t="array" ref="AH116">_xlfn.IFS(COUNTIF(P116:V116, Versiones!$A$13)&gt;0, "Funcional", COUNTIF(P116:V116, Versiones!$A$14)&gt;0, "Configuración", COUNTIF(P116:V116, Versiones!$A$15)&gt;0, "Look&amp;Feel", COUNTIF(P116:V116, Versiones!$A$16)&gt;0, "Integración", COUNTIF(P116:V116, Versiones!$A$17)&gt;0, "Contenido/Datos", COUNTIF(P116:V116, Versiones!$A$18)&gt;0, "Eventos_Cosmos", COUNTIF(P116:V116, Versiones!$A$19)&gt;0, "Eventos_iOT", COUNTIF(P116:V116, Versiones!$A$20)&gt;0, "Eventos_Fabric", TRUE, "No encontrado")</f>
        <v>Look&amp;Feel</v>
      </c>
    </row>
    <row r="117" spans="1:34">
      <c r="A117" s="45" t="s">
        <v>35</v>
      </c>
      <c r="B117" s="45" t="s">
        <v>366</v>
      </c>
      <c r="C117" s="45">
        <v>89203</v>
      </c>
      <c r="D117" s="45" t="s">
        <v>367</v>
      </c>
      <c r="E117" s="45">
        <v>87100</v>
      </c>
      <c r="F117" s="45" t="s">
        <v>38</v>
      </c>
      <c r="G117" s="45" t="s">
        <v>39</v>
      </c>
      <c r="H117" s="45" t="s">
        <v>40</v>
      </c>
      <c r="I117" s="45" t="s">
        <v>84</v>
      </c>
      <c r="J117" s="45" t="s">
        <v>117</v>
      </c>
      <c r="K117" s="45" t="s">
        <v>118</v>
      </c>
      <c r="L117" s="45" t="s">
        <v>108</v>
      </c>
      <c r="M117" s="45" t="s">
        <v>97</v>
      </c>
      <c r="N117" s="45"/>
      <c r="O117" s="45"/>
      <c r="P117" s="45" t="s">
        <v>43</v>
      </c>
      <c r="Q117" s="45" t="s">
        <v>119</v>
      </c>
      <c r="R117" s="45" t="s">
        <v>368</v>
      </c>
      <c r="S117" s="45" t="s">
        <v>100</v>
      </c>
      <c r="T117" s="45" t="s">
        <v>103</v>
      </c>
      <c r="U117" s="45"/>
      <c r="V117" s="45"/>
      <c r="W117" s="45" t="s">
        <v>65</v>
      </c>
      <c r="X117" s="60">
        <v>45890.71597222222</v>
      </c>
      <c r="Y117" s="45" t="s">
        <v>109</v>
      </c>
      <c r="Z117" s="45" t="s">
        <v>186</v>
      </c>
      <c r="AA117" s="45"/>
      <c r="AB117" t="str">
        <f>IF(LEFT(Jira__32[[#This Row],[Resumen]],3)="POS","POS",IF(LEFT(Jira__32[[#This Row],[Resumen]],3)="BOT","BOT",""))</f>
        <v>BOT</v>
      </c>
      <c r="AC117" s="10" t="s">
        <v>59</v>
      </c>
      <c r="AE117" s="24" t="str" cm="1">
        <f t="array" ref="AE117">_xlfn.IFS(OR(COUNTIF(P117:V117,Versiones!$G$9)&gt;0, COUNTIF(P117:V117,Versiones!$H$8)&gt;0), "Sprint 21",OR(COUNTIF(P117:V117,Versiones!$G$8)&gt;0, COUNTIF(P117:V117,Versiones!$H$8)&gt;0, COUNTIF(P117:V117,Versiones!$I$8)&gt;0), "Sprint 20",OR(COUNTIF(P117:V117,Versiones!$G$7)&gt;0, COUNTIF(P117:V117,Versiones!$H$7)&gt;0, COUNTIF(P117:V117,Versiones!$I$7)&gt;0), "Sprint 19",OR(COUNTIF(P117:V117,Versiones!$G$6)&gt;0, COUNTIF(P117:V117,Versiones!$H$6)&gt;0, COUNTIF(P117:V117,Versiones!$I$6)&gt;0), "Sprint 18",OR(COUNTIF(P117:V117,Versiones!$G$4)&gt;0, COUNTIF(P117:V117,Versiones!$H$4)&gt;0, COUNTIF(P117:V117,Versiones!$G$5)&gt;0, COUNTIF(P117:V117,Versiones!$H$5)&gt;0), "Sprint 17",OR(COUNTIF(P117:V117,Versiones!$G$2)&gt;0, COUNTIF(P117:V117,Versiones!$H$2)&gt;0, COUNTIF(P117:V117,Versiones!$G$3)&gt;0, COUNTIF(P117:V117,Versiones!$H$3)&gt;0), "Sprint 16", OR(COUNTIF(P117:V117,Versiones!$G$2)&gt;0, COUNTIF(P117:V117,Versiones!$H$2)&gt;0, COUNTIF(P117:V117,Versiones!$G$3)&gt;0, COUNTIF(P117:V117,Versiones!$H$3)&gt;0), "Sprint 16",TRUE, "")</f>
        <v>Sprint 17</v>
      </c>
      <c r="AF117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v0.8</v>
      </c>
      <c r="AG117" t="str" cm="1">
        <f t="array" ref="AG11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20</v>
      </c>
      <c r="AH117" s="24" t="str" cm="1">
        <f t="array" ref="AH117">_xlfn.IFS(COUNTIF(P117:V117, Versiones!$A$13)&gt;0, "Funcional", COUNTIF(P117:V117, Versiones!$A$14)&gt;0, "Configuración", COUNTIF(P117:V117, Versiones!$A$15)&gt;0, "Look&amp;Feel", COUNTIF(P117:V117, Versiones!$A$16)&gt;0, "Integración", COUNTIF(P117:V117, Versiones!$A$17)&gt;0, "Contenido/Datos", COUNTIF(P117:V117, Versiones!$A$18)&gt;0, "Eventos_Cosmos", COUNTIF(P117:V117, Versiones!$A$19)&gt;0, "Eventos_iOT", COUNTIF(P117:V117, Versiones!$A$20)&gt;0, "Eventos_Fabric", TRUE, "No encontrado")</f>
        <v>Funcional</v>
      </c>
    </row>
    <row r="118" spans="1:34">
      <c r="A118" s="45" t="s">
        <v>35</v>
      </c>
      <c r="B118" s="45" t="s">
        <v>369</v>
      </c>
      <c r="C118" s="45">
        <v>89184</v>
      </c>
      <c r="D118" s="45" t="s">
        <v>370</v>
      </c>
      <c r="E118" s="45">
        <v>79941</v>
      </c>
      <c r="F118" s="45" t="s">
        <v>124</v>
      </c>
      <c r="G118" s="45" t="s">
        <v>125</v>
      </c>
      <c r="H118" s="45" t="s">
        <v>54</v>
      </c>
      <c r="I118" s="45" t="s">
        <v>80</v>
      </c>
      <c r="J118" s="45" t="s">
        <v>117</v>
      </c>
      <c r="K118" s="45" t="s">
        <v>118</v>
      </c>
      <c r="L118" s="45" t="s">
        <v>108</v>
      </c>
      <c r="M118" s="45" t="s">
        <v>200</v>
      </c>
      <c r="N118" s="45" t="s">
        <v>42</v>
      </c>
      <c r="O118" s="45"/>
      <c r="P118" s="45" t="s">
        <v>43</v>
      </c>
      <c r="Q118" s="45" t="s">
        <v>368</v>
      </c>
      <c r="R118" s="45"/>
      <c r="S118" s="45"/>
      <c r="T118" s="45"/>
      <c r="U118" s="45"/>
      <c r="V118" s="45"/>
      <c r="W118" s="45" t="s">
        <v>65</v>
      </c>
      <c r="X118" s="60">
        <v>45890.659722222219</v>
      </c>
      <c r="Y118" s="45" t="s">
        <v>121</v>
      </c>
      <c r="Z118" s="45"/>
      <c r="AA118" s="45"/>
      <c r="AB118" t="str">
        <f>IF(LEFT(Jira__32[[#This Row],[Resumen]],3)="POS","POS",IF(LEFT(Jira__32[[#This Row],[Resumen]],3)="BOT","BOT",""))</f>
        <v>POS</v>
      </c>
      <c r="AC118" s="13" t="s">
        <v>150</v>
      </c>
      <c r="AE118" s="24" t="str" cm="1">
        <f t="array" ref="AE118">_xlfn.IFS(OR(COUNTIF(P118:V118,Versiones!$G$9)&gt;0, COUNTIF(P118:V118,Versiones!$H$8)&gt;0), "Sprint 21",OR(COUNTIF(P118:V118,Versiones!$G$8)&gt;0, COUNTIF(P118:V118,Versiones!$H$8)&gt;0, COUNTIF(P118:V118,Versiones!$I$8)&gt;0), "Sprint 20",OR(COUNTIF(P118:V118,Versiones!$G$7)&gt;0, COUNTIF(P118:V118,Versiones!$H$7)&gt;0, COUNTIF(P118:V118,Versiones!$I$7)&gt;0), "Sprint 19",OR(COUNTIF(P118:V118,Versiones!$G$6)&gt;0, COUNTIF(P118:V118,Versiones!$H$6)&gt;0, COUNTIF(P118:V118,Versiones!$I$6)&gt;0), "Sprint 18",OR(COUNTIF(P118:V118,Versiones!$G$4)&gt;0, COUNTIF(P118:V118,Versiones!$H$4)&gt;0, COUNTIF(P118:V118,Versiones!$G$5)&gt;0, COUNTIF(P118:V118,Versiones!$H$5)&gt;0), "Sprint 17",OR(COUNTIF(P118:V118,Versiones!$G$2)&gt;0, COUNTIF(P118:V118,Versiones!$H$2)&gt;0, COUNTIF(P118:V118,Versiones!$G$3)&gt;0, COUNTIF(P118:V118,Versiones!$H$3)&gt;0), "Sprint 16", OR(COUNTIF(P118:V118,Versiones!$G$2)&gt;0, COUNTIF(P118:V118,Versiones!$H$2)&gt;0, COUNTIF(P118:V118,Versiones!$G$3)&gt;0, COUNTIF(P118:V118,Versiones!$H$3)&gt;0), "Sprint 16",TRUE, "")</f>
        <v>Sprint 17</v>
      </c>
      <c r="AF118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18" t="str" cm="1">
        <f t="array" ref="AG11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18" s="24" t="str" cm="1">
        <f t="array" ref="AH118">_xlfn.IFS(COUNTIF(P118:V118, Versiones!$A$13)&gt;0, "Funcional", COUNTIF(P118:V118, Versiones!$A$14)&gt;0, "Configuración", COUNTIF(P118:V118, Versiones!$A$15)&gt;0, "Look&amp;Feel", COUNTIF(P118:V118, Versiones!$A$16)&gt;0, "Integración", COUNTIF(P118:V118, Versiones!$A$17)&gt;0, "Contenido/Datos", COUNTIF(P118:V118, Versiones!$A$18)&gt;0, "Eventos_Cosmos", COUNTIF(P118:V118, Versiones!$A$19)&gt;0, "Eventos_iOT", COUNTIF(P118:V118, Versiones!$A$20)&gt;0, "Eventos_Fabric", TRUE, "No encontrado")</f>
        <v>Funcional</v>
      </c>
    </row>
    <row r="119" spans="1:34">
      <c r="A119" s="45" t="s">
        <v>35</v>
      </c>
      <c r="B119" s="45" t="s">
        <v>371</v>
      </c>
      <c r="C119" s="45">
        <v>89157</v>
      </c>
      <c r="D119" s="45" t="s">
        <v>372</v>
      </c>
      <c r="E119" s="45">
        <v>87100</v>
      </c>
      <c r="F119" s="45" t="s">
        <v>38</v>
      </c>
      <c r="G119" s="45" t="s">
        <v>39</v>
      </c>
      <c r="H119" s="45" t="s">
        <v>54</v>
      </c>
      <c r="I119" s="45" t="s">
        <v>41</v>
      </c>
      <c r="J119" s="45" t="s">
        <v>117</v>
      </c>
      <c r="K119" s="45" t="s">
        <v>118</v>
      </c>
      <c r="L119" s="45" t="s">
        <v>97</v>
      </c>
      <c r="M119" s="45"/>
      <c r="N119" s="45"/>
      <c r="O119" s="45"/>
      <c r="P119" s="45" t="s">
        <v>43</v>
      </c>
      <c r="Q119" s="45" t="s">
        <v>359</v>
      </c>
      <c r="R119" s="45" t="s">
        <v>101</v>
      </c>
      <c r="S119" s="45" t="s">
        <v>103</v>
      </c>
      <c r="T119" s="45"/>
      <c r="U119" s="45"/>
      <c r="V119" s="45"/>
      <c r="W119" s="45" t="s">
        <v>45</v>
      </c>
      <c r="X119" s="60">
        <v>45890.584027777775</v>
      </c>
      <c r="Y119" s="45" t="s">
        <v>121</v>
      </c>
      <c r="Z119" s="45"/>
      <c r="AA119" s="45"/>
      <c r="AB119" t="str">
        <f>IF(LEFT(Jira__32[[#This Row],[Resumen]],3)="POS","POS",IF(LEFT(Jira__32[[#This Row],[Resumen]],3)="BOT","BOT",""))</f>
        <v>POS</v>
      </c>
      <c r="AC119" s="10" t="s">
        <v>47</v>
      </c>
      <c r="AE119" s="24" t="str" cm="1">
        <f t="array" ref="AE119">_xlfn.IFS(OR(COUNTIF(P119:V119,Versiones!$G$9)&gt;0, COUNTIF(P119:V119,Versiones!$H$8)&gt;0), "Sprint 21",OR(COUNTIF(P119:V119,Versiones!$G$8)&gt;0, COUNTIF(P119:V119,Versiones!$H$8)&gt;0, COUNTIF(P119:V119,Versiones!$I$8)&gt;0), "Sprint 20",OR(COUNTIF(P119:V119,Versiones!$G$7)&gt;0, COUNTIF(P119:V119,Versiones!$H$7)&gt;0, COUNTIF(P119:V119,Versiones!$I$7)&gt;0), "Sprint 19",OR(COUNTIF(P119:V119,Versiones!$G$6)&gt;0, COUNTIF(P119:V119,Versiones!$H$6)&gt;0, COUNTIF(P119:V119,Versiones!$I$6)&gt;0), "Sprint 18",OR(COUNTIF(P119:V119,Versiones!$G$4)&gt;0, COUNTIF(P119:V119,Versiones!$H$4)&gt;0, COUNTIF(P119:V119,Versiones!$G$5)&gt;0, COUNTIF(P119:V119,Versiones!$H$5)&gt;0), "Sprint 17",OR(COUNTIF(P119:V119,Versiones!$G$2)&gt;0, COUNTIF(P119:V119,Versiones!$H$2)&gt;0, COUNTIF(P119:V119,Versiones!$G$3)&gt;0, COUNTIF(P119:V119,Versiones!$H$3)&gt;0), "Sprint 16", OR(COUNTIF(P119:V119,Versiones!$G$2)&gt;0, COUNTIF(P119:V119,Versiones!$H$2)&gt;0, COUNTIF(P119:V119,Versiones!$G$3)&gt;0, COUNTIF(P119:V119,Versiones!$H$3)&gt;0), "Sprint 16",TRUE, "")</f>
        <v>Sprint 17</v>
      </c>
      <c r="AF119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19" t="str" cm="1">
        <f t="array" ref="AG119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19" s="24" t="str" cm="1">
        <f t="array" ref="AH119">_xlfn.IFS(COUNTIF(P119:V119, Versiones!$A$13)&gt;0, "Funcional", COUNTIF(P119:V119, Versiones!$A$14)&gt;0, "Configuración", COUNTIF(P119:V119, Versiones!$A$15)&gt;0, "Look&amp;Feel", COUNTIF(P119:V119, Versiones!$A$16)&gt;0, "Integración", COUNTIF(P119:V119, Versiones!$A$17)&gt;0, "Contenido/Datos", COUNTIF(P119:V119, Versiones!$A$18)&gt;0, "Eventos_Cosmos", COUNTIF(P119:V119, Versiones!$A$19)&gt;0, "Eventos_iOT", COUNTIF(P119:V119, Versiones!$A$20)&gt;0, "Eventos_Fabric", TRUE, "No encontrado")</f>
        <v>Funcional</v>
      </c>
    </row>
    <row r="120" spans="1:34">
      <c r="A120" s="45" t="s">
        <v>35</v>
      </c>
      <c r="B120" s="45" t="s">
        <v>373</v>
      </c>
      <c r="C120" s="45">
        <v>88654</v>
      </c>
      <c r="D120" s="45" t="s">
        <v>374</v>
      </c>
      <c r="E120" s="45">
        <v>79941</v>
      </c>
      <c r="F120" s="45" t="s">
        <v>124</v>
      </c>
      <c r="G120" s="45" t="s">
        <v>125</v>
      </c>
      <c r="H120" s="45" t="s">
        <v>54</v>
      </c>
      <c r="I120" s="45" t="s">
        <v>41</v>
      </c>
      <c r="J120" s="45" t="s">
        <v>117</v>
      </c>
      <c r="K120" s="45" t="s">
        <v>118</v>
      </c>
      <c r="L120" s="45" t="s">
        <v>97</v>
      </c>
      <c r="M120" s="45"/>
      <c r="N120" s="45"/>
      <c r="O120" s="45"/>
      <c r="P120" s="45" t="s">
        <v>43</v>
      </c>
      <c r="Q120" s="45" t="s">
        <v>119</v>
      </c>
      <c r="R120" s="45" t="s">
        <v>368</v>
      </c>
      <c r="S120" s="45" t="s">
        <v>100</v>
      </c>
      <c r="T120" s="45" t="s">
        <v>339</v>
      </c>
      <c r="U120" s="45" t="s">
        <v>101</v>
      </c>
      <c r="V120" s="45" t="s">
        <v>103</v>
      </c>
      <c r="W120" s="45" t="s">
        <v>65</v>
      </c>
      <c r="X120" s="60">
        <v>45889.6875</v>
      </c>
      <c r="Y120" s="45" t="s">
        <v>121</v>
      </c>
      <c r="Z120" s="45"/>
      <c r="AA120" s="45"/>
      <c r="AB120" t="str">
        <f>IF(LEFT(Jira__32[[#This Row],[Resumen]],3)="POS","POS",IF(LEFT(Jira__32[[#This Row],[Resumen]],3)="BOT","BOT",""))</f>
        <v>BOT</v>
      </c>
      <c r="AC120" s="13" t="s">
        <v>150</v>
      </c>
      <c r="AE120" s="24" t="str" cm="1">
        <f t="array" ref="AE120">_xlfn.IFS(OR(COUNTIF(P120:V120,Versiones!$G$9)&gt;0, COUNTIF(P120:V120,Versiones!$H$8)&gt;0), "Sprint 21",OR(COUNTIF(P120:V120,Versiones!$G$8)&gt;0, COUNTIF(P120:V120,Versiones!$H$8)&gt;0, COUNTIF(P120:V120,Versiones!$I$8)&gt;0), "Sprint 20",OR(COUNTIF(P120:V120,Versiones!$G$7)&gt;0, COUNTIF(P120:V120,Versiones!$H$7)&gt;0, COUNTIF(P120:V120,Versiones!$I$7)&gt;0), "Sprint 19",OR(COUNTIF(P120:V120,Versiones!$G$6)&gt;0, COUNTIF(P120:V120,Versiones!$H$6)&gt;0, COUNTIF(P120:V120,Versiones!$I$6)&gt;0), "Sprint 18",OR(COUNTIF(P120:V120,Versiones!$G$4)&gt;0, COUNTIF(P120:V120,Versiones!$H$4)&gt;0, COUNTIF(P120:V120,Versiones!$G$5)&gt;0, COUNTIF(P120:V120,Versiones!$H$5)&gt;0), "Sprint 17",OR(COUNTIF(P120:V120,Versiones!$G$2)&gt;0, COUNTIF(P120:V120,Versiones!$H$2)&gt;0, COUNTIF(P120:V120,Versiones!$G$3)&gt;0, COUNTIF(P120:V120,Versiones!$H$3)&gt;0), "Sprint 16", OR(COUNTIF(P120:V120,Versiones!$G$2)&gt;0, COUNTIF(P120:V120,Versiones!$H$2)&gt;0, COUNTIF(P120:V120,Versiones!$G$3)&gt;0, COUNTIF(P120:V120,Versiones!$H$3)&gt;0), "Sprint 16",TRUE, "")</f>
        <v>Sprint 17</v>
      </c>
      <c r="AF120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20" t="str" cm="1">
        <f t="array" ref="AG120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20" s="24" t="str" cm="1">
        <f t="array" ref="AH120">_xlfn.IFS(COUNTIF(P120:V120, Versiones!$A$13)&gt;0, "Funcional", COUNTIF(P120:V120, Versiones!$A$14)&gt;0, "Configuración", COUNTIF(P120:V120, Versiones!$A$15)&gt;0, "Look&amp;Feel", COUNTIF(P120:V120, Versiones!$A$16)&gt;0, "Integración", COUNTIF(P120:V120, Versiones!$A$17)&gt;0, "Contenido/Datos", COUNTIF(P120:V120, Versiones!$A$18)&gt;0, "Eventos_Cosmos", COUNTIF(P120:V120, Versiones!$A$19)&gt;0, "Eventos_iOT", COUNTIF(P120:V120, Versiones!$A$20)&gt;0, "Eventos_Fabric", TRUE, "No encontrado")</f>
        <v>Funcional</v>
      </c>
    </row>
    <row r="121" spans="1:34">
      <c r="A121" s="45" t="s">
        <v>35</v>
      </c>
      <c r="B121" s="45" t="s">
        <v>375</v>
      </c>
      <c r="C121" s="45">
        <v>88521</v>
      </c>
      <c r="D121" s="45" t="s">
        <v>376</v>
      </c>
      <c r="E121" s="45">
        <v>87100</v>
      </c>
      <c r="F121" s="45" t="s">
        <v>38</v>
      </c>
      <c r="G121" s="45" t="s">
        <v>39</v>
      </c>
      <c r="H121" s="45" t="s">
        <v>54</v>
      </c>
      <c r="I121" s="45" t="s">
        <v>84</v>
      </c>
      <c r="J121" s="45" t="s">
        <v>117</v>
      </c>
      <c r="K121" s="45" t="s">
        <v>118</v>
      </c>
      <c r="L121" s="45" t="s">
        <v>97</v>
      </c>
      <c r="M121" s="45"/>
      <c r="N121" s="45"/>
      <c r="O121" s="45"/>
      <c r="P121" s="45" t="s">
        <v>55</v>
      </c>
      <c r="Q121" s="45" t="s">
        <v>359</v>
      </c>
      <c r="R121" s="45"/>
      <c r="S121" s="45"/>
      <c r="T121" s="45"/>
      <c r="U121" s="45"/>
      <c r="V121" s="45"/>
      <c r="W121" s="45" t="s">
        <v>45</v>
      </c>
      <c r="X121" s="60">
        <v>45889.436805555553</v>
      </c>
      <c r="Y121" s="45" t="s">
        <v>121</v>
      </c>
      <c r="Z121" s="45"/>
      <c r="AA121" s="45"/>
      <c r="AB121" t="str">
        <f>IF(LEFT(Jira__32[[#This Row],[Resumen]],3)="POS","POS",IF(LEFT(Jira__32[[#This Row],[Resumen]],3)="BOT","BOT",""))</f>
        <v>POS</v>
      </c>
      <c r="AC121" s="13" t="s">
        <v>150</v>
      </c>
      <c r="AE121" s="24" t="str" cm="1">
        <f t="array" ref="AE121">_xlfn.IFS(OR(COUNTIF(P121:V121,Versiones!$G$9)&gt;0, COUNTIF(P121:V121,Versiones!$H$8)&gt;0), "Sprint 21",OR(COUNTIF(P121:V121,Versiones!$G$8)&gt;0, COUNTIF(P121:V121,Versiones!$H$8)&gt;0, COUNTIF(P121:V121,Versiones!$I$8)&gt;0), "Sprint 20",OR(COUNTIF(P121:V121,Versiones!$G$7)&gt;0, COUNTIF(P121:V121,Versiones!$H$7)&gt;0, COUNTIF(P121:V121,Versiones!$I$7)&gt;0), "Sprint 19",OR(COUNTIF(P121:V121,Versiones!$G$6)&gt;0, COUNTIF(P121:V121,Versiones!$H$6)&gt;0, COUNTIF(P121:V121,Versiones!$I$6)&gt;0), "Sprint 18",OR(COUNTIF(P121:V121,Versiones!$G$4)&gt;0, COUNTIF(P121:V121,Versiones!$H$4)&gt;0, COUNTIF(P121:V121,Versiones!$G$5)&gt;0, COUNTIF(P121:V121,Versiones!$H$5)&gt;0), "Sprint 17",OR(COUNTIF(P121:V121,Versiones!$G$2)&gt;0, COUNTIF(P121:V121,Versiones!$H$2)&gt;0, COUNTIF(P121:V121,Versiones!$G$3)&gt;0, COUNTIF(P121:V121,Versiones!$H$3)&gt;0), "Sprint 16", OR(COUNTIF(P121:V121,Versiones!$G$2)&gt;0, COUNTIF(P121:V121,Versiones!$H$2)&gt;0, COUNTIF(P121:V121,Versiones!$G$3)&gt;0, COUNTIF(P121:V121,Versiones!$H$3)&gt;0), "Sprint 16",TRUE, "")</f>
        <v>Sprint 17</v>
      </c>
      <c r="AF121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21" t="str" cm="1">
        <f t="array" ref="AG121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21" s="24" t="str" cm="1">
        <f t="array" ref="AH121">_xlfn.IFS(COUNTIF(P121:V121, Versiones!$A$13)&gt;0, "Funcional", COUNTIF(P121:V121, Versiones!$A$14)&gt;0, "Configuración", COUNTIF(P121:V121, Versiones!$A$15)&gt;0, "Look&amp;Feel", COUNTIF(P121:V121, Versiones!$A$16)&gt;0, "Integración", COUNTIF(P121:V121, Versiones!$A$17)&gt;0, "Contenido/Datos", COUNTIF(P121:V121, Versiones!$A$18)&gt;0, "Eventos_Cosmos", COUNTIF(P121:V121, Versiones!$A$19)&gt;0, "Eventos_iOT", COUNTIF(P121:V121, Versiones!$A$20)&gt;0, "Eventos_Fabric", TRUE, "No encontrado")</f>
        <v>Look&amp;Feel</v>
      </c>
    </row>
    <row r="122" spans="1:34">
      <c r="A122" s="45" t="s">
        <v>35</v>
      </c>
      <c r="B122" s="45" t="s">
        <v>377</v>
      </c>
      <c r="C122" s="45">
        <v>88313</v>
      </c>
      <c r="D122" s="45" t="s">
        <v>378</v>
      </c>
      <c r="E122" s="45">
        <v>79941</v>
      </c>
      <c r="F122" s="45" t="s">
        <v>124</v>
      </c>
      <c r="G122" s="45" t="s">
        <v>125</v>
      </c>
      <c r="H122" s="45" t="s">
        <v>54</v>
      </c>
      <c r="I122" s="45" t="s">
        <v>84</v>
      </c>
      <c r="J122" s="45" t="s">
        <v>117</v>
      </c>
      <c r="K122" s="45" t="s">
        <v>118</v>
      </c>
      <c r="L122" s="45" t="s">
        <v>97</v>
      </c>
      <c r="M122" s="45"/>
      <c r="N122" s="45"/>
      <c r="O122" s="45"/>
      <c r="P122" s="45" t="s">
        <v>55</v>
      </c>
      <c r="Q122" s="45" t="s">
        <v>359</v>
      </c>
      <c r="R122" s="45"/>
      <c r="S122" s="45"/>
      <c r="T122" s="45"/>
      <c r="U122" s="45"/>
      <c r="V122" s="45"/>
      <c r="W122" s="45" t="s">
        <v>45</v>
      </c>
      <c r="X122" s="60">
        <v>45888.539583333331</v>
      </c>
      <c r="Y122" s="45" t="s">
        <v>121</v>
      </c>
      <c r="Z122" s="45"/>
      <c r="AA122" s="45"/>
      <c r="AB122" t="str">
        <f>IF(LEFT(Jira__32[[#This Row],[Resumen]],3)="POS","POS",IF(LEFT(Jira__32[[#This Row],[Resumen]],3)="BOT","BOT",""))</f>
        <v>POS</v>
      </c>
      <c r="AC122" s="10" t="s">
        <v>133</v>
      </c>
      <c r="AE122" s="24" t="str" cm="1">
        <f t="array" ref="AE122">_xlfn.IFS(OR(COUNTIF(P122:V122,Versiones!$G$9)&gt;0, COUNTIF(P122:V122,Versiones!$H$8)&gt;0), "Sprint 21",OR(COUNTIF(P122:V122,Versiones!$G$8)&gt;0, COUNTIF(P122:V122,Versiones!$H$8)&gt;0, COUNTIF(P122:V122,Versiones!$I$8)&gt;0), "Sprint 20",OR(COUNTIF(P122:V122,Versiones!$G$7)&gt;0, COUNTIF(P122:V122,Versiones!$H$7)&gt;0, COUNTIF(P122:V122,Versiones!$I$7)&gt;0), "Sprint 19",OR(COUNTIF(P122:V122,Versiones!$G$6)&gt;0, COUNTIF(P122:V122,Versiones!$H$6)&gt;0, COUNTIF(P122:V122,Versiones!$I$6)&gt;0), "Sprint 18",OR(COUNTIF(P122:V122,Versiones!$G$4)&gt;0, COUNTIF(P122:V122,Versiones!$H$4)&gt;0, COUNTIF(P122:V122,Versiones!$G$5)&gt;0, COUNTIF(P122:V122,Versiones!$H$5)&gt;0), "Sprint 17",OR(COUNTIF(P122:V122,Versiones!$G$2)&gt;0, COUNTIF(P122:V122,Versiones!$H$2)&gt;0, COUNTIF(P122:V122,Versiones!$G$3)&gt;0, COUNTIF(P122:V122,Versiones!$H$3)&gt;0), "Sprint 16", OR(COUNTIF(P122:V122,Versiones!$G$2)&gt;0, COUNTIF(P122:V122,Versiones!$H$2)&gt;0, COUNTIF(P122:V122,Versiones!$G$3)&gt;0, COUNTIF(P122:V122,Versiones!$H$3)&gt;0), "Sprint 16",TRUE, "")</f>
        <v>Sprint 17</v>
      </c>
      <c r="AF122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22" t="str" cm="1">
        <f t="array" ref="AG122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22" s="24" t="str" cm="1">
        <f t="array" ref="AH122">_xlfn.IFS(COUNTIF(P122:V122, Versiones!$A$13)&gt;0, "Funcional", COUNTIF(P122:V122, Versiones!$A$14)&gt;0, "Configuración", COUNTIF(P122:V122, Versiones!$A$15)&gt;0, "Look&amp;Feel", COUNTIF(P122:V122, Versiones!$A$16)&gt;0, "Integración", COUNTIF(P122:V122, Versiones!$A$17)&gt;0, "Contenido/Datos", COUNTIF(P122:V122, Versiones!$A$18)&gt;0, "Eventos_Cosmos", COUNTIF(P122:V122, Versiones!$A$19)&gt;0, "Eventos_iOT", COUNTIF(P122:V122, Versiones!$A$20)&gt;0, "Eventos_Fabric", TRUE, "No encontrado")</f>
        <v>Look&amp;Feel</v>
      </c>
    </row>
    <row r="123" spans="1:34">
      <c r="A123" s="45" t="s">
        <v>35</v>
      </c>
      <c r="B123" s="45" t="s">
        <v>379</v>
      </c>
      <c r="C123" s="45">
        <v>86768</v>
      </c>
      <c r="D123" s="45" t="s">
        <v>380</v>
      </c>
      <c r="E123" s="45">
        <v>79941</v>
      </c>
      <c r="F123" s="45" t="s">
        <v>124</v>
      </c>
      <c r="G123" s="45" t="s">
        <v>125</v>
      </c>
      <c r="H123" s="45" t="s">
        <v>54</v>
      </c>
      <c r="I123" s="45" t="s">
        <v>84</v>
      </c>
      <c r="J123" s="45" t="s">
        <v>117</v>
      </c>
      <c r="K123" s="45" t="s">
        <v>118</v>
      </c>
      <c r="L123" s="45" t="s">
        <v>97</v>
      </c>
      <c r="M123" s="45"/>
      <c r="N123" s="45"/>
      <c r="O123" s="45"/>
      <c r="P123" s="45" t="s">
        <v>64</v>
      </c>
      <c r="Q123" s="45" t="s">
        <v>98</v>
      </c>
      <c r="R123" s="45" t="s">
        <v>381</v>
      </c>
      <c r="S123" s="45" t="s">
        <v>101</v>
      </c>
      <c r="T123" s="45" t="s">
        <v>102</v>
      </c>
      <c r="U123" s="45" t="s">
        <v>103</v>
      </c>
      <c r="V123" s="45"/>
      <c r="W123" s="45" t="s">
        <v>45</v>
      </c>
      <c r="X123" s="60">
        <v>45883.369444444441</v>
      </c>
      <c r="Y123" s="45" t="s">
        <v>121</v>
      </c>
      <c r="Z123" s="45"/>
      <c r="AA123" s="45"/>
      <c r="AB123" t="str">
        <f>IF(LEFT(Jira__32[[#This Row],[Resumen]],3)="POS","POS",IF(LEFT(Jira__32[[#This Row],[Resumen]],3)="BOT","BOT",""))</f>
        <v>POS</v>
      </c>
      <c r="AC123" s="10" t="s">
        <v>133</v>
      </c>
      <c r="AE123" s="24" t="str" cm="1">
        <f t="array" ref="AE123">_xlfn.IFS(OR(COUNTIF(P123:V123,Versiones!$G$9)&gt;0, COUNTIF(P123:V123,Versiones!$H$8)&gt;0), "Sprint 21",OR(COUNTIF(P123:V123,Versiones!$G$8)&gt;0, COUNTIF(P123:V123,Versiones!$H$8)&gt;0, COUNTIF(P123:V123,Versiones!$I$8)&gt;0), "Sprint 20",OR(COUNTIF(P123:V123,Versiones!$G$7)&gt;0, COUNTIF(P123:V123,Versiones!$H$7)&gt;0, COUNTIF(P123:V123,Versiones!$I$7)&gt;0), "Sprint 19",OR(COUNTIF(P123:V123,Versiones!$G$6)&gt;0, COUNTIF(P123:V123,Versiones!$H$6)&gt;0, COUNTIF(P123:V123,Versiones!$I$6)&gt;0), "Sprint 18",OR(COUNTIF(P123:V123,Versiones!$G$4)&gt;0, COUNTIF(P123:V123,Versiones!$H$4)&gt;0, COUNTIF(P123:V123,Versiones!$G$5)&gt;0, COUNTIF(P123:V123,Versiones!$H$5)&gt;0), "Sprint 17",OR(COUNTIF(P123:V123,Versiones!$G$2)&gt;0, COUNTIF(P123:V123,Versiones!$H$2)&gt;0, COUNTIF(P123:V123,Versiones!$G$3)&gt;0, COUNTIF(P123:V123,Versiones!$H$3)&gt;0), "Sprint 16", OR(COUNTIF(P123:V123,Versiones!$G$2)&gt;0, COUNTIF(P123:V123,Versiones!$H$2)&gt;0, COUNTIF(P123:V123,Versiones!$G$3)&gt;0, COUNTIF(P123:V123,Versiones!$H$3)&gt;0), "Sprint 16",TRUE, "")</f>
        <v>Sprint 16</v>
      </c>
      <c r="AF123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23" t="str" cm="1">
        <f t="array" ref="AG12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23" s="24" t="str" cm="1">
        <f t="array" ref="AH123">_xlfn.IFS(COUNTIF(P123:V123, Versiones!$A$13)&gt;0, "Funcional", COUNTIF(P123:V123, Versiones!$A$14)&gt;0, "Configuración", COUNTIF(P123:V123, Versiones!$A$15)&gt;0, "Look&amp;Feel", COUNTIF(P123:V123, Versiones!$A$16)&gt;0, "Integración", COUNTIF(P123:V123, Versiones!$A$17)&gt;0, "Contenido/Datos", COUNTIF(P123:V123, Versiones!$A$18)&gt;0, "Eventos_Cosmos", COUNTIF(P123:V123, Versiones!$A$19)&gt;0, "Eventos_iOT", COUNTIF(P123:V123, Versiones!$A$20)&gt;0, "Eventos_Fabric", TRUE, "No encontrado")</f>
        <v>Contenido/Datos</v>
      </c>
    </row>
    <row r="124" spans="1:34">
      <c r="A124" s="45" t="s">
        <v>35</v>
      </c>
      <c r="B124" s="45" t="s">
        <v>382</v>
      </c>
      <c r="C124" s="45">
        <v>86764</v>
      </c>
      <c r="D124" s="45" t="s">
        <v>383</v>
      </c>
      <c r="E124" s="45">
        <v>79941</v>
      </c>
      <c r="F124" s="45" t="s">
        <v>124</v>
      </c>
      <c r="G124" s="45" t="s">
        <v>125</v>
      </c>
      <c r="H124" s="45" t="s">
        <v>54</v>
      </c>
      <c r="I124" s="45" t="s">
        <v>84</v>
      </c>
      <c r="J124" s="45" t="s">
        <v>117</v>
      </c>
      <c r="K124" s="45" t="s">
        <v>118</v>
      </c>
      <c r="L124" s="45" t="s">
        <v>97</v>
      </c>
      <c r="M124" s="45"/>
      <c r="N124" s="45"/>
      <c r="O124" s="45"/>
      <c r="P124" s="45" t="s">
        <v>64</v>
      </c>
      <c r="Q124" s="45" t="s">
        <v>381</v>
      </c>
      <c r="R124" s="45" t="s">
        <v>101</v>
      </c>
      <c r="S124" s="45" t="s">
        <v>102</v>
      </c>
      <c r="T124" s="45" t="s">
        <v>103</v>
      </c>
      <c r="U124" s="45"/>
      <c r="V124" s="45"/>
      <c r="W124" s="45" t="s">
        <v>45</v>
      </c>
      <c r="X124" s="60">
        <v>45883.339583333334</v>
      </c>
      <c r="Y124" s="45" t="s">
        <v>121</v>
      </c>
      <c r="Z124" s="45"/>
      <c r="AA124" s="45"/>
      <c r="AB124" t="str">
        <f>IF(LEFT(Jira__32[[#This Row],[Resumen]],3)="POS","POS",IF(LEFT(Jira__32[[#This Row],[Resumen]],3)="BOT","BOT",""))</f>
        <v>POS</v>
      </c>
      <c r="AC124" s="10" t="s">
        <v>133</v>
      </c>
      <c r="AE124" s="24" t="str" cm="1">
        <f t="array" ref="AE124">_xlfn.IFS(OR(COUNTIF(P124:V124,Versiones!$G$9)&gt;0, COUNTIF(P124:V124,Versiones!$H$8)&gt;0), "Sprint 21",OR(COUNTIF(P124:V124,Versiones!$G$8)&gt;0, COUNTIF(P124:V124,Versiones!$H$8)&gt;0, COUNTIF(P124:V124,Versiones!$I$8)&gt;0), "Sprint 20",OR(COUNTIF(P124:V124,Versiones!$G$7)&gt;0, COUNTIF(P124:V124,Versiones!$H$7)&gt;0, COUNTIF(P124:V124,Versiones!$I$7)&gt;0), "Sprint 19",OR(COUNTIF(P124:V124,Versiones!$G$6)&gt;0, COUNTIF(P124:V124,Versiones!$H$6)&gt;0, COUNTIF(P124:V124,Versiones!$I$6)&gt;0), "Sprint 18",OR(COUNTIF(P124:V124,Versiones!$G$4)&gt;0, COUNTIF(P124:V124,Versiones!$H$4)&gt;0, COUNTIF(P124:V124,Versiones!$G$5)&gt;0, COUNTIF(P124:V124,Versiones!$H$5)&gt;0), "Sprint 17",OR(COUNTIF(P124:V124,Versiones!$G$2)&gt;0, COUNTIF(P124:V124,Versiones!$H$2)&gt;0, COUNTIF(P124:V124,Versiones!$G$3)&gt;0, COUNTIF(P124:V124,Versiones!$H$3)&gt;0), "Sprint 16", OR(COUNTIF(P124:V124,Versiones!$G$2)&gt;0, COUNTIF(P124:V124,Versiones!$H$2)&gt;0, COUNTIF(P124:V124,Versiones!$G$3)&gt;0, COUNTIF(P124:V124,Versiones!$H$3)&gt;0), "Sprint 16",TRUE, "")</f>
        <v>Sprint 16</v>
      </c>
      <c r="AF124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24" t="str" cm="1">
        <f t="array" ref="AG12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24" s="24" t="str" cm="1">
        <f t="array" ref="AH124">_xlfn.IFS(COUNTIF(P124:V124, Versiones!$A$13)&gt;0, "Funcional", COUNTIF(P124:V124, Versiones!$A$14)&gt;0, "Configuración", COUNTIF(P124:V124, Versiones!$A$15)&gt;0, "Look&amp;Feel", COUNTIF(P124:V124, Versiones!$A$16)&gt;0, "Integración", COUNTIF(P124:V124, Versiones!$A$17)&gt;0, "Contenido/Datos", COUNTIF(P124:V124, Versiones!$A$18)&gt;0, "Eventos_Cosmos", COUNTIF(P124:V124, Versiones!$A$19)&gt;0, "Eventos_iOT", COUNTIF(P124:V124, Versiones!$A$20)&gt;0, "Eventos_Fabric", TRUE, "No encontrado")</f>
        <v>Contenido/Datos</v>
      </c>
    </row>
    <row r="125" spans="1:34">
      <c r="A125" s="45" t="s">
        <v>35</v>
      </c>
      <c r="B125" s="45" t="s">
        <v>384</v>
      </c>
      <c r="C125" s="45">
        <v>86759</v>
      </c>
      <c r="D125" s="45" t="s">
        <v>385</v>
      </c>
      <c r="E125" s="45">
        <v>79941</v>
      </c>
      <c r="F125" s="45" t="s">
        <v>124</v>
      </c>
      <c r="G125" s="45" t="s">
        <v>125</v>
      </c>
      <c r="H125" s="45" t="s">
        <v>54</v>
      </c>
      <c r="I125" s="45" t="s">
        <v>84</v>
      </c>
      <c r="J125" s="45" t="s">
        <v>126</v>
      </c>
      <c r="K125" s="45" t="s">
        <v>117</v>
      </c>
      <c r="L125" s="45" t="s">
        <v>118</v>
      </c>
      <c r="M125" s="45" t="s">
        <v>97</v>
      </c>
      <c r="N125" s="45"/>
      <c r="O125" s="45"/>
      <c r="P125" s="45" t="s">
        <v>43</v>
      </c>
      <c r="Q125" s="45" t="s">
        <v>381</v>
      </c>
      <c r="R125" s="45" t="s">
        <v>101</v>
      </c>
      <c r="S125" s="45" t="s">
        <v>103</v>
      </c>
      <c r="T125" s="45"/>
      <c r="U125" s="45"/>
      <c r="V125" s="45"/>
      <c r="W125" s="45" t="s">
        <v>45</v>
      </c>
      <c r="X125" s="60">
        <v>45883.322916666664</v>
      </c>
      <c r="Y125" s="45" t="s">
        <v>105</v>
      </c>
      <c r="Z125" s="45"/>
      <c r="AA125" s="45"/>
      <c r="AB125" t="str">
        <f>IF(LEFT(Jira__32[[#This Row],[Resumen]],3)="POS","POS",IF(LEFT(Jira__32[[#This Row],[Resumen]],3)="BOT","BOT",""))</f>
        <v>POS</v>
      </c>
      <c r="AC125" s="10" t="s">
        <v>133</v>
      </c>
      <c r="AE125" s="24" t="str" cm="1">
        <f t="array" ref="AE125">_xlfn.IFS(OR(COUNTIF(P125:V125,Versiones!$G$9)&gt;0, COUNTIF(P125:V125,Versiones!$H$8)&gt;0), "Sprint 21",OR(COUNTIF(P125:V125,Versiones!$G$8)&gt;0, COUNTIF(P125:V125,Versiones!$H$8)&gt;0, COUNTIF(P125:V125,Versiones!$I$8)&gt;0), "Sprint 20",OR(COUNTIF(P125:V125,Versiones!$G$7)&gt;0, COUNTIF(P125:V125,Versiones!$H$7)&gt;0, COUNTIF(P125:V125,Versiones!$I$7)&gt;0), "Sprint 19",OR(COUNTIF(P125:V125,Versiones!$G$6)&gt;0, COUNTIF(P125:V125,Versiones!$H$6)&gt;0, COUNTIF(P125:V125,Versiones!$I$6)&gt;0), "Sprint 18",OR(COUNTIF(P125:V125,Versiones!$G$4)&gt;0, COUNTIF(P125:V125,Versiones!$H$4)&gt;0, COUNTIF(P125:V125,Versiones!$G$5)&gt;0, COUNTIF(P125:V125,Versiones!$H$5)&gt;0), "Sprint 17",OR(COUNTIF(P125:V125,Versiones!$G$2)&gt;0, COUNTIF(P125:V125,Versiones!$H$2)&gt;0, COUNTIF(P125:V125,Versiones!$G$3)&gt;0, COUNTIF(P125:V125,Versiones!$H$3)&gt;0), "Sprint 16", OR(COUNTIF(P125:V125,Versiones!$G$2)&gt;0, COUNTIF(P125:V125,Versiones!$H$2)&gt;0, COUNTIF(P125:V125,Versiones!$G$3)&gt;0, COUNTIF(P125:V125,Versiones!$H$3)&gt;0), "Sprint 16",TRUE, "")</f>
        <v>Sprint 16</v>
      </c>
      <c r="AF125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25" t="str" cm="1">
        <f t="array" ref="AG12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25" s="24" t="str" cm="1">
        <f t="array" ref="AH125">_xlfn.IFS(COUNTIF(P125:V125, Versiones!$A$13)&gt;0, "Funcional", COUNTIF(P125:V125, Versiones!$A$14)&gt;0, "Configuración", COUNTIF(P125:V125, Versiones!$A$15)&gt;0, "Look&amp;Feel", COUNTIF(P125:V125, Versiones!$A$16)&gt;0, "Integración", COUNTIF(P125:V125, Versiones!$A$17)&gt;0, "Contenido/Datos", COUNTIF(P125:V125, Versiones!$A$18)&gt;0, "Eventos_Cosmos", COUNTIF(P125:V125, Versiones!$A$19)&gt;0, "Eventos_iOT", COUNTIF(P125:V125, Versiones!$A$20)&gt;0, "Eventos_Fabric", TRUE, "No encontrado")</f>
        <v>Funcional</v>
      </c>
    </row>
    <row r="126" spans="1:34">
      <c r="A126" s="45" t="s">
        <v>35</v>
      </c>
      <c r="B126" s="45" t="s">
        <v>386</v>
      </c>
      <c r="C126" s="45">
        <v>86756</v>
      </c>
      <c r="D126" s="45" t="s">
        <v>387</v>
      </c>
      <c r="E126" s="45">
        <v>79941</v>
      </c>
      <c r="F126" s="45" t="s">
        <v>124</v>
      </c>
      <c r="G126" s="45" t="s">
        <v>125</v>
      </c>
      <c r="H126" s="45" t="s">
        <v>54</v>
      </c>
      <c r="I126" s="45" t="s">
        <v>84</v>
      </c>
      <c r="J126" s="45" t="s">
        <v>117</v>
      </c>
      <c r="K126" s="45" t="s">
        <v>118</v>
      </c>
      <c r="L126" s="45" t="s">
        <v>97</v>
      </c>
      <c r="M126" s="45"/>
      <c r="N126" s="45"/>
      <c r="O126" s="45"/>
      <c r="P126" s="45" t="s">
        <v>43</v>
      </c>
      <c r="Q126" s="45" t="s">
        <v>381</v>
      </c>
      <c r="R126" s="45" t="s">
        <v>101</v>
      </c>
      <c r="S126" s="45" t="s">
        <v>102</v>
      </c>
      <c r="T126" s="45" t="s">
        <v>103</v>
      </c>
      <c r="U126" s="45"/>
      <c r="V126" s="45"/>
      <c r="W126" s="45" t="s">
        <v>45</v>
      </c>
      <c r="X126" s="60">
        <v>45883.3125</v>
      </c>
      <c r="Y126" s="45" t="s">
        <v>121</v>
      </c>
      <c r="Z126" s="45"/>
      <c r="AA126" s="45"/>
      <c r="AB126" t="str">
        <f>IF(LEFT(Jira__32[[#This Row],[Resumen]],3)="POS","POS",IF(LEFT(Jira__32[[#This Row],[Resumen]],3)="BOT","BOT",""))</f>
        <v>POS</v>
      </c>
      <c r="AC126" s="13" t="s">
        <v>150</v>
      </c>
      <c r="AE126" s="24" t="str" cm="1">
        <f t="array" ref="AE126">_xlfn.IFS(OR(COUNTIF(P126:V126,Versiones!$G$9)&gt;0, COUNTIF(P126:V126,Versiones!$H$8)&gt;0), "Sprint 21",OR(COUNTIF(P126:V126,Versiones!$G$8)&gt;0, COUNTIF(P126:V126,Versiones!$H$8)&gt;0, COUNTIF(P126:V126,Versiones!$I$8)&gt;0), "Sprint 20",OR(COUNTIF(P126:V126,Versiones!$G$7)&gt;0, COUNTIF(P126:V126,Versiones!$H$7)&gt;0, COUNTIF(P126:V126,Versiones!$I$7)&gt;0), "Sprint 19",OR(COUNTIF(P126:V126,Versiones!$G$6)&gt;0, COUNTIF(P126:V126,Versiones!$H$6)&gt;0, COUNTIF(P126:V126,Versiones!$I$6)&gt;0), "Sprint 18",OR(COUNTIF(P126:V126,Versiones!$G$4)&gt;0, COUNTIF(P126:V126,Versiones!$H$4)&gt;0, COUNTIF(P126:V126,Versiones!$G$5)&gt;0, COUNTIF(P126:V126,Versiones!$H$5)&gt;0), "Sprint 17",OR(COUNTIF(P126:V126,Versiones!$G$2)&gt;0, COUNTIF(P126:V126,Versiones!$H$2)&gt;0, COUNTIF(P126:V126,Versiones!$G$3)&gt;0, COUNTIF(P126:V126,Versiones!$H$3)&gt;0), "Sprint 16", OR(COUNTIF(P126:V126,Versiones!$G$2)&gt;0, COUNTIF(P126:V126,Versiones!$H$2)&gt;0, COUNTIF(P126:V126,Versiones!$G$3)&gt;0, COUNTIF(P126:V126,Versiones!$H$3)&gt;0), "Sprint 16",TRUE, "")</f>
        <v>Sprint 16</v>
      </c>
      <c r="AF126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26" t="str" cm="1">
        <f t="array" ref="AG12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26" s="24" t="str" cm="1">
        <f t="array" ref="AH126">_xlfn.IFS(COUNTIF(P126:V126, Versiones!$A$13)&gt;0, "Funcional", COUNTIF(P126:V126, Versiones!$A$14)&gt;0, "Configuración", COUNTIF(P126:V126, Versiones!$A$15)&gt;0, "Look&amp;Feel", COUNTIF(P126:V126, Versiones!$A$16)&gt;0, "Integración", COUNTIF(P126:V126, Versiones!$A$17)&gt;0, "Contenido/Datos", COUNTIF(P126:V126, Versiones!$A$18)&gt;0, "Eventos_Cosmos", COUNTIF(P126:V126, Versiones!$A$19)&gt;0, "Eventos_iOT", COUNTIF(P126:V126, Versiones!$A$20)&gt;0, "Eventos_Fabric", TRUE, "No encontrado")</f>
        <v>Funcional</v>
      </c>
    </row>
    <row r="127" spans="1:34">
      <c r="A127" s="45" t="s">
        <v>35</v>
      </c>
      <c r="B127" s="45" t="s">
        <v>388</v>
      </c>
      <c r="C127" s="45">
        <v>86496</v>
      </c>
      <c r="D127" s="45" t="s">
        <v>389</v>
      </c>
      <c r="E127" s="45">
        <v>79941</v>
      </c>
      <c r="F127" s="45" t="s">
        <v>124</v>
      </c>
      <c r="G127" s="45" t="s">
        <v>125</v>
      </c>
      <c r="H127" s="45" t="s">
        <v>54</v>
      </c>
      <c r="I127" s="45" t="s">
        <v>41</v>
      </c>
      <c r="J127" s="45" t="s">
        <v>97</v>
      </c>
      <c r="K127" s="45"/>
      <c r="L127" s="45"/>
      <c r="M127" s="45"/>
      <c r="N127" s="45"/>
      <c r="O127" s="45"/>
      <c r="P127" s="45" t="s">
        <v>43</v>
      </c>
      <c r="Q127" s="45" t="s">
        <v>390</v>
      </c>
      <c r="R127" s="45"/>
      <c r="S127" s="45"/>
      <c r="T127" s="45"/>
      <c r="U127" s="45"/>
      <c r="V127" s="45"/>
      <c r="W127" s="45" t="s">
        <v>65</v>
      </c>
      <c r="X127" s="60">
        <v>45882.668055555558</v>
      </c>
      <c r="Y127" s="45"/>
      <c r="Z127" s="45"/>
      <c r="AA127" s="45"/>
      <c r="AB127" t="str">
        <f>IF(LEFT(Jira__32[[#This Row],[Resumen]],3)="POS","POS",IF(LEFT(Jira__32[[#This Row],[Resumen]],3)="BOT","BOT",""))</f>
        <v>POS</v>
      </c>
      <c r="AC127" s="10" t="s">
        <v>176</v>
      </c>
      <c r="AE127" s="24" t="str" cm="1">
        <f t="array" ref="AE127">_xlfn.IFS(OR(COUNTIF(P127:V127,Versiones!$G$9)&gt;0, COUNTIF(P127:V127,Versiones!$H$8)&gt;0), "Sprint 21",OR(COUNTIF(P127:V127,Versiones!$G$8)&gt;0, COUNTIF(P127:V127,Versiones!$H$8)&gt;0, COUNTIF(P127:V127,Versiones!$I$8)&gt;0), "Sprint 20",OR(COUNTIF(P127:V127,Versiones!$G$7)&gt;0, COUNTIF(P127:V127,Versiones!$H$7)&gt;0, COUNTIF(P127:V127,Versiones!$I$7)&gt;0), "Sprint 19",OR(COUNTIF(P127:V127,Versiones!$G$6)&gt;0, COUNTIF(P127:V127,Versiones!$H$6)&gt;0, COUNTIF(P127:V127,Versiones!$I$6)&gt;0), "Sprint 18",OR(COUNTIF(P127:V127,Versiones!$G$4)&gt;0, COUNTIF(P127:V127,Versiones!$H$4)&gt;0, COUNTIF(P127:V127,Versiones!$G$5)&gt;0, COUNTIF(P127:V127,Versiones!$H$5)&gt;0), "Sprint 17",OR(COUNTIF(P127:V127,Versiones!$G$2)&gt;0, COUNTIF(P127:V127,Versiones!$H$2)&gt;0, COUNTIF(P127:V127,Versiones!$G$3)&gt;0, COUNTIF(P127:V127,Versiones!$H$3)&gt;0), "Sprint 16", OR(COUNTIF(P127:V127,Versiones!$G$2)&gt;0, COUNTIF(P127:V127,Versiones!$H$2)&gt;0, COUNTIF(P127:V127,Versiones!$G$3)&gt;0, COUNTIF(P127:V127,Versiones!$H$3)&gt;0), "Sprint 16",TRUE, "")</f>
        <v>Sprint 16</v>
      </c>
      <c r="AF127" s="2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127" t="str" cm="1">
        <f t="array" ref="AG12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127" s="24" t="str" cm="1">
        <f t="array" ref="AH127">_xlfn.IFS(COUNTIF(P127:V127, Versiones!$A$13)&gt;0, "Funcional", COUNTIF(P127:V127, Versiones!$A$14)&gt;0, "Configuración", COUNTIF(P127:V127, Versiones!$A$15)&gt;0, "Look&amp;Feel", COUNTIF(P127:V127, Versiones!$A$16)&gt;0, "Integración", COUNTIF(P127:V127, Versiones!$A$17)&gt;0, "Contenido/Datos", COUNTIF(P127:V127, Versiones!$A$18)&gt;0, "Eventos_Cosmos", COUNTIF(P127:V127, Versiones!$A$19)&gt;0, "Eventos_iOT", COUNTIF(P127:V127, Versiones!$A$20)&gt;0, "Eventos_Fabric", TRUE, "No encontrado")</f>
        <v>Funcional</v>
      </c>
    </row>
    <row r="128" spans="1:34" ht="15" customHeight="1">
      <c r="A128" s="45" t="s">
        <v>35</v>
      </c>
      <c r="B128" s="45" t="s">
        <v>391</v>
      </c>
      <c r="C128" s="45">
        <v>86493</v>
      </c>
      <c r="D128" s="45" t="s">
        <v>392</v>
      </c>
      <c r="E128" s="45">
        <v>87100</v>
      </c>
      <c r="F128" s="45" t="s">
        <v>38</v>
      </c>
      <c r="G128" s="45" t="s">
        <v>39</v>
      </c>
      <c r="H128" s="45" t="s">
        <v>54</v>
      </c>
      <c r="I128" s="45" t="s">
        <v>80</v>
      </c>
      <c r="J128" s="45"/>
      <c r="K128" s="45"/>
      <c r="L128" s="45"/>
      <c r="M128" s="45"/>
      <c r="N128" s="45"/>
      <c r="O128" s="45"/>
      <c r="P128" s="45" t="s">
        <v>43</v>
      </c>
      <c r="Q128" s="45" t="s">
        <v>390</v>
      </c>
      <c r="R128" s="45"/>
      <c r="S128" s="45"/>
      <c r="T128" s="45"/>
      <c r="U128" s="45"/>
      <c r="V128" s="45"/>
      <c r="W128" s="45" t="s">
        <v>65</v>
      </c>
      <c r="X128" s="60">
        <v>45882.664583333331</v>
      </c>
      <c r="Y128" s="45"/>
      <c r="Z128" s="45"/>
      <c r="AA128" s="45"/>
      <c r="AB128" t="str">
        <f>IF(LEFT(Jira__32[[#This Row],[Resumen]],3)="POS","POS",IF(LEFT(Jira__32[[#This Row],[Resumen]],3)="BOT","BOT",""))</f>
        <v>POS</v>
      </c>
      <c r="AC128" s="47" t="s">
        <v>176</v>
      </c>
      <c r="AE128" s="24" t="str" cm="1">
        <f t="array" ref="AE128">_xlfn.IFS(OR(COUNTIF(P128:V128,Versiones!$G$9)&gt;0, COUNTIF(P128:V128,Versiones!$H$8)&gt;0), "Sprint 21",OR(COUNTIF(P128:V128,Versiones!$G$8)&gt;0, COUNTIF(P128:V128,Versiones!$H$8)&gt;0, COUNTIF(P128:V128,Versiones!$I$8)&gt;0), "Sprint 20",OR(COUNTIF(P128:V128,Versiones!$G$7)&gt;0, COUNTIF(P128:V128,Versiones!$H$7)&gt;0, COUNTIF(P128:V128,Versiones!$I$7)&gt;0), "Sprint 19",OR(COUNTIF(P128:V128,Versiones!$G$6)&gt;0, COUNTIF(P128:V128,Versiones!$H$6)&gt;0, COUNTIF(P128:V128,Versiones!$I$6)&gt;0), "Sprint 18",OR(COUNTIF(P128:V128,Versiones!$G$4)&gt;0, COUNTIF(P128:V128,Versiones!$H$4)&gt;0, COUNTIF(P128:V128,Versiones!$G$5)&gt;0, COUNTIF(P128:V128,Versiones!$H$5)&gt;0), "Sprint 17",OR(COUNTIF(P128:V128,Versiones!$G$2)&gt;0, COUNTIF(P128:V128,Versiones!$H$2)&gt;0, COUNTIF(P128:V128,Versiones!$G$3)&gt;0, COUNTIF(P128:V128,Versiones!$H$3)&gt;0), "Sprint 16", OR(COUNTIF(P128:V128,Versiones!$G$2)&gt;0, COUNTIF(P128:V128,Versiones!$H$2)&gt;0, COUNTIF(P128:V128,Versiones!$G$3)&gt;0, COUNTIF(P128:V128,Versiones!$H$3)&gt;0), "Sprint 16",TRUE, "")</f>
        <v>Sprint 16</v>
      </c>
      <c r="AF128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128" t="str" cm="1">
        <f t="array" ref="AG12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128" s="24" t="str" cm="1">
        <f t="array" ref="AH128">_xlfn.IFS(COUNTIF(P128:V128, Versiones!$A$13)&gt;0, "Funcional", COUNTIF(P128:V128, Versiones!$A$14)&gt;0, "Configuración", COUNTIF(P128:V128, Versiones!$A$15)&gt;0, "Look&amp;Feel", COUNTIF(P128:V128, Versiones!$A$16)&gt;0, "Integración", COUNTIF(P128:V128, Versiones!$A$17)&gt;0, "Contenido/Datos", COUNTIF(P128:V128, Versiones!$A$18)&gt;0, "Eventos_Cosmos", COUNTIF(P128:V128, Versiones!$A$19)&gt;0, "Eventos_iOT", COUNTIF(P128:V128, Versiones!$A$20)&gt;0, "Eventos_Fabric", TRUE, "No encontrado")</f>
        <v>Funcional</v>
      </c>
    </row>
    <row r="129" spans="1:34" ht="15" customHeight="1">
      <c r="A129" s="45" t="s">
        <v>35</v>
      </c>
      <c r="B129" s="45" t="s">
        <v>393</v>
      </c>
      <c r="C129" s="45">
        <v>86368</v>
      </c>
      <c r="D129" s="45" t="s">
        <v>394</v>
      </c>
      <c r="E129" s="45" t="s">
        <v>209</v>
      </c>
      <c r="F129" s="45" t="s">
        <v>209</v>
      </c>
      <c r="G129" s="45" t="s">
        <v>209</v>
      </c>
      <c r="H129" s="45" t="s">
        <v>54</v>
      </c>
      <c r="I129" s="45" t="s">
        <v>84</v>
      </c>
      <c r="J129" s="45" t="s">
        <v>126</v>
      </c>
      <c r="K129" s="45" t="s">
        <v>117</v>
      </c>
      <c r="L129" s="45" t="s">
        <v>118</v>
      </c>
      <c r="M129" s="45" t="s">
        <v>97</v>
      </c>
      <c r="N129" s="45"/>
      <c r="O129" s="45"/>
      <c r="P129" s="45" t="s">
        <v>64</v>
      </c>
      <c r="Q129" s="45" t="s">
        <v>390</v>
      </c>
      <c r="R129" s="45" t="s">
        <v>101</v>
      </c>
      <c r="S129" s="45" t="s">
        <v>103</v>
      </c>
      <c r="T129" s="45"/>
      <c r="U129" s="45"/>
      <c r="V129" s="45"/>
      <c r="W129" s="45" t="s">
        <v>65</v>
      </c>
      <c r="X129" s="60">
        <v>45882.5625</v>
      </c>
      <c r="Y129" s="45" t="s">
        <v>105</v>
      </c>
      <c r="Z129" s="45"/>
      <c r="AA129" s="45"/>
      <c r="AB129" t="str">
        <f>IF(LEFT(Jira__32[[#This Row],[Resumen]],3)="POS","POS",IF(LEFT(Jira__32[[#This Row],[Resumen]],3)="BOT","BOT",""))</f>
        <v>POS</v>
      </c>
      <c r="AC129" s="10" t="s">
        <v>173</v>
      </c>
      <c r="AE129" s="24" t="str" cm="1">
        <f t="array" ref="AE129">_xlfn.IFS(OR(COUNTIF(P129:V129,Versiones!$G$9)&gt;0, COUNTIF(P129:V129,Versiones!$H$8)&gt;0), "Sprint 21",OR(COUNTIF(P129:V129,Versiones!$G$8)&gt;0, COUNTIF(P129:V129,Versiones!$H$8)&gt;0, COUNTIF(P129:V129,Versiones!$I$8)&gt;0), "Sprint 20",OR(COUNTIF(P129:V129,Versiones!$G$7)&gt;0, COUNTIF(P129:V129,Versiones!$H$7)&gt;0, COUNTIF(P129:V129,Versiones!$I$7)&gt;0), "Sprint 19",OR(COUNTIF(P129:V129,Versiones!$G$6)&gt;0, COUNTIF(P129:V129,Versiones!$H$6)&gt;0, COUNTIF(P129:V129,Versiones!$I$6)&gt;0), "Sprint 18",OR(COUNTIF(P129:V129,Versiones!$G$4)&gt;0, COUNTIF(P129:V129,Versiones!$H$4)&gt;0, COUNTIF(P129:V129,Versiones!$G$5)&gt;0, COUNTIF(P129:V129,Versiones!$H$5)&gt;0), "Sprint 17",OR(COUNTIF(P129:V129,Versiones!$G$2)&gt;0, COUNTIF(P129:V129,Versiones!$H$2)&gt;0, COUNTIF(P129:V129,Versiones!$G$3)&gt;0, COUNTIF(P129:V129,Versiones!$H$3)&gt;0), "Sprint 16", OR(COUNTIF(P129:V129,Versiones!$G$2)&gt;0, COUNTIF(P129:V129,Versiones!$H$2)&gt;0, COUNTIF(P129:V129,Versiones!$G$3)&gt;0, COUNTIF(P129:V129,Versiones!$H$3)&gt;0), "Sprint 16",TRUE, "")</f>
        <v>Sprint 16</v>
      </c>
      <c r="AF129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29" t="str" cm="1">
        <f t="array" ref="AG129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29" s="24" t="str" cm="1">
        <f t="array" ref="AH129">_xlfn.IFS(COUNTIF(P129:V129, Versiones!$A$13)&gt;0, "Funcional", COUNTIF(P129:V129, Versiones!$A$14)&gt;0, "Configuración", COUNTIF(P129:V129, Versiones!$A$15)&gt;0, "Look&amp;Feel", COUNTIF(P129:V129, Versiones!$A$16)&gt;0, "Integración", COUNTIF(P129:V129, Versiones!$A$17)&gt;0, "Contenido/Datos", COUNTIF(P129:V129, Versiones!$A$18)&gt;0, "Eventos_Cosmos", COUNTIF(P129:V129, Versiones!$A$19)&gt;0, "Eventos_iOT", COUNTIF(P129:V129, Versiones!$A$20)&gt;0, "Eventos_Fabric", TRUE, "No encontrado")</f>
        <v>Contenido/Datos</v>
      </c>
    </row>
    <row r="130" spans="1:34" ht="15" customHeight="1">
      <c r="A130" s="45" t="s">
        <v>35</v>
      </c>
      <c r="B130" s="45" t="s">
        <v>395</v>
      </c>
      <c r="C130" s="45">
        <v>86077</v>
      </c>
      <c r="D130" s="45" t="s">
        <v>396</v>
      </c>
      <c r="E130" s="45" t="s">
        <v>209</v>
      </c>
      <c r="F130" s="45" t="s">
        <v>209</v>
      </c>
      <c r="G130" s="45" t="s">
        <v>209</v>
      </c>
      <c r="H130" s="45" t="s">
        <v>54</v>
      </c>
      <c r="I130" s="45" t="s">
        <v>80</v>
      </c>
      <c r="J130" s="45" t="s">
        <v>126</v>
      </c>
      <c r="K130" s="45" t="s">
        <v>117</v>
      </c>
      <c r="L130" s="45" t="s">
        <v>118</v>
      </c>
      <c r="M130" s="45" t="s">
        <v>108</v>
      </c>
      <c r="N130" s="45" t="s">
        <v>200</v>
      </c>
      <c r="O130" s="45" t="s">
        <v>42</v>
      </c>
      <c r="P130" s="45" t="s">
        <v>43</v>
      </c>
      <c r="Q130" s="45" t="s">
        <v>390</v>
      </c>
      <c r="R130" s="45" t="s">
        <v>101</v>
      </c>
      <c r="S130" s="45" t="s">
        <v>103</v>
      </c>
      <c r="T130" s="45"/>
      <c r="U130" s="45"/>
      <c r="V130" s="45"/>
      <c r="W130" s="45" t="s">
        <v>65</v>
      </c>
      <c r="X130" s="60">
        <v>45881.670138888891</v>
      </c>
      <c r="Y130" s="45" t="s">
        <v>105</v>
      </c>
      <c r="Z130" s="45"/>
      <c r="AA130" s="45"/>
      <c r="AB130" t="str">
        <f>IF(LEFT(Jira__32[[#This Row],[Resumen]],3)="POS","POS",IF(LEFT(Jira__32[[#This Row],[Resumen]],3)="BOT","BOT",""))</f>
        <v>POS</v>
      </c>
      <c r="AC130" s="10" t="s">
        <v>173</v>
      </c>
      <c r="AE130" s="24" t="str" cm="1">
        <f t="array" ref="AE130">_xlfn.IFS(OR(COUNTIF(P130:V130,Versiones!$G$9)&gt;0, COUNTIF(P130:V130,Versiones!$H$8)&gt;0), "Sprint 21",OR(COUNTIF(P130:V130,Versiones!$G$8)&gt;0, COUNTIF(P130:V130,Versiones!$H$8)&gt;0, COUNTIF(P130:V130,Versiones!$I$8)&gt;0), "Sprint 20",OR(COUNTIF(P130:V130,Versiones!$G$7)&gt;0, COUNTIF(P130:V130,Versiones!$H$7)&gt;0, COUNTIF(P130:V130,Versiones!$I$7)&gt;0), "Sprint 19",OR(COUNTIF(P130:V130,Versiones!$G$6)&gt;0, COUNTIF(P130:V130,Versiones!$H$6)&gt;0, COUNTIF(P130:V130,Versiones!$I$6)&gt;0), "Sprint 18",OR(COUNTIF(P130:V130,Versiones!$G$4)&gt;0, COUNTIF(P130:V130,Versiones!$H$4)&gt;0, COUNTIF(P130:V130,Versiones!$G$5)&gt;0, COUNTIF(P130:V130,Versiones!$H$5)&gt;0), "Sprint 17",OR(COUNTIF(P130:V130,Versiones!$G$2)&gt;0, COUNTIF(P130:V130,Versiones!$H$2)&gt;0, COUNTIF(P130:V130,Versiones!$G$3)&gt;0, COUNTIF(P130:V130,Versiones!$H$3)&gt;0), "Sprint 16", OR(COUNTIF(P130:V130,Versiones!$G$2)&gt;0, COUNTIF(P130:V130,Versiones!$H$2)&gt;0, COUNTIF(P130:V130,Versiones!$G$3)&gt;0, COUNTIF(P130:V130,Versiones!$H$3)&gt;0), "Sprint 16",TRUE, "")</f>
        <v>Sprint 16</v>
      </c>
      <c r="AF130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30" t="str" cm="1">
        <f t="array" ref="AG130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30" s="24" t="str" cm="1">
        <f t="array" ref="AH130">_xlfn.IFS(COUNTIF(P130:V130, Versiones!$A$13)&gt;0, "Funcional", COUNTIF(P130:V130, Versiones!$A$14)&gt;0, "Configuración", COUNTIF(P130:V130, Versiones!$A$15)&gt;0, "Look&amp;Feel", COUNTIF(P130:V130, Versiones!$A$16)&gt;0, "Integración", COUNTIF(P130:V130, Versiones!$A$17)&gt;0, "Contenido/Datos", COUNTIF(P130:V130, Versiones!$A$18)&gt;0, "Eventos_Cosmos", COUNTIF(P130:V130, Versiones!$A$19)&gt;0, "Eventos_iOT", COUNTIF(P130:V130, Versiones!$A$20)&gt;0, "Eventos_Fabric", TRUE, "No encontrado")</f>
        <v>Funcional</v>
      </c>
    </row>
    <row r="131" spans="1:34" ht="15" customHeight="1">
      <c r="A131" s="45" t="s">
        <v>35</v>
      </c>
      <c r="B131" s="45" t="s">
        <v>397</v>
      </c>
      <c r="C131" s="45">
        <v>86040</v>
      </c>
      <c r="D131" s="45" t="s">
        <v>398</v>
      </c>
      <c r="E131" s="45">
        <v>87100</v>
      </c>
      <c r="F131" s="45" t="s">
        <v>38</v>
      </c>
      <c r="G131" s="45" t="s">
        <v>39</v>
      </c>
      <c r="H131" s="45" t="s">
        <v>249</v>
      </c>
      <c r="I131" s="45" t="s">
        <v>41</v>
      </c>
      <c r="J131" s="45" t="s">
        <v>97</v>
      </c>
      <c r="K131" s="45"/>
      <c r="L131" s="45"/>
      <c r="M131" s="45"/>
      <c r="N131" s="45"/>
      <c r="O131" s="45"/>
      <c r="P131" s="45" t="s">
        <v>55</v>
      </c>
      <c r="Q131" s="45" t="s">
        <v>390</v>
      </c>
      <c r="R131" s="45"/>
      <c r="S131" s="45"/>
      <c r="T131" s="45"/>
      <c r="U131" s="45"/>
      <c r="V131" s="45"/>
      <c r="W131" s="45" t="s">
        <v>65</v>
      </c>
      <c r="X131" s="60">
        <v>45881.660416666666</v>
      </c>
      <c r="Y131" s="45"/>
      <c r="Z131" s="45"/>
      <c r="AA131" s="45"/>
      <c r="AB131" t="str">
        <f>IF(LEFT(Jira__32[[#This Row],[Resumen]],3)="POS","POS",IF(LEFT(Jira__32[[#This Row],[Resumen]],3)="BOT","BOT",""))</f>
        <v>POS</v>
      </c>
      <c r="AC131" s="14" t="s">
        <v>187</v>
      </c>
      <c r="AE131" s="24" t="str" cm="1">
        <f t="array" ref="AE131">_xlfn.IFS(OR(COUNTIF(P131:V131,Versiones!$G$9)&gt;0, COUNTIF(P131:V131,Versiones!$H$8)&gt;0), "Sprint 21",OR(COUNTIF(P131:V131,Versiones!$G$8)&gt;0, COUNTIF(P131:V131,Versiones!$H$8)&gt;0, COUNTIF(P131:V131,Versiones!$I$8)&gt;0), "Sprint 20",OR(COUNTIF(P131:V131,Versiones!$G$7)&gt;0, COUNTIF(P131:V131,Versiones!$H$7)&gt;0, COUNTIF(P131:V131,Versiones!$I$7)&gt;0), "Sprint 19",OR(COUNTIF(P131:V131,Versiones!$G$6)&gt;0, COUNTIF(P131:V131,Versiones!$H$6)&gt;0, COUNTIF(P131:V131,Versiones!$I$6)&gt;0), "Sprint 18",OR(COUNTIF(P131:V131,Versiones!$G$4)&gt;0, COUNTIF(P131:V131,Versiones!$H$4)&gt;0, COUNTIF(P131:V131,Versiones!$G$5)&gt;0, COUNTIF(P131:V131,Versiones!$H$5)&gt;0), "Sprint 17",OR(COUNTIF(P131:V131,Versiones!$G$2)&gt;0, COUNTIF(P131:V131,Versiones!$H$2)&gt;0, COUNTIF(P131:V131,Versiones!$G$3)&gt;0, COUNTIF(P131:V131,Versiones!$H$3)&gt;0), "Sprint 16", OR(COUNTIF(P131:V131,Versiones!$G$2)&gt;0, COUNTIF(P131:V131,Versiones!$H$2)&gt;0, COUNTIF(P131:V131,Versiones!$G$3)&gt;0, COUNTIF(P131:V131,Versiones!$H$3)&gt;0), "Sprint 16",TRUE, "")</f>
        <v>Sprint 16</v>
      </c>
      <c r="AF131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131" t="str" cm="1">
        <f t="array" ref="AG131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131" s="24" t="str" cm="1">
        <f t="array" ref="AH131">_xlfn.IFS(COUNTIF(P131:V131, Versiones!$A$13)&gt;0, "Funcional", COUNTIF(P131:V131, Versiones!$A$14)&gt;0, "Configuración", COUNTIF(P131:V131, Versiones!$A$15)&gt;0, "Look&amp;Feel", COUNTIF(P131:V131, Versiones!$A$16)&gt;0, "Integración", COUNTIF(P131:V131, Versiones!$A$17)&gt;0, "Contenido/Datos", COUNTIF(P131:V131, Versiones!$A$18)&gt;0, "Eventos_Cosmos", COUNTIF(P131:V131, Versiones!$A$19)&gt;0, "Eventos_iOT", COUNTIF(P131:V131, Versiones!$A$20)&gt;0, "Eventos_Fabric", TRUE, "No encontrado")</f>
        <v>Look&amp;Feel</v>
      </c>
    </row>
    <row r="132" spans="1:34" ht="15" customHeight="1">
      <c r="A132" s="45" t="s">
        <v>35</v>
      </c>
      <c r="B132" s="45" t="s">
        <v>399</v>
      </c>
      <c r="C132" s="45">
        <v>86036</v>
      </c>
      <c r="D132" s="45" t="s">
        <v>400</v>
      </c>
      <c r="E132" s="45">
        <v>87100</v>
      </c>
      <c r="F132" s="45" t="s">
        <v>38</v>
      </c>
      <c r="G132" s="45" t="s">
        <v>39</v>
      </c>
      <c r="H132" s="45" t="s">
        <v>54</v>
      </c>
      <c r="I132" s="45" t="s">
        <v>80</v>
      </c>
      <c r="J132" s="45" t="s">
        <v>126</v>
      </c>
      <c r="K132" s="45" t="s">
        <v>117</v>
      </c>
      <c r="L132" s="45" t="s">
        <v>118</v>
      </c>
      <c r="M132" s="45" t="s">
        <v>108</v>
      </c>
      <c r="N132" s="45" t="s">
        <v>200</v>
      </c>
      <c r="O132" s="45" t="s">
        <v>42</v>
      </c>
      <c r="P132" s="45" t="s">
        <v>64</v>
      </c>
      <c r="Q132" s="45" t="s">
        <v>390</v>
      </c>
      <c r="R132" s="45" t="s">
        <v>101</v>
      </c>
      <c r="S132" s="45" t="s">
        <v>103</v>
      </c>
      <c r="T132" s="45"/>
      <c r="U132" s="45"/>
      <c r="V132" s="45"/>
      <c r="W132" s="45" t="s">
        <v>65</v>
      </c>
      <c r="X132" s="60">
        <v>45881.646527777775</v>
      </c>
      <c r="Y132" s="45" t="s">
        <v>105</v>
      </c>
      <c r="Z132" s="45"/>
      <c r="AA132" s="45"/>
      <c r="AB132" t="str">
        <f>IF(LEFT(Jira__32[[#This Row],[Resumen]],3)="POS","POS",IF(LEFT(Jira__32[[#This Row],[Resumen]],3)="BOT","BOT",""))</f>
        <v>POS</v>
      </c>
      <c r="AC132" s="48" t="s">
        <v>220</v>
      </c>
      <c r="AE132" s="24" t="str" cm="1">
        <f t="array" ref="AE132">_xlfn.IFS(OR(COUNTIF(P132:V132,Versiones!$G$9)&gt;0, COUNTIF(P132:V132,Versiones!$H$8)&gt;0), "Sprint 21",OR(COUNTIF(P132:V132,Versiones!$G$8)&gt;0, COUNTIF(P132:V132,Versiones!$H$8)&gt;0, COUNTIF(P132:V132,Versiones!$I$8)&gt;0), "Sprint 20",OR(COUNTIF(P132:V132,Versiones!$G$7)&gt;0, COUNTIF(P132:V132,Versiones!$H$7)&gt;0, COUNTIF(P132:V132,Versiones!$I$7)&gt;0), "Sprint 19",OR(COUNTIF(P132:V132,Versiones!$G$6)&gt;0, COUNTIF(P132:V132,Versiones!$H$6)&gt;0, COUNTIF(P132:V132,Versiones!$I$6)&gt;0), "Sprint 18",OR(COUNTIF(P132:V132,Versiones!$G$4)&gt;0, COUNTIF(P132:V132,Versiones!$H$4)&gt;0, COUNTIF(P132:V132,Versiones!$G$5)&gt;0, COUNTIF(P132:V132,Versiones!$H$5)&gt;0), "Sprint 17",OR(COUNTIF(P132:V132,Versiones!$G$2)&gt;0, COUNTIF(P132:V132,Versiones!$H$2)&gt;0, COUNTIF(P132:V132,Versiones!$G$3)&gt;0, COUNTIF(P132:V132,Versiones!$H$3)&gt;0), "Sprint 16", OR(COUNTIF(P132:V132,Versiones!$G$2)&gt;0, COUNTIF(P132:V132,Versiones!$H$2)&gt;0, COUNTIF(P132:V132,Versiones!$G$3)&gt;0, COUNTIF(P132:V132,Versiones!$H$3)&gt;0), "Sprint 16",TRUE, "")</f>
        <v>Sprint 16</v>
      </c>
      <c r="AF132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32" t="str" cm="1">
        <f t="array" ref="AG132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32" s="24" t="str" cm="1">
        <f t="array" ref="AH132">_xlfn.IFS(COUNTIF(P132:V132, Versiones!$A$13)&gt;0, "Funcional", COUNTIF(P132:V132, Versiones!$A$14)&gt;0, "Configuración", COUNTIF(P132:V132, Versiones!$A$15)&gt;0, "Look&amp;Feel", COUNTIF(P132:V132, Versiones!$A$16)&gt;0, "Integración", COUNTIF(P132:V132, Versiones!$A$17)&gt;0, "Contenido/Datos", COUNTIF(P132:V132, Versiones!$A$18)&gt;0, "Eventos_Cosmos", COUNTIF(P132:V132, Versiones!$A$19)&gt;0, "Eventos_iOT", COUNTIF(P132:V132, Versiones!$A$20)&gt;0, "Eventos_Fabric", TRUE, "No encontrado")</f>
        <v>Contenido/Datos</v>
      </c>
    </row>
    <row r="133" spans="1:34" ht="15" customHeight="1">
      <c r="A133" s="45" t="s">
        <v>35</v>
      </c>
      <c r="B133" s="45" t="s">
        <v>401</v>
      </c>
      <c r="C133" s="45">
        <v>85607</v>
      </c>
      <c r="D133" s="45" t="s">
        <v>402</v>
      </c>
      <c r="E133" s="45">
        <v>87100</v>
      </c>
      <c r="F133" s="45" t="s">
        <v>38</v>
      </c>
      <c r="G133" s="45" t="s">
        <v>39</v>
      </c>
      <c r="H133" s="45" t="s">
        <v>54</v>
      </c>
      <c r="I133" s="45" t="s">
        <v>80</v>
      </c>
      <c r="J133" s="45" t="s">
        <v>117</v>
      </c>
      <c r="K133" s="45" t="s">
        <v>118</v>
      </c>
      <c r="L133" s="45" t="s">
        <v>108</v>
      </c>
      <c r="M133" s="45" t="s">
        <v>200</v>
      </c>
      <c r="N133" s="45" t="s">
        <v>42</v>
      </c>
      <c r="O133" s="45"/>
      <c r="P133" s="45" t="s">
        <v>43</v>
      </c>
      <c r="Q133" s="45" t="s">
        <v>403</v>
      </c>
      <c r="R133" s="45"/>
      <c r="S133" s="45"/>
      <c r="T133" s="45"/>
      <c r="U133" s="45"/>
      <c r="V133" s="45"/>
      <c r="W133" s="45" t="s">
        <v>45</v>
      </c>
      <c r="X133" s="60">
        <v>45880.621527777781</v>
      </c>
      <c r="Y133" s="45"/>
      <c r="Z133" s="45"/>
      <c r="AA133" s="45"/>
      <c r="AB133" t="str">
        <f>IF(LEFT(Jira__32[[#This Row],[Resumen]],3)="POS","POS",IF(LEFT(Jira__32[[#This Row],[Resumen]],3)="BOT","BOT",""))</f>
        <v>BOT</v>
      </c>
      <c r="AC133" t="s">
        <v>176</v>
      </c>
      <c r="AE133" s="24" t="str" cm="1">
        <f t="array" ref="AE133">_xlfn.IFS(OR(COUNTIF(P133:V133,Versiones!$G$9)&gt;0, COUNTIF(P133:V133,Versiones!$H$8)&gt;0), "Sprint 21",OR(COUNTIF(P133:V133,Versiones!$G$8)&gt;0, COUNTIF(P133:V133,Versiones!$H$8)&gt;0, COUNTIF(P133:V133,Versiones!$I$8)&gt;0), "Sprint 20",OR(COUNTIF(P133:V133,Versiones!$G$7)&gt;0, COUNTIF(P133:V133,Versiones!$H$7)&gt;0, COUNTIF(P133:V133,Versiones!$I$7)&gt;0), "Sprint 19",OR(COUNTIF(P133:V133,Versiones!$G$6)&gt;0, COUNTIF(P133:V133,Versiones!$H$6)&gt;0, COUNTIF(P133:V133,Versiones!$I$6)&gt;0), "Sprint 18",OR(COUNTIF(P133:V133,Versiones!$G$4)&gt;0, COUNTIF(P133:V133,Versiones!$H$4)&gt;0, COUNTIF(P133:V133,Versiones!$G$5)&gt;0, COUNTIF(P133:V133,Versiones!$H$5)&gt;0), "Sprint 17",OR(COUNTIF(P133:V133,Versiones!$G$2)&gt;0, COUNTIF(P133:V133,Versiones!$H$2)&gt;0, COUNTIF(P133:V133,Versiones!$G$3)&gt;0, COUNTIF(P133:V133,Versiones!$H$3)&gt;0), "Sprint 16", OR(COUNTIF(P133:V133,Versiones!$G$2)&gt;0, COUNTIF(P133:V133,Versiones!$H$2)&gt;0, COUNTIF(P133:V133,Versiones!$G$3)&gt;0, COUNTIF(P133:V133,Versiones!$H$3)&gt;0), "Sprint 16",TRUE, "")</f>
        <v>Sprint 16</v>
      </c>
      <c r="AF133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</v>
      </c>
      <c r="AG133" t="str" cm="1">
        <f t="array" ref="AG133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N/A</v>
      </c>
      <c r="AH133" s="24" t="str" cm="1">
        <f t="array" ref="AH133">_xlfn.IFS(COUNTIF(P133:V133, Versiones!$A$13)&gt;0, "Funcional", COUNTIF(P133:V133, Versiones!$A$14)&gt;0, "Configuración", COUNTIF(P133:V133, Versiones!$A$15)&gt;0, "Look&amp;Feel", COUNTIF(P133:V133, Versiones!$A$16)&gt;0, "Integración", COUNTIF(P133:V133, Versiones!$A$17)&gt;0, "Contenido/Datos", COUNTIF(P133:V133, Versiones!$A$18)&gt;0, "Eventos_Cosmos", COUNTIF(P133:V133, Versiones!$A$19)&gt;0, "Eventos_iOT", COUNTIF(P133:V133, Versiones!$A$20)&gt;0, "Eventos_Fabric", TRUE, "No encontrado")</f>
        <v>Funcional</v>
      </c>
    </row>
    <row r="134" spans="1:34" ht="15" customHeight="1">
      <c r="A134" s="45" t="s">
        <v>35</v>
      </c>
      <c r="B134" s="45" t="s">
        <v>404</v>
      </c>
      <c r="C134" s="45">
        <v>85515</v>
      </c>
      <c r="D134" s="45" t="s">
        <v>405</v>
      </c>
      <c r="E134" s="45">
        <v>87100</v>
      </c>
      <c r="F134" s="45" t="s">
        <v>38</v>
      </c>
      <c r="G134" s="45" t="s">
        <v>39</v>
      </c>
      <c r="H134" s="45" t="s">
        <v>54</v>
      </c>
      <c r="I134" s="45" t="s">
        <v>84</v>
      </c>
      <c r="J134" s="45" t="s">
        <v>117</v>
      </c>
      <c r="K134" s="45"/>
      <c r="L134" s="45"/>
      <c r="M134" s="45"/>
      <c r="N134" s="45"/>
      <c r="O134" s="45"/>
      <c r="P134" s="45" t="s">
        <v>55</v>
      </c>
      <c r="Q134" s="45" t="s">
        <v>403</v>
      </c>
      <c r="R134" s="45" t="s">
        <v>100</v>
      </c>
      <c r="S134" s="45" t="s">
        <v>102</v>
      </c>
      <c r="T134" s="45" t="s">
        <v>103</v>
      </c>
      <c r="U134" s="45"/>
      <c r="V134" s="45"/>
      <c r="W134" s="45" t="s">
        <v>45</v>
      </c>
      <c r="X134" s="60">
        <v>45880.470833333333</v>
      </c>
      <c r="Y134" s="45" t="s">
        <v>121</v>
      </c>
      <c r="Z134" s="45"/>
      <c r="AA134" s="45"/>
      <c r="AB134" t="str">
        <f>IF(LEFT(Jira__32[[#This Row],[Resumen]],3)="POS","POS",IF(LEFT(Jira__32[[#This Row],[Resumen]],3)="BOT","BOT",""))</f>
        <v>BOT</v>
      </c>
      <c r="AC134" s="10" t="s">
        <v>133</v>
      </c>
      <c r="AE134" s="24" t="str" cm="1">
        <f t="array" ref="AE134">_xlfn.IFS(OR(COUNTIF(P134:V134,Versiones!$G$9)&gt;0, COUNTIF(P134:V134,Versiones!$H$8)&gt;0), "Sprint 21",OR(COUNTIF(P134:V134,Versiones!$G$8)&gt;0, COUNTIF(P134:V134,Versiones!$H$8)&gt;0, COUNTIF(P134:V134,Versiones!$I$8)&gt;0), "Sprint 20",OR(COUNTIF(P134:V134,Versiones!$G$7)&gt;0, COUNTIF(P134:V134,Versiones!$H$7)&gt;0, COUNTIF(P134:V134,Versiones!$I$7)&gt;0), "Sprint 19",OR(COUNTIF(P134:V134,Versiones!$G$6)&gt;0, COUNTIF(P134:V134,Versiones!$H$6)&gt;0, COUNTIF(P134:V134,Versiones!$I$6)&gt;0), "Sprint 18",OR(COUNTIF(P134:V134,Versiones!$G$4)&gt;0, COUNTIF(P134:V134,Versiones!$H$4)&gt;0, COUNTIF(P134:V134,Versiones!$G$5)&gt;0, COUNTIF(P134:V134,Versiones!$H$5)&gt;0), "Sprint 17",OR(COUNTIF(P134:V134,Versiones!$G$2)&gt;0, COUNTIF(P134:V134,Versiones!$H$2)&gt;0, COUNTIF(P134:V134,Versiones!$G$3)&gt;0, COUNTIF(P134:V134,Versiones!$H$3)&gt;0), "Sprint 16", OR(COUNTIF(P134:V134,Versiones!$G$2)&gt;0, COUNTIF(P134:V134,Versiones!$H$2)&gt;0, COUNTIF(P134:V134,Versiones!$G$3)&gt;0, COUNTIF(P134:V134,Versiones!$H$3)&gt;0), "Sprint 16",TRUE, "")</f>
        <v>Sprint 16</v>
      </c>
      <c r="AF134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34" t="str" cm="1">
        <f t="array" ref="AG134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34" s="24" t="str" cm="1">
        <f t="array" ref="AH134">_xlfn.IFS(COUNTIF(P134:V134, Versiones!$A$13)&gt;0, "Funcional", COUNTIF(P134:V134, Versiones!$A$14)&gt;0, "Configuración", COUNTIF(P134:V134, Versiones!$A$15)&gt;0, "Look&amp;Feel", COUNTIF(P134:V134, Versiones!$A$16)&gt;0, "Integración", COUNTIF(P134:V134, Versiones!$A$17)&gt;0, "Contenido/Datos", COUNTIF(P134:V134, Versiones!$A$18)&gt;0, "Eventos_Cosmos", COUNTIF(P134:V134, Versiones!$A$19)&gt;0, "Eventos_iOT", COUNTIF(P134:V134, Versiones!$A$20)&gt;0, "Eventos_Fabric", TRUE, "No encontrado")</f>
        <v>Look&amp;Feel</v>
      </c>
    </row>
    <row r="135" spans="1:34" ht="15" customHeight="1">
      <c r="A135" s="45" t="s">
        <v>35</v>
      </c>
      <c r="B135" s="45" t="s">
        <v>406</v>
      </c>
      <c r="C135" s="45">
        <v>84751</v>
      </c>
      <c r="D135" s="45" t="s">
        <v>407</v>
      </c>
      <c r="H135" s="45" t="s">
        <v>54</v>
      </c>
      <c r="I135" s="45" t="s">
        <v>84</v>
      </c>
      <c r="J135" s="45" t="s">
        <v>117</v>
      </c>
      <c r="K135" s="45" t="s">
        <v>118</v>
      </c>
      <c r="L135" s="45" t="s">
        <v>97</v>
      </c>
      <c r="M135" s="45"/>
      <c r="N135" s="45"/>
      <c r="O135" s="45"/>
      <c r="P135" s="45" t="s">
        <v>64</v>
      </c>
      <c r="Q135" s="45" t="s">
        <v>403</v>
      </c>
      <c r="R135" s="45" t="s">
        <v>101</v>
      </c>
      <c r="S135" s="45" t="s">
        <v>102</v>
      </c>
      <c r="T135" s="45" t="s">
        <v>103</v>
      </c>
      <c r="U135" s="45"/>
      <c r="V135" s="45"/>
      <c r="W135" s="45" t="s">
        <v>45</v>
      </c>
      <c r="X135" s="60">
        <v>45877.421527777777</v>
      </c>
      <c r="Y135" s="45" t="s">
        <v>121</v>
      </c>
      <c r="Z135" s="45"/>
      <c r="AA135" s="45"/>
      <c r="AB135" t="str">
        <f>IF(LEFT(Jira__32[[#This Row],[Resumen]],3)="POS","POS",IF(LEFT(Jira__32[[#This Row],[Resumen]],3)="BOT","BOT",""))</f>
        <v>POS</v>
      </c>
      <c r="AC135" s="10"/>
      <c r="AE135" s="24" t="str" cm="1">
        <f t="array" ref="AE135">_xlfn.IFS(OR(COUNTIF(P135:V135,Versiones!$G$9)&gt;0, COUNTIF(P135:V135,Versiones!$H$8)&gt;0), "Sprint 21",OR(COUNTIF(P135:V135,Versiones!$G$8)&gt;0, COUNTIF(P135:V135,Versiones!$H$8)&gt;0, COUNTIF(P135:V135,Versiones!$I$8)&gt;0), "Sprint 20",OR(COUNTIF(P135:V135,Versiones!$G$7)&gt;0, COUNTIF(P135:V135,Versiones!$H$7)&gt;0, COUNTIF(P135:V135,Versiones!$I$7)&gt;0), "Sprint 19",OR(COUNTIF(P135:V135,Versiones!$G$6)&gt;0, COUNTIF(P135:V135,Versiones!$H$6)&gt;0, COUNTIF(P135:V135,Versiones!$I$6)&gt;0), "Sprint 18",OR(COUNTIF(P135:V135,Versiones!$G$4)&gt;0, COUNTIF(P135:V135,Versiones!$H$4)&gt;0, COUNTIF(P135:V135,Versiones!$G$5)&gt;0, COUNTIF(P135:V135,Versiones!$H$5)&gt;0), "Sprint 17",OR(COUNTIF(P135:V135,Versiones!$G$2)&gt;0, COUNTIF(P135:V135,Versiones!$H$2)&gt;0, COUNTIF(P135:V135,Versiones!$G$3)&gt;0, COUNTIF(P135:V135,Versiones!$H$3)&gt;0), "Sprint 16", OR(COUNTIF(P135:V135,Versiones!$G$2)&gt;0, COUNTIF(P135:V135,Versiones!$H$2)&gt;0, COUNTIF(P135:V135,Versiones!$G$3)&gt;0, COUNTIF(P135:V135,Versiones!$H$3)&gt;0), "Sprint 16",TRUE, "")</f>
        <v>Sprint 16</v>
      </c>
      <c r="AF135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35" t="str" cm="1">
        <f t="array" ref="AG135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35" s="24" t="str" cm="1">
        <f t="array" ref="AH135">_xlfn.IFS(COUNTIF(P135:V135, Versiones!$A$13)&gt;0, "Funcional", COUNTIF(P135:V135, Versiones!$A$14)&gt;0, "Configuración", COUNTIF(P135:V135, Versiones!$A$15)&gt;0, "Look&amp;Feel", COUNTIF(P135:V135, Versiones!$A$16)&gt;0, "Integración", COUNTIF(P135:V135, Versiones!$A$17)&gt;0, "Contenido/Datos", COUNTIF(P135:V135, Versiones!$A$18)&gt;0, "Eventos_Cosmos", COUNTIF(P135:V135, Versiones!$A$19)&gt;0, "Eventos_iOT", COUNTIF(P135:V135, Versiones!$A$20)&gt;0, "Eventos_Fabric", TRUE, "No encontrado")</f>
        <v>Contenido/Datos</v>
      </c>
    </row>
    <row r="136" spans="1:34" ht="15" customHeight="1">
      <c r="A136" s="45" t="s">
        <v>35</v>
      </c>
      <c r="B136" s="45" t="s">
        <v>408</v>
      </c>
      <c r="C136" s="45">
        <v>84623</v>
      </c>
      <c r="D136" s="45" t="s">
        <v>409</v>
      </c>
      <c r="H136" s="45" t="s">
        <v>54</v>
      </c>
      <c r="I136" s="45" t="s">
        <v>41</v>
      </c>
      <c r="J136" s="45" t="s">
        <v>117</v>
      </c>
      <c r="K136" s="45" t="s">
        <v>118</v>
      </c>
      <c r="L136" s="45" t="s">
        <v>97</v>
      </c>
      <c r="M136" s="45"/>
      <c r="N136" s="45"/>
      <c r="O136" s="45"/>
      <c r="P136" s="45" t="s">
        <v>64</v>
      </c>
      <c r="Q136" s="45" t="s">
        <v>403</v>
      </c>
      <c r="R136" s="45" t="s">
        <v>100</v>
      </c>
      <c r="S136" s="45" t="s">
        <v>102</v>
      </c>
      <c r="T136" s="45" t="s">
        <v>103</v>
      </c>
      <c r="U136" s="45"/>
      <c r="V136" s="45"/>
      <c r="W136" s="45" t="s">
        <v>45</v>
      </c>
      <c r="X136" s="60">
        <v>45877.323611111111</v>
      </c>
      <c r="Y136" s="45" t="s">
        <v>121</v>
      </c>
      <c r="Z136" s="45"/>
      <c r="AA136" s="45"/>
      <c r="AB136" t="str">
        <f>IF(LEFT(Jira__32[[#This Row],[Resumen]],3)="POS","POS",IF(LEFT(Jira__32[[#This Row],[Resumen]],3)="BOT","BOT",""))</f>
        <v>BOT</v>
      </c>
      <c r="AC136" s="10"/>
      <c r="AE136" s="24" t="str" cm="1">
        <f t="array" ref="AE136">_xlfn.IFS(OR(COUNTIF(P136:V136,Versiones!$G$9)&gt;0, COUNTIF(P136:V136,Versiones!$H$8)&gt;0), "Sprint 21",OR(COUNTIF(P136:V136,Versiones!$G$8)&gt;0, COUNTIF(P136:V136,Versiones!$H$8)&gt;0, COUNTIF(P136:V136,Versiones!$I$8)&gt;0), "Sprint 20",OR(COUNTIF(P136:V136,Versiones!$G$7)&gt;0, COUNTIF(P136:V136,Versiones!$H$7)&gt;0, COUNTIF(P136:V136,Versiones!$I$7)&gt;0), "Sprint 19",OR(COUNTIF(P136:V136,Versiones!$G$6)&gt;0, COUNTIF(P136:V136,Versiones!$H$6)&gt;0, COUNTIF(P136:V136,Versiones!$I$6)&gt;0), "Sprint 18",OR(COUNTIF(P136:V136,Versiones!$G$4)&gt;0, COUNTIF(P136:V136,Versiones!$H$4)&gt;0, COUNTIF(P136:V136,Versiones!$G$5)&gt;0, COUNTIF(P136:V136,Versiones!$H$5)&gt;0), "Sprint 17",OR(COUNTIF(P136:V136,Versiones!$G$2)&gt;0, COUNTIF(P136:V136,Versiones!$H$2)&gt;0, COUNTIF(P136:V136,Versiones!$G$3)&gt;0, COUNTIF(P136:V136,Versiones!$H$3)&gt;0), "Sprint 16", OR(COUNTIF(P136:V136,Versiones!$G$2)&gt;0, COUNTIF(P136:V136,Versiones!$H$2)&gt;0, COUNTIF(P136:V136,Versiones!$G$3)&gt;0, COUNTIF(P136:V136,Versiones!$H$3)&gt;0), "Sprint 16",TRUE, "")</f>
        <v>Sprint 16</v>
      </c>
      <c r="AF136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36" t="str" cm="1">
        <f t="array" ref="AG136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36" s="24" t="str" cm="1">
        <f t="array" ref="AH136">_xlfn.IFS(COUNTIF(P136:V136, Versiones!$A$13)&gt;0, "Funcional", COUNTIF(P136:V136, Versiones!$A$14)&gt;0, "Configuración", COUNTIF(P136:V136, Versiones!$A$15)&gt;0, "Look&amp;Feel", COUNTIF(P136:V136, Versiones!$A$16)&gt;0, "Integración", COUNTIF(P136:V136, Versiones!$A$17)&gt;0, "Contenido/Datos", COUNTIF(P136:V136, Versiones!$A$18)&gt;0, "Eventos_Cosmos", COUNTIF(P136:V136, Versiones!$A$19)&gt;0, "Eventos_iOT", COUNTIF(P136:V136, Versiones!$A$20)&gt;0, "Eventos_Fabric", TRUE, "No encontrado")</f>
        <v>Contenido/Datos</v>
      </c>
    </row>
    <row r="137" spans="1:34" ht="15" customHeight="1">
      <c r="A137" s="45" t="s">
        <v>35</v>
      </c>
      <c r="B137" s="45" t="s">
        <v>410</v>
      </c>
      <c r="C137" s="45">
        <v>84620</v>
      </c>
      <c r="D137" s="45" t="s">
        <v>411</v>
      </c>
      <c r="H137" s="45" t="s">
        <v>54</v>
      </c>
      <c r="I137" s="45" t="s">
        <v>84</v>
      </c>
      <c r="J137" s="45" t="s">
        <v>117</v>
      </c>
      <c r="K137" s="45" t="s">
        <v>118</v>
      </c>
      <c r="L137" s="45" t="s">
        <v>97</v>
      </c>
      <c r="M137" s="45"/>
      <c r="N137" s="45"/>
      <c r="O137" s="45"/>
      <c r="P137" s="45" t="s">
        <v>43</v>
      </c>
      <c r="Q137" s="45" t="s">
        <v>403</v>
      </c>
      <c r="R137" s="45" t="s">
        <v>101</v>
      </c>
      <c r="S137" s="45" t="s">
        <v>102</v>
      </c>
      <c r="T137" s="45" t="s">
        <v>103</v>
      </c>
      <c r="U137" s="45"/>
      <c r="V137" s="45"/>
      <c r="W137" s="45" t="s">
        <v>45</v>
      </c>
      <c r="X137" s="60">
        <v>45877.289583333331</v>
      </c>
      <c r="Y137" s="45" t="s">
        <v>121</v>
      </c>
      <c r="Z137" s="45"/>
      <c r="AA137" s="45"/>
      <c r="AB137" t="str">
        <f>IF(LEFT(Jira__32[[#This Row],[Resumen]],3)="POS","POS",IF(LEFT(Jira__32[[#This Row],[Resumen]],3)="BOT","BOT",""))</f>
        <v>POS</v>
      </c>
      <c r="AC137" s="10"/>
      <c r="AE137" s="24" t="str" cm="1">
        <f t="array" ref="AE137">_xlfn.IFS(OR(COUNTIF(P137:V137,Versiones!$G$9)&gt;0, COUNTIF(P137:V137,Versiones!$H$8)&gt;0), "Sprint 21",OR(COUNTIF(P137:V137,Versiones!$G$8)&gt;0, COUNTIF(P137:V137,Versiones!$H$8)&gt;0, COUNTIF(P137:V137,Versiones!$I$8)&gt;0), "Sprint 20",OR(COUNTIF(P137:V137,Versiones!$G$7)&gt;0, COUNTIF(P137:V137,Versiones!$H$7)&gt;0, COUNTIF(P137:V137,Versiones!$I$7)&gt;0), "Sprint 19",OR(COUNTIF(P137:V137,Versiones!$G$6)&gt;0, COUNTIF(P137:V137,Versiones!$H$6)&gt;0, COUNTIF(P137:V137,Versiones!$I$6)&gt;0), "Sprint 18",OR(COUNTIF(P137:V137,Versiones!$G$4)&gt;0, COUNTIF(P137:V137,Versiones!$H$4)&gt;0, COUNTIF(P137:V137,Versiones!$G$5)&gt;0, COUNTIF(P137:V137,Versiones!$H$5)&gt;0), "Sprint 17",OR(COUNTIF(P137:V137,Versiones!$G$2)&gt;0, COUNTIF(P137:V137,Versiones!$H$2)&gt;0, COUNTIF(P137:V137,Versiones!$G$3)&gt;0, COUNTIF(P137:V137,Versiones!$H$3)&gt;0), "Sprint 16", OR(COUNTIF(P137:V137,Versiones!$G$2)&gt;0, COUNTIF(P137:V137,Versiones!$H$2)&gt;0, COUNTIF(P137:V137,Versiones!$G$3)&gt;0, COUNTIF(P137:V137,Versiones!$H$3)&gt;0), "Sprint 16",TRUE, "")</f>
        <v>Sprint 16</v>
      </c>
      <c r="AF137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37" t="str" cm="1">
        <f t="array" ref="AG137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37" s="24" t="str" cm="1">
        <f t="array" ref="AH137">_xlfn.IFS(COUNTIF(P137:V137, Versiones!$A$13)&gt;0, "Funcional", COUNTIF(P137:V137, Versiones!$A$14)&gt;0, "Configuración", COUNTIF(P137:V137, Versiones!$A$15)&gt;0, "Look&amp;Feel", COUNTIF(P137:V137, Versiones!$A$16)&gt;0, "Integración", COUNTIF(P137:V137, Versiones!$A$17)&gt;0, "Contenido/Datos", COUNTIF(P137:V137, Versiones!$A$18)&gt;0, "Eventos_Cosmos", COUNTIF(P137:V137, Versiones!$A$19)&gt;0, "Eventos_iOT", COUNTIF(P137:V137, Versiones!$A$20)&gt;0, "Eventos_Fabric", TRUE, "No encontrado")</f>
        <v>Funcional</v>
      </c>
    </row>
    <row r="138" spans="1:34" ht="15" customHeight="1">
      <c r="A138" s="45" t="s">
        <v>35</v>
      </c>
      <c r="B138" s="45" t="s">
        <v>412</v>
      </c>
      <c r="C138" s="45">
        <v>84449</v>
      </c>
      <c r="D138" s="45" t="s">
        <v>413</v>
      </c>
      <c r="H138" s="45" t="s">
        <v>54</v>
      </c>
      <c r="I138" s="45" t="s">
        <v>80</v>
      </c>
      <c r="J138" s="45" t="s">
        <v>117</v>
      </c>
      <c r="K138" s="45" t="s">
        <v>118</v>
      </c>
      <c r="L138" s="45" t="s">
        <v>108</v>
      </c>
      <c r="M138" s="45" t="s">
        <v>200</v>
      </c>
      <c r="N138" s="45" t="s">
        <v>42</v>
      </c>
      <c r="O138" s="45"/>
      <c r="P138" s="45" t="s">
        <v>43</v>
      </c>
      <c r="Q138" s="45" t="s">
        <v>403</v>
      </c>
      <c r="R138" s="45" t="s">
        <v>101</v>
      </c>
      <c r="S138" s="45" t="s">
        <v>103</v>
      </c>
      <c r="T138" s="45"/>
      <c r="U138" s="45"/>
      <c r="V138" s="45"/>
      <c r="W138" s="45" t="s">
        <v>45</v>
      </c>
      <c r="X138" s="60">
        <v>45876.560416666667</v>
      </c>
      <c r="Y138" s="45" t="s">
        <v>121</v>
      </c>
      <c r="Z138" s="45"/>
      <c r="AA138" s="45"/>
      <c r="AB138" t="str">
        <f>IF(LEFT(Jira__32[[#This Row],[Resumen]],3)="POS","POS",IF(LEFT(Jira__32[[#This Row],[Resumen]],3)="BOT","BOT",""))</f>
        <v>POS</v>
      </c>
      <c r="AC138" s="10"/>
      <c r="AE138" s="24" t="str" cm="1">
        <f t="array" ref="AE138">_xlfn.IFS(OR(COUNTIF(P138:V138,Versiones!$G$9)&gt;0, COUNTIF(P138:V138,Versiones!$H$8)&gt;0), "Sprint 21",OR(COUNTIF(P138:V138,Versiones!$G$8)&gt;0, COUNTIF(P138:V138,Versiones!$H$8)&gt;0, COUNTIF(P138:V138,Versiones!$I$8)&gt;0), "Sprint 20",OR(COUNTIF(P138:V138,Versiones!$G$7)&gt;0, COUNTIF(P138:V138,Versiones!$H$7)&gt;0, COUNTIF(P138:V138,Versiones!$I$7)&gt;0), "Sprint 19",OR(COUNTIF(P138:V138,Versiones!$G$6)&gt;0, COUNTIF(P138:V138,Versiones!$H$6)&gt;0, COUNTIF(P138:V138,Versiones!$I$6)&gt;0), "Sprint 18",OR(COUNTIF(P138:V138,Versiones!$G$4)&gt;0, COUNTIF(P138:V138,Versiones!$H$4)&gt;0, COUNTIF(P138:V138,Versiones!$G$5)&gt;0, COUNTIF(P138:V138,Versiones!$H$5)&gt;0), "Sprint 17",OR(COUNTIF(P138:V138,Versiones!$G$2)&gt;0, COUNTIF(P138:V138,Versiones!$H$2)&gt;0, COUNTIF(P138:V138,Versiones!$G$3)&gt;0, COUNTIF(P138:V138,Versiones!$H$3)&gt;0), "Sprint 16", OR(COUNTIF(P138:V138,Versiones!$G$2)&gt;0, COUNTIF(P138:V138,Versiones!$H$2)&gt;0, COUNTIF(P138:V138,Versiones!$G$3)&gt;0, COUNTIF(P138:V138,Versiones!$H$3)&gt;0), "Sprint 16",TRUE, "")</f>
        <v>Sprint 16</v>
      </c>
      <c r="AF138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v0.6</v>
      </c>
      <c r="AG138" t="str" cm="1">
        <f t="array" ref="AG138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18</v>
      </c>
      <c r="AH138" s="24" t="str" cm="1">
        <f t="array" ref="AH138">_xlfn.IFS(COUNTIF(P138:V138, Versiones!$A$13)&gt;0, "Funcional", COUNTIF(P138:V138, Versiones!$A$14)&gt;0, "Configuración", COUNTIF(P138:V138, Versiones!$A$15)&gt;0, "Look&amp;Feel", COUNTIF(P138:V138, Versiones!$A$16)&gt;0, "Integración", COUNTIF(P138:V138, Versiones!$A$17)&gt;0, "Contenido/Datos", COUNTIF(P138:V138, Versiones!$A$18)&gt;0, "Eventos_Cosmos", COUNTIF(P138:V138, Versiones!$A$19)&gt;0, "Eventos_iOT", COUNTIF(P138:V138, Versiones!$A$20)&gt;0, "Eventos_Fabric", TRUE, "No encontrado")</f>
        <v>Funcional</v>
      </c>
    </row>
    <row r="139" spans="1:34" ht="15" customHeight="1">
      <c r="A139" s="45" t="s">
        <v>35</v>
      </c>
      <c r="B139" s="45" t="s">
        <v>414</v>
      </c>
      <c r="C139" s="45">
        <v>84277</v>
      </c>
      <c r="D139" s="45" t="s">
        <v>415</v>
      </c>
      <c r="H139" s="45" t="s">
        <v>54</v>
      </c>
      <c r="I139" s="45" t="s">
        <v>84</v>
      </c>
      <c r="J139" s="45" t="s">
        <v>117</v>
      </c>
      <c r="K139" s="45" t="s">
        <v>118</v>
      </c>
      <c r="L139" s="45" t="s">
        <v>97</v>
      </c>
      <c r="M139" s="45"/>
      <c r="N139" s="45"/>
      <c r="O139" s="45"/>
      <c r="P139" s="45" t="s">
        <v>64</v>
      </c>
      <c r="Q139" s="45" t="s">
        <v>403</v>
      </c>
      <c r="R139" s="45" t="s">
        <v>101</v>
      </c>
      <c r="S139" s="45" t="s">
        <v>103</v>
      </c>
      <c r="T139" s="45"/>
      <c r="U139" s="45"/>
      <c r="V139" s="45"/>
      <c r="W139" s="45" t="s">
        <v>45</v>
      </c>
      <c r="X139" s="60">
        <v>45876.388194444444</v>
      </c>
      <c r="Y139" s="45" t="s">
        <v>105</v>
      </c>
      <c r="Z139" s="45"/>
      <c r="AA139" s="45"/>
      <c r="AB139" t="str">
        <f>IF(LEFT(Jira__32[[#This Row],[Resumen]],3)="POS","POS",IF(LEFT(Jira__32[[#This Row],[Resumen]],3)="BOT","BOT",""))</f>
        <v>POS</v>
      </c>
      <c r="AC139" s="10"/>
      <c r="AE139" s="24" t="str" cm="1">
        <f t="array" ref="AE139">_xlfn.IFS(OR(COUNTIF(P139:V139,Versiones!$G$9)&gt;0, COUNTIF(P139:V139,Versiones!$H$8)&gt;0), "Sprint 21",OR(COUNTIF(P139:V139,Versiones!$G$8)&gt;0, COUNTIF(P139:V139,Versiones!$H$8)&gt;0, COUNTIF(P139:V139,Versiones!$I$8)&gt;0), "Sprint 20",OR(COUNTIF(P139:V139,Versiones!$G$7)&gt;0, COUNTIF(P139:V139,Versiones!$H$7)&gt;0, COUNTIF(P139:V139,Versiones!$I$7)&gt;0), "Sprint 19",OR(COUNTIF(P139:V139,Versiones!$G$6)&gt;0, COUNTIF(P139:V139,Versiones!$H$6)&gt;0, COUNTIF(P139:V139,Versiones!$I$6)&gt;0), "Sprint 18",OR(COUNTIF(P139:V139,Versiones!$G$4)&gt;0, COUNTIF(P139:V139,Versiones!$H$4)&gt;0, COUNTIF(P139:V139,Versiones!$G$5)&gt;0, COUNTIF(P139:V139,Versiones!$H$5)&gt;0), "Sprint 17",OR(COUNTIF(P139:V139,Versiones!$G$2)&gt;0, COUNTIF(P139:V139,Versiones!$H$2)&gt;0, COUNTIF(P139:V139,Versiones!$G$3)&gt;0, COUNTIF(P139:V139,Versiones!$H$3)&gt;0), "Sprint 16", OR(COUNTIF(P139:V139,Versiones!$G$2)&gt;0, COUNTIF(P139:V139,Versiones!$H$2)&gt;0, COUNTIF(P139:V139,Versiones!$G$3)&gt;0, COUNTIF(P139:V139,Versiones!$H$3)&gt;0), "Sprint 16",TRUE, "")</f>
        <v>Sprint 16</v>
      </c>
      <c r="AF139" t="str">
        <f>"v"&amp;MAX(
    IFERROR(VALUE(MID(Jira__32[[#This Row],[Versiones corregidas]],2,99)),0),
    IFERROR(VALUE(MID(Jira__32[[#This Row],[Versiones corregidas_13]],2,99)),0),
    IFERROR(VALUE(MID(Jira__32[[#This Row],[Versiones corregidas_14]],2,99)),0)
)</f>
        <v>v0.5</v>
      </c>
      <c r="AG139" t="str" cm="1">
        <f t="array" ref="AG139">_xlfn.IFS(Jira__32[[#This Row],[¿En qué versión fue corregido?]]="v0","N/A",Jira__32[[#This Row],[¿En qué versión fue corregido?]]="v0.4","Sprint 16", Jira__32[[#This Row],[¿En qué versión fue corregido?]]="v0.5","Sprint 17", Jira__32[[#This Row],[¿En qué versión fue corregido?]]="v0.6","Sprint 18", Jira__32[[#This Row],[¿En qué versión fue corregido?]]="v0.7","Sprint 19",  Jira__32[[#This Row],[¿En qué versión fue corregido?]]="v0.8","Sprint 20",Jira__32[[#This Row],[¿En qué versión fue corregido?]]="v0.9","Sprint 21", TRUE,"Desconocido")</f>
        <v>Sprint 17</v>
      </c>
      <c r="AH139" s="24" t="str" cm="1">
        <f t="array" ref="AH139">_xlfn.IFS(COUNTIF(P139:V139, Versiones!$A$13)&gt;0, "Funcional", COUNTIF(P139:V139, Versiones!$A$14)&gt;0, "Configuración", COUNTIF(P139:V139, Versiones!$A$15)&gt;0, "Look&amp;Feel", COUNTIF(P139:V139, Versiones!$A$16)&gt;0, "Integración", COUNTIF(P139:V139, Versiones!$A$17)&gt;0, "Contenido/Datos", COUNTIF(P139:V139, Versiones!$A$18)&gt;0, "Eventos_Cosmos", COUNTIF(P139:V139, Versiones!$A$19)&gt;0, "Eventos_iOT", COUNTIF(P139:V139, Versiones!$A$20)&gt;0, "Eventos_Fabric", TRUE, "No encontrado")</f>
        <v>Contenido/Datos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0F84-EC9F-4E04-BEB6-E11F8A0D1785}">
  <dimension ref="A1:I20"/>
  <sheetViews>
    <sheetView workbookViewId="0">
      <selection activeCell="A6" sqref="A6"/>
    </sheetView>
  </sheetViews>
  <sheetFormatPr defaultColWidth="11.42578125" defaultRowHeight="15"/>
  <cols>
    <col min="1" max="1" width="15.85546875" bestFit="1" customWidth="1"/>
    <col min="3" max="3" width="12.140625" bestFit="1" customWidth="1"/>
    <col min="7" max="7" width="18.7109375" bestFit="1" customWidth="1"/>
    <col min="8" max="8" width="14.42578125" bestFit="1" customWidth="1"/>
    <col min="9" max="9" width="15.7109375" bestFit="1" customWidth="1"/>
  </cols>
  <sheetData>
    <row r="1" spans="1:9">
      <c r="A1" s="61" t="s">
        <v>416</v>
      </c>
      <c r="B1" s="61" t="s">
        <v>10</v>
      </c>
      <c r="C1" s="61" t="s">
        <v>417</v>
      </c>
      <c r="D1" s="61" t="s">
        <v>418</v>
      </c>
      <c r="E1" s="61" t="s">
        <v>419</v>
      </c>
      <c r="F1" s="62"/>
      <c r="G1" s="104" t="s">
        <v>16</v>
      </c>
      <c r="H1" s="104"/>
      <c r="I1" s="104"/>
    </row>
    <row r="2" spans="1:9">
      <c r="A2" s="8" t="s">
        <v>420</v>
      </c>
      <c r="B2" s="103">
        <v>16</v>
      </c>
      <c r="C2" s="8" t="s">
        <v>421</v>
      </c>
      <c r="D2" s="8" t="s">
        <v>422</v>
      </c>
      <c r="E2" s="8">
        <v>1015.742</v>
      </c>
      <c r="F2" s="8">
        <v>95</v>
      </c>
      <c r="G2" s="10" t="s">
        <v>403</v>
      </c>
      <c r="H2" s="11" t="s">
        <v>99</v>
      </c>
      <c r="I2" s="10"/>
    </row>
    <row r="3" spans="1:9">
      <c r="A3" s="8" t="s">
        <v>423</v>
      </c>
      <c r="B3" s="103"/>
      <c r="C3" s="8" t="s">
        <v>424</v>
      </c>
      <c r="D3" s="8" t="s">
        <v>422</v>
      </c>
      <c r="E3" s="8">
        <v>1073.1017999999999</v>
      </c>
      <c r="F3" s="8">
        <v>40</v>
      </c>
      <c r="G3" s="10" t="s">
        <v>381</v>
      </c>
      <c r="H3" s="11" t="s">
        <v>390</v>
      </c>
      <c r="I3" s="10"/>
    </row>
    <row r="4" spans="1:9">
      <c r="A4" s="8" t="s">
        <v>425</v>
      </c>
      <c r="B4" s="103">
        <v>17</v>
      </c>
      <c r="C4" s="8" t="s">
        <v>426</v>
      </c>
      <c r="D4" s="8" t="s">
        <v>422</v>
      </c>
      <c r="E4" s="8">
        <v>1213.1202000000001</v>
      </c>
      <c r="F4" s="8">
        <v>70</v>
      </c>
      <c r="G4" s="10" t="s">
        <v>359</v>
      </c>
      <c r="H4" s="11" t="s">
        <v>368</v>
      </c>
      <c r="I4" s="10"/>
    </row>
    <row r="5" spans="1:9">
      <c r="A5" s="8" t="s">
        <v>427</v>
      </c>
      <c r="B5" s="103"/>
      <c r="C5" s="8" t="s">
        <v>428</v>
      </c>
      <c r="D5" s="8" t="s">
        <v>422</v>
      </c>
      <c r="E5" s="8">
        <v>1271.127</v>
      </c>
      <c r="F5" s="8">
        <v>69</v>
      </c>
      <c r="G5" s="10" t="s">
        <v>338</v>
      </c>
      <c r="H5" s="11" t="s">
        <v>344</v>
      </c>
      <c r="I5" s="10"/>
    </row>
    <row r="6" spans="1:9">
      <c r="A6" s="8" t="s">
        <v>429</v>
      </c>
      <c r="B6" s="8">
        <v>18</v>
      </c>
      <c r="C6" s="8" t="s">
        <v>430</v>
      </c>
      <c r="D6" s="8" t="s">
        <v>431</v>
      </c>
      <c r="E6" s="8">
        <v>1376.1351</v>
      </c>
      <c r="F6" s="8" t="s">
        <v>432</v>
      </c>
      <c r="G6" s="10" t="s">
        <v>281</v>
      </c>
      <c r="H6" s="11" t="s">
        <v>307</v>
      </c>
      <c r="I6" s="10"/>
    </row>
    <row r="7" spans="1:9">
      <c r="A7" s="8" t="s">
        <v>433</v>
      </c>
      <c r="B7" s="8">
        <v>19</v>
      </c>
      <c r="C7" s="8" t="s">
        <v>434</v>
      </c>
      <c r="D7" s="8" t="s">
        <v>431</v>
      </c>
      <c r="E7" s="8" t="s">
        <v>435</v>
      </c>
      <c r="F7" s="8">
        <v>142</v>
      </c>
      <c r="G7" s="10" t="s">
        <v>229</v>
      </c>
      <c r="H7" s="11" t="s">
        <v>436</v>
      </c>
      <c r="I7" s="8" t="s">
        <v>236</v>
      </c>
    </row>
    <row r="8" spans="1:9">
      <c r="A8" s="8" t="s">
        <v>437</v>
      </c>
      <c r="B8" s="8">
        <v>20</v>
      </c>
      <c r="C8" s="8" t="s">
        <v>438</v>
      </c>
      <c r="D8" s="8" t="s">
        <v>431</v>
      </c>
      <c r="E8" s="8">
        <v>1904.1874</v>
      </c>
      <c r="F8" s="8">
        <v>22</v>
      </c>
      <c r="G8" s="10" t="s">
        <v>182</v>
      </c>
      <c r="H8" s="11" t="s">
        <v>439</v>
      </c>
      <c r="I8" s="10"/>
    </row>
    <row r="9" spans="1:9">
      <c r="A9" s="8" t="s">
        <v>440</v>
      </c>
      <c r="B9" s="8">
        <v>21</v>
      </c>
      <c r="C9" s="8" t="s">
        <v>441</v>
      </c>
      <c r="D9" s="8" t="s">
        <v>431</v>
      </c>
      <c r="E9" s="8"/>
      <c r="F9" s="8"/>
      <c r="G9" s="10" t="s">
        <v>44</v>
      </c>
      <c r="H9" s="11" t="s">
        <v>442</v>
      </c>
      <c r="I9" s="10"/>
    </row>
    <row r="10" spans="1:9">
      <c r="A10" s="8" t="s">
        <v>443</v>
      </c>
      <c r="B10" s="10">
        <v>22</v>
      </c>
      <c r="C10" s="10"/>
      <c r="D10" s="10"/>
      <c r="E10" s="10"/>
      <c r="F10" s="10"/>
      <c r="G10" s="10"/>
      <c r="H10" s="10"/>
      <c r="I10" s="10"/>
    </row>
    <row r="12" spans="1:9">
      <c r="A12" s="9" t="s">
        <v>444</v>
      </c>
    </row>
    <row r="13" spans="1:9">
      <c r="A13" s="30" t="s">
        <v>43</v>
      </c>
    </row>
    <row r="14" spans="1:9">
      <c r="A14" s="30" t="s">
        <v>260</v>
      </c>
    </row>
    <row r="15" spans="1:9">
      <c r="A15" s="30" t="s">
        <v>55</v>
      </c>
    </row>
    <row r="16" spans="1:9">
      <c r="A16" s="30" t="s">
        <v>130</v>
      </c>
    </row>
    <row r="17" spans="1:1">
      <c r="A17" s="30" t="s">
        <v>64</v>
      </c>
    </row>
    <row r="18" spans="1:1">
      <c r="A18" s="30" t="s">
        <v>445</v>
      </c>
    </row>
    <row r="19" spans="1:1">
      <c r="A19" s="30" t="s">
        <v>129</v>
      </c>
    </row>
    <row r="20" spans="1:1">
      <c r="A20" s="30" t="s">
        <v>446</v>
      </c>
    </row>
  </sheetData>
  <mergeCells count="3">
    <mergeCell ref="B2:B3"/>
    <mergeCell ref="B4:B5"/>
    <mergeCell ref="G1:I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D0E2-093F-4C09-86FE-3E3D3D5E148D}">
  <dimension ref="A1:K28"/>
  <sheetViews>
    <sheetView workbookViewId="0">
      <selection activeCell="J25" sqref="J25"/>
    </sheetView>
  </sheetViews>
  <sheetFormatPr defaultColWidth="9.140625" defaultRowHeight="15"/>
  <cols>
    <col min="1" max="1" width="25.85546875" bestFit="1" customWidth="1"/>
    <col min="2" max="2" width="13.85546875" bestFit="1" customWidth="1"/>
    <col min="3" max="3" width="16" bestFit="1" customWidth="1"/>
    <col min="4" max="4" width="12.5703125" bestFit="1" customWidth="1"/>
    <col min="5" max="5" width="6.140625" bestFit="1" customWidth="1"/>
    <col min="6" max="6" width="19.42578125" bestFit="1" customWidth="1"/>
    <col min="7" max="7" width="15.140625" bestFit="1" customWidth="1"/>
    <col min="8" max="8" width="8.28515625" bestFit="1" customWidth="1"/>
    <col min="9" max="9" width="8.7109375" bestFit="1" customWidth="1"/>
    <col min="10" max="10" width="19.85546875" bestFit="1" customWidth="1"/>
    <col min="11" max="13" width="12.5703125" bestFit="1" customWidth="1"/>
    <col min="14" max="14" width="9.5703125" bestFit="1" customWidth="1"/>
    <col min="15" max="15" width="12.5703125" bestFit="1" customWidth="1"/>
    <col min="16" max="16" width="9.5703125" bestFit="1" customWidth="1"/>
    <col min="17" max="17" width="12.5703125" bestFit="1" customWidth="1"/>
    <col min="18" max="18" width="20.7109375" bestFit="1" customWidth="1"/>
    <col min="19" max="19" width="12.5703125" bestFit="1" customWidth="1"/>
    <col min="20" max="27" width="26.7109375" bestFit="1" customWidth="1"/>
    <col min="28" max="28" width="20.7109375" bestFit="1" customWidth="1"/>
    <col min="29" max="29" width="12.5703125" bestFit="1" customWidth="1"/>
  </cols>
  <sheetData>
    <row r="1" spans="1:11" s="12" customFormat="1" ht="21">
      <c r="A1" s="12" t="s">
        <v>447</v>
      </c>
    </row>
    <row r="3" spans="1:11" ht="15.75">
      <c r="A3" s="17" t="s">
        <v>448</v>
      </c>
      <c r="B3" s="17" t="s">
        <v>9</v>
      </c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16" t="s">
        <v>29</v>
      </c>
      <c r="B4" s="16" t="s">
        <v>80</v>
      </c>
      <c r="C4" s="16" t="s">
        <v>41</v>
      </c>
      <c r="D4" s="16" t="s">
        <v>81</v>
      </c>
      <c r="E4" s="16" t="s">
        <v>82</v>
      </c>
      <c r="F4" s="16" t="s">
        <v>83</v>
      </c>
      <c r="G4" s="16" t="s">
        <v>84</v>
      </c>
      <c r="H4" s="16" t="s">
        <v>85</v>
      </c>
      <c r="I4" s="16" t="s">
        <v>86</v>
      </c>
      <c r="J4" s="16" t="s">
        <v>87</v>
      </c>
      <c r="K4" s="16" t="s">
        <v>449</v>
      </c>
    </row>
    <row r="5" spans="1:11">
      <c r="A5" s="18" t="s">
        <v>59</v>
      </c>
      <c r="B5" s="15">
        <v>2</v>
      </c>
      <c r="C5" s="15">
        <v>6</v>
      </c>
      <c r="D5" s="15">
        <v>1</v>
      </c>
      <c r="E5" s="15">
        <v>1</v>
      </c>
      <c r="F5" s="15">
        <v>1</v>
      </c>
      <c r="G5" s="15">
        <v>8</v>
      </c>
      <c r="H5" s="15">
        <v>1</v>
      </c>
      <c r="I5" s="15"/>
      <c r="J5" s="15">
        <v>2</v>
      </c>
      <c r="K5" s="15">
        <v>22</v>
      </c>
    </row>
    <row r="6" spans="1:11">
      <c r="A6" s="18" t="s">
        <v>187</v>
      </c>
      <c r="B6" s="15"/>
      <c r="C6" s="15">
        <v>6</v>
      </c>
      <c r="D6" s="15"/>
      <c r="E6" s="15"/>
      <c r="F6" s="15"/>
      <c r="G6" s="15"/>
      <c r="H6" s="15"/>
      <c r="I6" s="15">
        <v>1</v>
      </c>
      <c r="J6" s="15"/>
      <c r="K6" s="15">
        <v>7</v>
      </c>
    </row>
    <row r="7" spans="1:11">
      <c r="A7" s="18" t="s">
        <v>176</v>
      </c>
      <c r="B7" s="15">
        <v>3</v>
      </c>
      <c r="C7" s="15">
        <v>8</v>
      </c>
      <c r="D7" s="15"/>
      <c r="E7" s="15"/>
      <c r="F7" s="15"/>
      <c r="G7" s="15">
        <v>5</v>
      </c>
      <c r="H7" s="15"/>
      <c r="I7" s="15"/>
      <c r="J7" s="15">
        <v>3</v>
      </c>
      <c r="K7" s="15">
        <v>19</v>
      </c>
    </row>
    <row r="8" spans="1:11">
      <c r="A8" s="18" t="s">
        <v>47</v>
      </c>
      <c r="B8" s="15"/>
      <c r="C8" s="15">
        <v>16</v>
      </c>
      <c r="D8" s="15">
        <v>1</v>
      </c>
      <c r="E8" s="15"/>
      <c r="F8" s="15"/>
      <c r="G8" s="15">
        <v>13</v>
      </c>
      <c r="H8" s="15">
        <v>1</v>
      </c>
      <c r="I8" s="15"/>
      <c r="J8" s="15"/>
      <c r="K8" s="15">
        <v>31</v>
      </c>
    </row>
    <row r="9" spans="1:11">
      <c r="A9" s="18" t="s">
        <v>110</v>
      </c>
      <c r="B9" s="15"/>
      <c r="C9" s="15">
        <v>1</v>
      </c>
      <c r="D9" s="15">
        <v>2</v>
      </c>
      <c r="E9" s="15"/>
      <c r="F9" s="15"/>
      <c r="G9" s="15">
        <v>3</v>
      </c>
      <c r="H9" s="15">
        <v>1</v>
      </c>
      <c r="I9" s="15"/>
      <c r="J9" s="15"/>
      <c r="K9" s="15">
        <v>7</v>
      </c>
    </row>
    <row r="10" spans="1:11">
      <c r="A10" s="18" t="s">
        <v>220</v>
      </c>
      <c r="B10" s="15">
        <v>3</v>
      </c>
      <c r="C10" s="15">
        <v>1</v>
      </c>
      <c r="D10" s="15"/>
      <c r="E10" s="15"/>
      <c r="F10" s="15"/>
      <c r="G10" s="15">
        <v>3</v>
      </c>
      <c r="H10" s="15"/>
      <c r="I10" s="15"/>
      <c r="J10" s="15"/>
      <c r="K10" s="15">
        <v>7</v>
      </c>
    </row>
    <row r="11" spans="1:11">
      <c r="A11" s="18" t="s">
        <v>173</v>
      </c>
      <c r="B11" s="15">
        <v>2</v>
      </c>
      <c r="C11" s="15">
        <v>8</v>
      </c>
      <c r="D11" s="15"/>
      <c r="E11" s="15"/>
      <c r="F11" s="15"/>
      <c r="G11" s="15">
        <v>2</v>
      </c>
      <c r="H11" s="15"/>
      <c r="I11" s="15"/>
      <c r="J11" s="15"/>
      <c r="K11" s="15">
        <v>12</v>
      </c>
    </row>
    <row r="12" spans="1:11">
      <c r="A12" s="15" t="s">
        <v>449</v>
      </c>
      <c r="B12" s="15">
        <v>10</v>
      </c>
      <c r="C12" s="15">
        <v>46</v>
      </c>
      <c r="D12" s="15">
        <v>4</v>
      </c>
      <c r="E12" s="15">
        <v>1</v>
      </c>
      <c r="F12" s="15">
        <v>1</v>
      </c>
      <c r="G12" s="15">
        <v>34</v>
      </c>
      <c r="H12" s="15">
        <v>3</v>
      </c>
      <c r="I12" s="15">
        <v>1</v>
      </c>
      <c r="J12" s="15">
        <v>5</v>
      </c>
      <c r="K12" s="15">
        <v>105</v>
      </c>
    </row>
    <row r="18" spans="1:6" ht="15.75">
      <c r="A18" s="21" t="s">
        <v>450</v>
      </c>
      <c r="B18" s="21" t="s">
        <v>8</v>
      </c>
      <c r="C18" s="21" t="s">
        <v>9</v>
      </c>
      <c r="D18" s="21"/>
      <c r="E18" s="21"/>
      <c r="F18" s="21"/>
    </row>
    <row r="19" spans="1:6" ht="15.75">
      <c r="A19" s="21"/>
      <c r="B19" s="22" t="s">
        <v>192</v>
      </c>
      <c r="C19" s="22" t="s">
        <v>40</v>
      </c>
      <c r="D19" s="22" t="s">
        <v>54</v>
      </c>
      <c r="E19" s="22" t="s">
        <v>249</v>
      </c>
      <c r="F19" s="22" t="s">
        <v>449</v>
      </c>
    </row>
    <row r="20" spans="1:6">
      <c r="A20" s="22" t="s">
        <v>29</v>
      </c>
      <c r="B20" s="10"/>
      <c r="C20" s="10"/>
      <c r="D20" s="10"/>
      <c r="E20" s="10"/>
      <c r="F20" s="22"/>
    </row>
    <row r="21" spans="1:6">
      <c r="A21" s="10" t="s">
        <v>59</v>
      </c>
      <c r="B21" s="15">
        <v>1</v>
      </c>
      <c r="C21" s="15">
        <v>10</v>
      </c>
      <c r="D21" s="15">
        <v>10</v>
      </c>
      <c r="E21" s="15">
        <v>1</v>
      </c>
      <c r="F21" s="15">
        <v>22</v>
      </c>
    </row>
    <row r="22" spans="1:6">
      <c r="A22" s="10" t="s">
        <v>187</v>
      </c>
      <c r="B22" s="15"/>
      <c r="C22" s="15">
        <v>3</v>
      </c>
      <c r="D22" s="15">
        <v>3</v>
      </c>
      <c r="E22" s="15">
        <v>1</v>
      </c>
      <c r="F22" s="15">
        <v>7</v>
      </c>
    </row>
    <row r="23" spans="1:6">
      <c r="A23" s="10" t="s">
        <v>176</v>
      </c>
      <c r="B23" s="15"/>
      <c r="C23" s="15">
        <v>6</v>
      </c>
      <c r="D23" s="15">
        <v>11</v>
      </c>
      <c r="E23" s="15">
        <v>2</v>
      </c>
      <c r="F23" s="15">
        <v>19</v>
      </c>
    </row>
    <row r="24" spans="1:6">
      <c r="A24" s="10" t="s">
        <v>47</v>
      </c>
      <c r="B24" s="15">
        <v>2</v>
      </c>
      <c r="C24" s="15">
        <v>11</v>
      </c>
      <c r="D24" s="15">
        <v>17</v>
      </c>
      <c r="E24" s="15">
        <v>1</v>
      </c>
      <c r="F24" s="15">
        <v>31</v>
      </c>
    </row>
    <row r="25" spans="1:6">
      <c r="A25" s="10" t="s">
        <v>110</v>
      </c>
      <c r="B25" s="15">
        <v>1</v>
      </c>
      <c r="C25" s="15">
        <v>1</v>
      </c>
      <c r="D25" s="15">
        <v>5</v>
      </c>
      <c r="E25" s="15"/>
      <c r="F25" s="15">
        <v>7</v>
      </c>
    </row>
    <row r="26" spans="1:6">
      <c r="A26" s="10" t="s">
        <v>220</v>
      </c>
      <c r="B26" s="15">
        <v>1</v>
      </c>
      <c r="C26" s="15">
        <v>4</v>
      </c>
      <c r="D26" s="15">
        <v>2</v>
      </c>
      <c r="E26" s="15"/>
      <c r="F26" s="15">
        <v>7</v>
      </c>
    </row>
    <row r="27" spans="1:6">
      <c r="A27" s="10" t="s">
        <v>173</v>
      </c>
      <c r="B27" s="15">
        <v>1</v>
      </c>
      <c r="C27" s="15">
        <v>4</v>
      </c>
      <c r="D27" s="15">
        <v>6</v>
      </c>
      <c r="E27" s="15">
        <v>1</v>
      </c>
      <c r="F27" s="15">
        <v>12</v>
      </c>
    </row>
    <row r="28" spans="1:6">
      <c r="A28" s="10" t="s">
        <v>449</v>
      </c>
      <c r="B28" s="15">
        <v>6</v>
      </c>
      <c r="C28" s="15">
        <v>39</v>
      </c>
      <c r="D28" s="15">
        <v>54</v>
      </c>
      <c r="E28" s="15">
        <v>6</v>
      </c>
      <c r="F28" s="15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A0FA-F2C4-4FE2-A958-DFDF2E393869}">
  <dimension ref="A1:K24"/>
  <sheetViews>
    <sheetView workbookViewId="0">
      <selection activeCell="A19" sqref="A19"/>
    </sheetView>
  </sheetViews>
  <sheetFormatPr defaultColWidth="11.42578125" defaultRowHeight="15"/>
  <cols>
    <col min="1" max="1" width="10.85546875" bestFit="1" customWidth="1"/>
    <col min="2" max="2" width="5.42578125" bestFit="1" customWidth="1"/>
    <col min="3" max="3" width="6.5703125" bestFit="1" customWidth="1"/>
    <col min="4" max="4" width="8.42578125" bestFit="1" customWidth="1"/>
    <col min="5" max="5" width="6.85546875" bestFit="1" customWidth="1"/>
    <col min="6" max="6" width="5.5703125" bestFit="1" customWidth="1"/>
    <col min="7" max="7" width="15.140625" bestFit="1" customWidth="1"/>
    <col min="8" max="8" width="8.28515625" bestFit="1" customWidth="1"/>
    <col min="9" max="9" width="8.7109375" bestFit="1" customWidth="1"/>
    <col min="10" max="10" width="19.85546875" bestFit="1" customWidth="1"/>
    <col min="11" max="13" width="5.5703125" bestFit="1" customWidth="1"/>
    <col min="14" max="14" width="15.140625" bestFit="1" customWidth="1"/>
    <col min="15" max="15" width="19" bestFit="1" customWidth="1"/>
    <col min="16" max="16" width="12.85546875" bestFit="1" customWidth="1"/>
    <col min="17" max="17" width="24" bestFit="1" customWidth="1"/>
    <col min="18" max="18" width="6.5703125" bestFit="1" customWidth="1"/>
    <col min="19" max="19" width="5.42578125" bestFit="1" customWidth="1"/>
    <col min="20" max="20" width="12.5703125" bestFit="1" customWidth="1"/>
    <col min="21" max="21" width="6.5703125" bestFit="1" customWidth="1"/>
    <col min="22" max="22" width="20.7109375" bestFit="1" customWidth="1"/>
    <col min="23" max="23" width="12.5703125" bestFit="1" customWidth="1"/>
  </cols>
  <sheetData>
    <row r="1" spans="1:6" s="12" customFormat="1" ht="21">
      <c r="A1" s="12" t="s">
        <v>451</v>
      </c>
    </row>
    <row r="3" spans="1:6">
      <c r="A3" s="20" t="s">
        <v>28</v>
      </c>
      <c r="B3" s="20" t="s">
        <v>452</v>
      </c>
    </row>
    <row r="4" spans="1:6">
      <c r="A4" s="1" t="s">
        <v>46</v>
      </c>
      <c r="B4">
        <v>51</v>
      </c>
    </row>
    <row r="5" spans="1:6">
      <c r="A5" s="1" t="s">
        <v>58</v>
      </c>
      <c r="B5">
        <v>86</v>
      </c>
    </row>
    <row r="6" spans="1:6">
      <c r="A6" s="1"/>
      <c r="B6">
        <v>1</v>
      </c>
    </row>
    <row r="7" spans="1:6">
      <c r="A7" s="1" t="s">
        <v>94</v>
      </c>
      <c r="B7">
        <v>138</v>
      </c>
    </row>
    <row r="10" spans="1:6">
      <c r="A10" s="2" t="s">
        <v>453</v>
      </c>
      <c r="B10" s="2" t="s">
        <v>8</v>
      </c>
      <c r="C10" s="3"/>
      <c r="D10" s="3"/>
      <c r="E10" s="3"/>
      <c r="F10" s="3"/>
    </row>
    <row r="11" spans="1:6">
      <c r="A11" s="4"/>
      <c r="B11" s="7" t="s">
        <v>192</v>
      </c>
      <c r="C11" s="7" t="s">
        <v>40</v>
      </c>
      <c r="D11" s="7" t="s">
        <v>54</v>
      </c>
      <c r="E11" s="7" t="s">
        <v>249</v>
      </c>
      <c r="F11" s="7" t="s">
        <v>94</v>
      </c>
    </row>
    <row r="12" spans="1:6">
      <c r="A12" s="5" t="s">
        <v>28</v>
      </c>
      <c r="B12" s="3"/>
      <c r="C12" s="3"/>
      <c r="D12" s="3"/>
      <c r="E12" s="3"/>
      <c r="F12" s="4"/>
    </row>
    <row r="13" spans="1:6">
      <c r="A13" s="6" t="s">
        <v>46</v>
      </c>
      <c r="B13" s="46">
        <v>4</v>
      </c>
      <c r="C13" s="46">
        <v>20</v>
      </c>
      <c r="D13" s="46">
        <v>25</v>
      </c>
      <c r="E13" s="46">
        <v>2</v>
      </c>
      <c r="F13" s="46">
        <v>51</v>
      </c>
    </row>
    <row r="14" spans="1:6">
      <c r="A14" s="6" t="s">
        <v>58</v>
      </c>
      <c r="B14" s="46">
        <v>3</v>
      </c>
      <c r="C14" s="46">
        <v>21</v>
      </c>
      <c r="D14" s="46">
        <v>56</v>
      </c>
      <c r="E14" s="46">
        <v>6</v>
      </c>
      <c r="F14" s="46">
        <v>86</v>
      </c>
    </row>
    <row r="15" spans="1:6">
      <c r="A15" s="6"/>
      <c r="B15" s="46"/>
      <c r="C15" s="46"/>
      <c r="D15" s="46">
        <v>1</v>
      </c>
      <c r="E15" s="46"/>
      <c r="F15" s="46">
        <v>1</v>
      </c>
    </row>
    <row r="16" spans="1:6">
      <c r="A16" s="6" t="s">
        <v>94</v>
      </c>
      <c r="B16" s="46">
        <v>7</v>
      </c>
      <c r="C16" s="46">
        <v>41</v>
      </c>
      <c r="D16" s="46">
        <v>82</v>
      </c>
      <c r="E16" s="46">
        <v>8</v>
      </c>
      <c r="F16" s="46">
        <v>138</v>
      </c>
    </row>
    <row r="19" spans="1:11">
      <c r="A19" s="2" t="s">
        <v>453</v>
      </c>
      <c r="B19" s="2" t="s">
        <v>9</v>
      </c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5" t="s">
        <v>28</v>
      </c>
      <c r="B20" s="3" t="s">
        <v>80</v>
      </c>
      <c r="C20" s="3" t="s">
        <v>41</v>
      </c>
      <c r="D20" s="3" t="s">
        <v>81</v>
      </c>
      <c r="E20" s="3" t="s">
        <v>82</v>
      </c>
      <c r="F20" s="3" t="s">
        <v>83</v>
      </c>
      <c r="G20" s="3" t="s">
        <v>84</v>
      </c>
      <c r="H20" s="3" t="s">
        <v>85</v>
      </c>
      <c r="I20" s="3" t="s">
        <v>86</v>
      </c>
      <c r="J20" s="3" t="s">
        <v>87</v>
      </c>
      <c r="K20" s="23" t="s">
        <v>94</v>
      </c>
    </row>
    <row r="21" spans="1:11">
      <c r="A21" s="6" t="s">
        <v>46</v>
      </c>
      <c r="B21" s="46">
        <v>5</v>
      </c>
      <c r="C21" s="46">
        <v>21</v>
      </c>
      <c r="D21" s="46"/>
      <c r="E21" s="46"/>
      <c r="F21" s="46">
        <v>1</v>
      </c>
      <c r="G21" s="46">
        <v>16</v>
      </c>
      <c r="H21" s="46">
        <v>3</v>
      </c>
      <c r="I21" s="46"/>
      <c r="J21" s="46">
        <v>5</v>
      </c>
      <c r="K21" s="46">
        <v>51</v>
      </c>
    </row>
    <row r="22" spans="1:11">
      <c r="A22" s="6" t="s">
        <v>58</v>
      </c>
      <c r="B22" s="46">
        <v>11</v>
      </c>
      <c r="C22" s="46">
        <v>32</v>
      </c>
      <c r="D22" s="46">
        <v>5</v>
      </c>
      <c r="E22" s="46">
        <v>1</v>
      </c>
      <c r="F22" s="46"/>
      <c r="G22" s="46">
        <v>36</v>
      </c>
      <c r="H22" s="46"/>
      <c r="I22" s="46">
        <v>1</v>
      </c>
      <c r="J22" s="46"/>
      <c r="K22" s="46">
        <v>86</v>
      </c>
    </row>
    <row r="23" spans="1:11">
      <c r="A23" s="6"/>
      <c r="B23" s="46"/>
      <c r="C23" s="46">
        <v>1</v>
      </c>
      <c r="D23" s="46"/>
      <c r="E23" s="46"/>
      <c r="F23" s="46"/>
      <c r="G23" s="46"/>
      <c r="H23" s="46"/>
      <c r="I23" s="46"/>
      <c r="J23" s="46"/>
      <c r="K23" s="46">
        <v>1</v>
      </c>
    </row>
    <row r="24" spans="1:11">
      <c r="A24" s="6" t="s">
        <v>94</v>
      </c>
      <c r="B24" s="46">
        <v>16</v>
      </c>
      <c r="C24" s="46">
        <v>54</v>
      </c>
      <c r="D24" s="46">
        <v>5</v>
      </c>
      <c r="E24" s="46">
        <v>1</v>
      </c>
      <c r="F24" s="46">
        <v>1</v>
      </c>
      <c r="G24" s="46">
        <v>52</v>
      </c>
      <c r="H24" s="46">
        <v>3</v>
      </c>
      <c r="I24" s="46">
        <v>1</v>
      </c>
      <c r="J24" s="46">
        <v>5</v>
      </c>
      <c r="K24" s="46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7B28-E053-43E7-9902-46796D9BACDD}">
  <dimension ref="A1:AZ15"/>
  <sheetViews>
    <sheetView topLeftCell="A3" workbookViewId="0">
      <selection activeCell="F11" sqref="F11"/>
    </sheetView>
  </sheetViews>
  <sheetFormatPr defaultColWidth="11.42578125" defaultRowHeight="15"/>
  <cols>
    <col min="1" max="1" width="13.5703125" bestFit="1" customWidth="1"/>
    <col min="2" max="2" width="14.28515625" bestFit="1" customWidth="1"/>
    <col min="3" max="3" width="16" bestFit="1" customWidth="1"/>
    <col min="4" max="4" width="12.5703125" bestFit="1" customWidth="1"/>
    <col min="5" max="5" width="6.140625" bestFit="1" customWidth="1"/>
    <col min="6" max="6" width="19.42578125" bestFit="1" customWidth="1"/>
    <col min="7" max="7" width="15.140625" bestFit="1" customWidth="1"/>
    <col min="8" max="8" width="8.28515625" bestFit="1" customWidth="1"/>
    <col min="9" max="9" width="8.7109375" bestFit="1" customWidth="1"/>
    <col min="10" max="10" width="19.85546875" bestFit="1" customWidth="1"/>
    <col min="11" max="13" width="12.5703125" customWidth="1"/>
    <col min="14" max="14" width="15.7109375" customWidth="1"/>
    <col min="15" max="15" width="13.140625" bestFit="1" customWidth="1"/>
    <col min="16" max="16" width="31.7109375" bestFit="1" customWidth="1"/>
    <col min="17" max="17" width="12.85546875" customWidth="1"/>
    <col min="18" max="18" width="10.42578125" bestFit="1" customWidth="1"/>
    <col min="19" max="19" width="10.7109375" bestFit="1" customWidth="1"/>
    <col min="20" max="20" width="12.5703125" bestFit="1" customWidth="1"/>
    <col min="21" max="21" width="8.7109375" bestFit="1" customWidth="1"/>
    <col min="22" max="22" width="6.140625" bestFit="1" customWidth="1"/>
    <col min="23" max="23" width="19.42578125" bestFit="1" customWidth="1"/>
    <col min="24" max="24" width="15.140625" customWidth="1"/>
    <col min="25" max="25" width="16" customWidth="1"/>
    <col min="26" max="26" width="19.85546875" customWidth="1"/>
    <col min="27" max="30" width="12.5703125" customWidth="1"/>
    <col min="31" max="31" width="24.5703125" bestFit="1" customWidth="1"/>
    <col min="32" max="32" width="16" bestFit="1" customWidth="1"/>
    <col min="33" max="33" width="12.5703125" bestFit="1" customWidth="1"/>
    <col min="34" max="34" width="6.140625" bestFit="1" customWidth="1"/>
    <col min="35" max="35" width="19.42578125" bestFit="1" customWidth="1"/>
    <col min="36" max="36" width="12.5703125" bestFit="1" customWidth="1"/>
    <col min="37" max="37" width="19.5703125" bestFit="1" customWidth="1"/>
    <col min="38" max="39" width="12.5703125" bestFit="1" customWidth="1"/>
    <col min="40" max="40" width="19" bestFit="1" customWidth="1"/>
    <col min="41" max="41" width="10.85546875" bestFit="1" customWidth="1"/>
    <col min="42" max="42" width="4.7109375" bestFit="1" customWidth="1"/>
    <col min="43" max="43" width="6.5703125" bestFit="1" customWidth="1"/>
    <col min="44" max="44" width="5" bestFit="1" customWidth="1"/>
    <col min="45" max="45" width="5.5703125" bestFit="1" customWidth="1"/>
    <col min="46" max="46" width="14.7109375" bestFit="1" customWidth="1"/>
    <col min="47" max="47" width="17.85546875" bestFit="1" customWidth="1"/>
    <col min="48" max="48" width="8" bestFit="1" customWidth="1"/>
    <col min="49" max="49" width="11" bestFit="1" customWidth="1"/>
    <col min="50" max="50" width="21.42578125" bestFit="1" customWidth="1"/>
    <col min="51" max="51" width="24.5703125" bestFit="1" customWidth="1"/>
    <col min="52" max="52" width="12.5703125" bestFit="1" customWidth="1"/>
  </cols>
  <sheetData>
    <row r="1" spans="1:52" s="12" customFormat="1" ht="21">
      <c r="A1" s="12" t="s">
        <v>454</v>
      </c>
      <c r="J1" s="25"/>
      <c r="K1" s="25"/>
      <c r="L1" s="25"/>
      <c r="M1" s="25"/>
      <c r="N1" s="25"/>
      <c r="O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52" s="25" customFormat="1" ht="30.75" customHeight="1"/>
    <row r="3" spans="1:52" s="26" customFormat="1" ht="72" customHeight="1">
      <c r="A3" s="106" t="s">
        <v>455</v>
      </c>
      <c r="B3" s="107"/>
      <c r="C3" s="107"/>
      <c r="D3" s="107"/>
      <c r="E3" s="107"/>
      <c r="F3" s="107"/>
      <c r="G3" s="107"/>
      <c r="H3" s="107"/>
      <c r="I3" s="107"/>
      <c r="J3" s="25"/>
      <c r="K3" s="25"/>
      <c r="L3" s="25"/>
      <c r="M3" s="25"/>
      <c r="N3" s="25"/>
      <c r="O3" s="25"/>
      <c r="P3" s="105" t="s">
        <v>456</v>
      </c>
      <c r="Q3" s="105"/>
      <c r="R3" s="105"/>
      <c r="S3" s="10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108" t="s">
        <v>457</v>
      </c>
      <c r="AF3" s="108"/>
      <c r="AG3" s="108"/>
      <c r="AH3" s="108"/>
      <c r="AI3" s="28"/>
      <c r="AJ3" s="28"/>
      <c r="AK3" s="28"/>
      <c r="AL3" s="28"/>
      <c r="AM3" s="28"/>
    </row>
    <row r="4" spans="1:5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</row>
    <row r="5" spans="1:52" s="25" customFormat="1" ht="21">
      <c r="A5" s="51" t="s">
        <v>76</v>
      </c>
      <c r="B5" s="51" t="s">
        <v>77</v>
      </c>
      <c r="C5" s="51"/>
      <c r="D5" s="51"/>
      <c r="E5" s="51"/>
      <c r="F5" s="51"/>
      <c r="G5" s="51"/>
      <c r="H5" s="51"/>
      <c r="I5" s="51"/>
      <c r="J5" s="51"/>
      <c r="K5" s="51"/>
      <c r="L5"/>
      <c r="M5"/>
      <c r="N5"/>
      <c r="O5"/>
      <c r="P5" s="63" t="s">
        <v>458</v>
      </c>
      <c r="Q5"/>
      <c r="R5" s="63" t="s">
        <v>9</v>
      </c>
      <c r="S5"/>
      <c r="T5"/>
      <c r="U5"/>
      <c r="V5"/>
      <c r="W5"/>
      <c r="X5"/>
      <c r="Y5"/>
      <c r="Z5"/>
      <c r="AA5"/>
      <c r="AB5"/>
      <c r="AC5"/>
      <c r="AD5"/>
      <c r="AE5" s="27" t="s">
        <v>459</v>
      </c>
      <c r="AF5" s="27" t="s">
        <v>460</v>
      </c>
      <c r="AG5" s="27"/>
      <c r="AH5" s="27"/>
      <c r="AI5" s="27"/>
      <c r="AJ5" s="27"/>
      <c r="AK5"/>
      <c r="AL5"/>
      <c r="AM5"/>
      <c r="AN5" s="27" t="s">
        <v>461</v>
      </c>
      <c r="AO5" s="27" t="s">
        <v>460</v>
      </c>
      <c r="AP5" s="27"/>
      <c r="AQ5" s="27"/>
      <c r="AR5" s="27"/>
      <c r="AS5" s="27"/>
      <c r="AT5"/>
      <c r="AU5"/>
      <c r="AV5"/>
      <c r="AW5"/>
      <c r="AX5"/>
      <c r="AY5"/>
      <c r="AZ5"/>
    </row>
    <row r="6" spans="1:52" s="25" customFormat="1" ht="21">
      <c r="A6" s="52" t="s">
        <v>79</v>
      </c>
      <c r="B6" s="52" t="s">
        <v>80</v>
      </c>
      <c r="C6" s="52" t="s">
        <v>41</v>
      </c>
      <c r="D6" s="52" t="s">
        <v>81</v>
      </c>
      <c r="E6" s="52" t="s">
        <v>82</v>
      </c>
      <c r="F6" s="52" t="s">
        <v>83</v>
      </c>
      <c r="G6" s="52" t="s">
        <v>84</v>
      </c>
      <c r="H6" s="52" t="s">
        <v>85</v>
      </c>
      <c r="I6" s="52" t="s">
        <v>86</v>
      </c>
      <c r="J6" s="52" t="s">
        <v>87</v>
      </c>
      <c r="K6" s="52" t="s">
        <v>449</v>
      </c>
      <c r="L6"/>
      <c r="M6"/>
      <c r="N6"/>
      <c r="O6"/>
      <c r="P6" s="63" t="s">
        <v>32</v>
      </c>
      <c r="Q6" s="63" t="s">
        <v>34</v>
      </c>
      <c r="R6" t="s">
        <v>85</v>
      </c>
      <c r="S6" t="s">
        <v>80</v>
      </c>
      <c r="T6" t="s">
        <v>81</v>
      </c>
      <c r="U6" t="s">
        <v>86</v>
      </c>
      <c r="V6" t="s">
        <v>82</v>
      </c>
      <c r="W6" t="s">
        <v>83</v>
      </c>
      <c r="X6" t="s">
        <v>84</v>
      </c>
      <c r="Y6" t="s">
        <v>41</v>
      </c>
      <c r="Z6" t="s">
        <v>87</v>
      </c>
      <c r="AA6" s="65" t="s">
        <v>449</v>
      </c>
      <c r="AB6"/>
      <c r="AC6"/>
      <c r="AD6"/>
      <c r="AE6" s="7" t="s">
        <v>462</v>
      </c>
      <c r="AF6" s="7" t="s">
        <v>41</v>
      </c>
      <c r="AG6" s="7" t="s">
        <v>81</v>
      </c>
      <c r="AH6" s="7" t="s">
        <v>82</v>
      </c>
      <c r="AI6" s="7" t="s">
        <v>83</v>
      </c>
      <c r="AJ6" s="7" t="s">
        <v>449</v>
      </c>
      <c r="AK6"/>
      <c r="AL6"/>
      <c r="AM6"/>
      <c r="AN6" s="27" t="s">
        <v>462</v>
      </c>
      <c r="AO6" s="31" t="s">
        <v>192</v>
      </c>
      <c r="AP6" s="32" t="s">
        <v>40</v>
      </c>
      <c r="AQ6" s="99" t="s">
        <v>54</v>
      </c>
      <c r="AR6" s="33" t="s">
        <v>249</v>
      </c>
      <c r="AS6" s="98" t="s">
        <v>94</v>
      </c>
      <c r="AT6"/>
      <c r="AU6"/>
      <c r="AV6"/>
      <c r="AW6"/>
      <c r="AX6"/>
      <c r="AY6"/>
      <c r="AZ6"/>
    </row>
    <row r="7" spans="1:52" s="25" customFormat="1" ht="21">
      <c r="A7" s="46" t="s">
        <v>78</v>
      </c>
      <c r="B7" s="46">
        <v>7</v>
      </c>
      <c r="C7" s="46">
        <v>9</v>
      </c>
      <c r="D7" s="46">
        <v>3</v>
      </c>
      <c r="E7" s="46">
        <v>1</v>
      </c>
      <c r="F7" s="46">
        <v>0</v>
      </c>
      <c r="G7" s="46">
        <v>25</v>
      </c>
      <c r="H7" s="46">
        <v>1</v>
      </c>
      <c r="I7" s="46">
        <v>0</v>
      </c>
      <c r="J7" s="46">
        <v>0</v>
      </c>
      <c r="K7" s="46">
        <v>46</v>
      </c>
      <c r="L7"/>
      <c r="M7"/>
      <c r="N7"/>
      <c r="O7"/>
      <c r="P7" t="s">
        <v>49</v>
      </c>
      <c r="Q7"/>
      <c r="R7">
        <v>1</v>
      </c>
      <c r="S7">
        <v>8</v>
      </c>
      <c r="T7">
        <v>5</v>
      </c>
      <c r="U7">
        <v>1</v>
      </c>
      <c r="V7"/>
      <c r="W7"/>
      <c r="X7"/>
      <c r="Y7">
        <v>36</v>
      </c>
      <c r="Z7">
        <v>2</v>
      </c>
      <c r="AA7">
        <v>53</v>
      </c>
      <c r="AB7"/>
      <c r="AC7"/>
      <c r="AD7"/>
      <c r="AE7" s="6" t="s">
        <v>78</v>
      </c>
      <c r="AF7" s="46">
        <v>9</v>
      </c>
      <c r="AG7" s="46">
        <v>3</v>
      </c>
      <c r="AH7" s="46">
        <v>1</v>
      </c>
      <c r="AI7" s="46"/>
      <c r="AJ7" s="46">
        <v>13</v>
      </c>
      <c r="AK7"/>
      <c r="AL7"/>
      <c r="AM7"/>
      <c r="AN7" s="6" t="s">
        <v>41</v>
      </c>
      <c r="AO7" s="31">
        <v>1</v>
      </c>
      <c r="AP7" s="32">
        <v>13</v>
      </c>
      <c r="AQ7" s="99">
        <v>33</v>
      </c>
      <c r="AR7" s="33">
        <v>7</v>
      </c>
      <c r="AS7" s="98">
        <v>54</v>
      </c>
      <c r="AT7"/>
      <c r="AU7"/>
      <c r="AV7"/>
      <c r="AW7"/>
      <c r="AX7"/>
      <c r="AY7"/>
      <c r="AZ7"/>
    </row>
    <row r="8" spans="1:52" s="25" customFormat="1" ht="21">
      <c r="A8" s="46" t="s">
        <v>89</v>
      </c>
      <c r="B8" s="46">
        <v>2</v>
      </c>
      <c r="C8" s="46">
        <v>4</v>
      </c>
      <c r="D8" s="46">
        <v>0</v>
      </c>
      <c r="E8" s="46">
        <v>0</v>
      </c>
      <c r="F8" s="46">
        <v>0</v>
      </c>
      <c r="G8" s="46">
        <v>13</v>
      </c>
      <c r="H8" s="46">
        <v>0</v>
      </c>
      <c r="I8" s="46">
        <v>0</v>
      </c>
      <c r="J8" s="46">
        <v>0</v>
      </c>
      <c r="K8" s="46">
        <v>19</v>
      </c>
      <c r="L8"/>
      <c r="M8"/>
      <c r="N8"/>
      <c r="O8"/>
      <c r="P8" t="s">
        <v>266</v>
      </c>
      <c r="Q8"/>
      <c r="R8">
        <v>1</v>
      </c>
      <c r="S8"/>
      <c r="T8"/>
      <c r="U8"/>
      <c r="V8"/>
      <c r="W8"/>
      <c r="X8"/>
      <c r="Y8"/>
      <c r="Z8">
        <v>2</v>
      </c>
      <c r="AA8">
        <v>3</v>
      </c>
      <c r="AB8"/>
      <c r="AC8"/>
      <c r="AD8"/>
      <c r="AE8" s="6" t="s">
        <v>89</v>
      </c>
      <c r="AF8" s="46">
        <v>4</v>
      </c>
      <c r="AG8" s="46"/>
      <c r="AH8" s="46"/>
      <c r="AI8" s="46"/>
      <c r="AJ8" s="46">
        <v>4</v>
      </c>
      <c r="AK8"/>
      <c r="AL8"/>
      <c r="AM8"/>
      <c r="AN8" s="6" t="s">
        <v>81</v>
      </c>
      <c r="AO8" s="31">
        <v>1</v>
      </c>
      <c r="AP8" s="32">
        <v>1</v>
      </c>
      <c r="AQ8" s="99">
        <v>3</v>
      </c>
      <c r="AR8" s="33"/>
      <c r="AS8" s="98">
        <v>5</v>
      </c>
      <c r="AU8"/>
      <c r="AV8"/>
      <c r="AW8"/>
      <c r="AX8"/>
      <c r="AY8"/>
      <c r="AZ8"/>
    </row>
    <row r="9" spans="1:52" s="25" customFormat="1" ht="21">
      <c r="A9" s="46" t="s">
        <v>90</v>
      </c>
      <c r="B9" s="46">
        <v>1</v>
      </c>
      <c r="C9" s="46">
        <v>13</v>
      </c>
      <c r="D9" s="46">
        <v>1</v>
      </c>
      <c r="E9" s="46">
        <v>0</v>
      </c>
      <c r="F9" s="46">
        <v>0</v>
      </c>
      <c r="G9" s="46">
        <v>12</v>
      </c>
      <c r="H9" s="46">
        <v>1</v>
      </c>
      <c r="I9" s="46">
        <v>0</v>
      </c>
      <c r="J9" s="46">
        <v>0</v>
      </c>
      <c r="K9" s="46">
        <v>28</v>
      </c>
      <c r="L9"/>
      <c r="M9"/>
      <c r="N9"/>
      <c r="O9"/>
      <c r="P9" t="s">
        <v>105</v>
      </c>
      <c r="Q9"/>
      <c r="R9"/>
      <c r="S9">
        <v>3</v>
      </c>
      <c r="T9"/>
      <c r="U9"/>
      <c r="V9">
        <v>1</v>
      </c>
      <c r="W9"/>
      <c r="X9">
        <v>11</v>
      </c>
      <c r="Y9">
        <v>5</v>
      </c>
      <c r="Z9"/>
      <c r="AA9">
        <v>20</v>
      </c>
      <c r="AB9"/>
      <c r="AC9"/>
      <c r="AD9"/>
      <c r="AE9" s="6" t="s">
        <v>90</v>
      </c>
      <c r="AF9" s="46">
        <v>13</v>
      </c>
      <c r="AG9" s="46">
        <v>1</v>
      </c>
      <c r="AH9" s="46"/>
      <c r="AI9" s="46"/>
      <c r="AJ9" s="46">
        <v>14</v>
      </c>
      <c r="AK9"/>
      <c r="AL9"/>
      <c r="AM9"/>
      <c r="AN9" s="6" t="s">
        <v>82</v>
      </c>
      <c r="AO9" s="31"/>
      <c r="AP9" s="32"/>
      <c r="AQ9" s="99">
        <v>1</v>
      </c>
      <c r="AR9" s="33"/>
      <c r="AS9" s="98">
        <v>1</v>
      </c>
      <c r="AT9"/>
      <c r="AU9"/>
      <c r="AV9"/>
      <c r="AW9"/>
      <c r="AX9"/>
      <c r="AY9"/>
      <c r="AZ9"/>
    </row>
    <row r="10" spans="1:52" s="25" customFormat="1" ht="21">
      <c r="A10" s="46" t="s">
        <v>91</v>
      </c>
      <c r="B10" s="46">
        <v>2</v>
      </c>
      <c r="C10" s="46">
        <v>12</v>
      </c>
      <c r="D10" s="46">
        <v>0</v>
      </c>
      <c r="E10" s="46">
        <v>0</v>
      </c>
      <c r="F10" s="46">
        <v>1</v>
      </c>
      <c r="G10" s="46">
        <v>2</v>
      </c>
      <c r="H10" s="46">
        <v>0</v>
      </c>
      <c r="I10" s="46">
        <v>0</v>
      </c>
      <c r="J10" s="46">
        <v>4</v>
      </c>
      <c r="K10" s="46">
        <v>21</v>
      </c>
      <c r="L10"/>
      <c r="M10"/>
      <c r="N10"/>
      <c r="O10"/>
      <c r="P10" t="s">
        <v>121</v>
      </c>
      <c r="Q10"/>
      <c r="R10"/>
      <c r="S10">
        <v>3</v>
      </c>
      <c r="T10"/>
      <c r="U10"/>
      <c r="V10"/>
      <c r="W10"/>
      <c r="X10">
        <v>19</v>
      </c>
      <c r="Y10">
        <v>4</v>
      </c>
      <c r="Z10"/>
      <c r="AA10">
        <v>26</v>
      </c>
      <c r="AB10"/>
      <c r="AC10"/>
      <c r="AD10"/>
      <c r="AE10" s="6" t="s">
        <v>91</v>
      </c>
      <c r="AF10" s="46">
        <v>12</v>
      </c>
      <c r="AG10" s="46"/>
      <c r="AH10" s="46"/>
      <c r="AI10" s="46">
        <v>1</v>
      </c>
      <c r="AJ10" s="46">
        <v>13</v>
      </c>
      <c r="AK10"/>
      <c r="AL10"/>
      <c r="AM10"/>
      <c r="AN10" s="6" t="s">
        <v>83</v>
      </c>
      <c r="AO10" s="31"/>
      <c r="AP10" s="32"/>
      <c r="AQ10" s="99">
        <v>1</v>
      </c>
      <c r="AR10" s="33"/>
      <c r="AS10" s="98">
        <v>1</v>
      </c>
      <c r="AT10"/>
      <c r="AU10"/>
      <c r="AV10"/>
      <c r="AW10"/>
      <c r="AX10"/>
      <c r="AY10"/>
      <c r="AZ10"/>
    </row>
    <row r="11" spans="1:52" s="25" customFormat="1" ht="21">
      <c r="A11" s="46" t="s">
        <v>92</v>
      </c>
      <c r="B11" s="46">
        <v>4</v>
      </c>
      <c r="C11" s="46">
        <v>11</v>
      </c>
      <c r="D11" s="46">
        <v>1</v>
      </c>
      <c r="E11" s="46">
        <v>0</v>
      </c>
      <c r="F11" s="46">
        <v>0</v>
      </c>
      <c r="G11" s="46">
        <v>0</v>
      </c>
      <c r="H11" s="46">
        <v>1</v>
      </c>
      <c r="I11" s="46">
        <v>1</v>
      </c>
      <c r="J11" s="46">
        <v>1</v>
      </c>
      <c r="K11" s="46">
        <v>19</v>
      </c>
      <c r="L11"/>
      <c r="M11"/>
      <c r="N11"/>
      <c r="O11"/>
      <c r="P11" t="s">
        <v>109</v>
      </c>
      <c r="Q11"/>
      <c r="R11">
        <v>1</v>
      </c>
      <c r="S11">
        <v>2</v>
      </c>
      <c r="T11"/>
      <c r="U11"/>
      <c r="V11"/>
      <c r="W11"/>
      <c r="X11">
        <v>15</v>
      </c>
      <c r="Y11">
        <v>6</v>
      </c>
      <c r="Z11"/>
      <c r="AA11">
        <v>24</v>
      </c>
      <c r="AB11"/>
      <c r="AC11"/>
      <c r="AD11"/>
      <c r="AE11" s="6" t="s">
        <v>92</v>
      </c>
      <c r="AF11" s="46">
        <v>11</v>
      </c>
      <c r="AG11" s="46">
        <v>1</v>
      </c>
      <c r="AH11" s="46"/>
      <c r="AI11" s="46"/>
      <c r="AJ11" s="46">
        <v>12</v>
      </c>
      <c r="AK11"/>
      <c r="AL11"/>
      <c r="AM11"/>
      <c r="AN11" s="6" t="s">
        <v>94</v>
      </c>
      <c r="AO11" s="31">
        <v>2</v>
      </c>
      <c r="AP11" s="32">
        <v>14</v>
      </c>
      <c r="AQ11" s="99">
        <v>38</v>
      </c>
      <c r="AR11" s="33">
        <v>7</v>
      </c>
      <c r="AS11" s="98">
        <v>61</v>
      </c>
      <c r="AT11"/>
      <c r="AU11"/>
      <c r="AV11"/>
      <c r="AW11"/>
      <c r="AX11"/>
      <c r="AY11"/>
      <c r="AZ11"/>
    </row>
    <row r="12" spans="1:52" s="25" customFormat="1" ht="21">
      <c r="A12" s="46" t="s">
        <v>48</v>
      </c>
      <c r="B12" s="46">
        <v>0</v>
      </c>
      <c r="C12" s="46">
        <v>5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5</v>
      </c>
      <c r="L12"/>
      <c r="M12"/>
      <c r="N12"/>
      <c r="O12"/>
      <c r="P12" t="s">
        <v>186</v>
      </c>
      <c r="Q12"/>
      <c r="R12"/>
      <c r="S12"/>
      <c r="T12"/>
      <c r="U12"/>
      <c r="V12"/>
      <c r="W12">
        <v>1</v>
      </c>
      <c r="X12">
        <v>7</v>
      </c>
      <c r="Y12">
        <v>3</v>
      </c>
      <c r="Z12">
        <v>1</v>
      </c>
      <c r="AA12">
        <v>12</v>
      </c>
      <c r="AB12"/>
      <c r="AC12"/>
      <c r="AD12"/>
      <c r="AE12" s="6" t="s">
        <v>48</v>
      </c>
      <c r="AF12" s="46">
        <v>5</v>
      </c>
      <c r="AG12" s="46"/>
      <c r="AH12" s="46"/>
      <c r="AI12" s="46"/>
      <c r="AJ12" s="46">
        <v>5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</row>
    <row r="13" spans="1:52" s="25" customFormat="1" ht="21">
      <c r="A13" s="46" t="s">
        <v>449</v>
      </c>
      <c r="B13" s="46">
        <v>16</v>
      </c>
      <c r="C13" s="46">
        <v>54</v>
      </c>
      <c r="D13" s="46">
        <v>5</v>
      </c>
      <c r="E13" s="46">
        <v>1</v>
      </c>
      <c r="F13" s="46">
        <v>1</v>
      </c>
      <c r="G13" s="46">
        <v>52</v>
      </c>
      <c r="H13" s="46">
        <v>3</v>
      </c>
      <c r="I13" s="46">
        <v>1</v>
      </c>
      <c r="J13" s="46">
        <v>5</v>
      </c>
      <c r="K13" s="31">
        <v>138</v>
      </c>
      <c r="L13"/>
      <c r="M13"/>
      <c r="N13"/>
      <c r="O13"/>
      <c r="P13" t="s">
        <v>449</v>
      </c>
      <c r="Q13"/>
      <c r="R13">
        <v>3</v>
      </c>
      <c r="S13">
        <v>16</v>
      </c>
      <c r="T13">
        <v>5</v>
      </c>
      <c r="U13">
        <v>1</v>
      </c>
      <c r="V13">
        <v>1</v>
      </c>
      <c r="W13">
        <v>1</v>
      </c>
      <c r="X13">
        <v>52</v>
      </c>
      <c r="Y13">
        <v>54</v>
      </c>
      <c r="Z13">
        <v>5</v>
      </c>
      <c r="AA13">
        <v>138</v>
      </c>
      <c r="AB13"/>
      <c r="AC13"/>
      <c r="AD13"/>
      <c r="AE13" s="64" t="s">
        <v>40</v>
      </c>
      <c r="AF13" s="46">
        <v>1</v>
      </c>
      <c r="AG13" s="46"/>
      <c r="AH13" s="46"/>
      <c r="AI13" s="46"/>
      <c r="AJ13" s="46">
        <v>1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 spans="1:52" s="25" customFormat="1" ht="21">
      <c r="A14"/>
      <c r="B14"/>
      <c r="C14"/>
      <c r="D14"/>
      <c r="E14"/>
      <c r="F14"/>
      <c r="G14"/>
      <c r="H14"/>
      <c r="I14"/>
      <c r="J14"/>
      <c r="K14"/>
      <c r="L14"/>
      <c r="M14"/>
      <c r="P14"/>
      <c r="Q14"/>
      <c r="R14"/>
      <c r="S14"/>
      <c r="T14"/>
      <c r="U14"/>
      <c r="V14"/>
      <c r="W14"/>
      <c r="X14"/>
      <c r="Y14"/>
      <c r="Z14"/>
      <c r="AA14"/>
      <c r="AB14"/>
      <c r="AE14" s="64" t="s">
        <v>54</v>
      </c>
      <c r="AF14" s="46">
        <v>4</v>
      </c>
      <c r="AG14" s="46"/>
      <c r="AH14" s="46"/>
      <c r="AI14" s="46"/>
      <c r="AJ14" s="46">
        <v>4</v>
      </c>
      <c r="AK14"/>
      <c r="AL14"/>
      <c r="AM14"/>
      <c r="AN14"/>
      <c r="AO14"/>
      <c r="AP14"/>
      <c r="AQ14"/>
      <c r="AR14"/>
      <c r="AS14"/>
    </row>
    <row r="15" spans="1:52">
      <c r="AE15" s="6" t="s">
        <v>449</v>
      </c>
      <c r="AF15" s="46">
        <v>54</v>
      </c>
      <c r="AG15" s="46">
        <v>5</v>
      </c>
      <c r="AH15" s="46">
        <v>1</v>
      </c>
      <c r="AI15" s="46">
        <v>1</v>
      </c>
      <c r="AJ15" s="97">
        <v>61</v>
      </c>
    </row>
  </sheetData>
  <mergeCells count="3">
    <mergeCell ref="P3:S3"/>
    <mergeCell ref="A3:I3"/>
    <mergeCell ref="AE3:AH3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92A4-0952-4F7B-A217-7635029B7804}">
  <dimension ref="A2:I39"/>
  <sheetViews>
    <sheetView workbookViewId="0">
      <selection activeCell="A8" sqref="A8"/>
    </sheetView>
  </sheetViews>
  <sheetFormatPr defaultColWidth="11.42578125" defaultRowHeight="15"/>
  <cols>
    <col min="1" max="1" width="21.5703125" bestFit="1" customWidth="1"/>
    <col min="2" max="2" width="26.5703125" bestFit="1" customWidth="1"/>
    <col min="3" max="3" width="16.5703125" bestFit="1" customWidth="1"/>
    <col min="4" max="4" width="12" bestFit="1" customWidth="1"/>
    <col min="5" max="5" width="10.42578125" bestFit="1" customWidth="1"/>
    <col min="6" max="6" width="11.140625" bestFit="1" customWidth="1"/>
    <col min="7" max="7" width="13.7109375" bestFit="1" customWidth="1"/>
    <col min="8" max="8" width="5.5703125" bestFit="1" customWidth="1"/>
    <col min="9" max="9" width="5.5703125" customWidth="1"/>
    <col min="10" max="10" width="12.5703125" bestFit="1" customWidth="1"/>
    <col min="11" max="11" width="15.42578125" bestFit="1" customWidth="1"/>
    <col min="12" max="13" width="14.140625" bestFit="1" customWidth="1"/>
    <col min="14" max="14" width="17.28515625" bestFit="1" customWidth="1"/>
    <col min="15" max="15" width="10.7109375" bestFit="1" customWidth="1"/>
    <col min="16" max="17" width="12.5703125" bestFit="1" customWidth="1"/>
    <col min="18" max="18" width="15.5703125" bestFit="1" customWidth="1"/>
    <col min="19" max="19" width="16.140625" bestFit="1" customWidth="1"/>
    <col min="20" max="20" width="19.28515625" bestFit="1" customWidth="1"/>
    <col min="21" max="21" width="11.42578125" bestFit="1" customWidth="1"/>
    <col min="22" max="22" width="14.42578125" bestFit="1" customWidth="1"/>
    <col min="23" max="23" width="12.5703125" bestFit="1" customWidth="1"/>
    <col min="24" max="24" width="15.5703125" bestFit="1" customWidth="1"/>
    <col min="25" max="25" width="16.140625" bestFit="1" customWidth="1"/>
    <col min="26" max="26" width="14.42578125" bestFit="1" customWidth="1"/>
    <col min="27" max="27" width="19.28515625" bestFit="1" customWidth="1"/>
    <col min="28" max="28" width="11.42578125" bestFit="1" customWidth="1"/>
    <col min="29" max="29" width="5.85546875" bestFit="1" customWidth="1"/>
    <col min="30" max="30" width="14.42578125" bestFit="1" customWidth="1"/>
    <col min="31" max="31" width="12.5703125" bestFit="1" customWidth="1"/>
    <col min="32" max="32" width="20.140625" bestFit="1" customWidth="1"/>
    <col min="33" max="33" width="5.85546875" bestFit="1" customWidth="1"/>
    <col min="34" max="34" width="14.42578125" bestFit="1" customWidth="1"/>
    <col min="35" max="35" width="23.28515625" bestFit="1" customWidth="1"/>
    <col min="36" max="36" width="20.7109375" bestFit="1" customWidth="1"/>
    <col min="37" max="37" width="14.42578125" bestFit="1" customWidth="1"/>
    <col min="38" max="38" width="17.28515625" bestFit="1" customWidth="1"/>
    <col min="39" max="39" width="23.85546875" bestFit="1" customWidth="1"/>
    <col min="40" max="40" width="16.140625" bestFit="1" customWidth="1"/>
    <col min="41" max="41" width="19.28515625" bestFit="1" customWidth="1"/>
    <col min="42" max="42" width="15.5703125" bestFit="1" customWidth="1"/>
    <col min="43" max="43" width="16.140625" bestFit="1" customWidth="1"/>
    <col min="44" max="44" width="14.42578125" bestFit="1" customWidth="1"/>
    <col min="45" max="45" width="19.28515625" bestFit="1" customWidth="1"/>
    <col min="46" max="46" width="11.42578125" bestFit="1" customWidth="1"/>
    <col min="47" max="47" width="5.85546875" bestFit="1" customWidth="1"/>
    <col min="48" max="48" width="14.42578125" bestFit="1" customWidth="1"/>
    <col min="49" max="49" width="19.140625" bestFit="1" customWidth="1"/>
    <col min="50" max="50" width="16" bestFit="1" customWidth="1"/>
    <col min="51" max="51" width="15.5703125" bestFit="1" customWidth="1"/>
    <col min="52" max="52" width="17.28515625" bestFit="1" customWidth="1"/>
    <col min="53" max="53" width="11.42578125" bestFit="1" customWidth="1"/>
    <col min="54" max="54" width="5.85546875" bestFit="1" customWidth="1"/>
    <col min="55" max="55" width="14.42578125" bestFit="1" customWidth="1"/>
    <col min="56" max="56" width="19.140625" bestFit="1" customWidth="1"/>
    <col min="57" max="57" width="16" bestFit="1" customWidth="1"/>
    <col min="58" max="59" width="5.85546875" bestFit="1" customWidth="1"/>
    <col min="60" max="60" width="11.42578125" bestFit="1" customWidth="1"/>
    <col min="61" max="61" width="5.85546875" bestFit="1" customWidth="1"/>
    <col min="62" max="62" width="14.42578125" bestFit="1" customWidth="1"/>
    <col min="63" max="63" width="19.140625" bestFit="1" customWidth="1"/>
    <col min="64" max="64" width="16.5703125" bestFit="1" customWidth="1"/>
    <col min="65" max="66" width="5.85546875" bestFit="1" customWidth="1"/>
    <col min="67" max="67" width="19.7109375" bestFit="1" customWidth="1"/>
    <col min="68" max="68" width="12.42578125" bestFit="1" customWidth="1"/>
    <col min="69" max="70" width="5.85546875" bestFit="1" customWidth="1"/>
    <col min="71" max="71" width="12.5703125" bestFit="1" customWidth="1"/>
    <col min="72" max="72" width="14.42578125" bestFit="1" customWidth="1"/>
    <col min="73" max="73" width="15.5703125" bestFit="1" customWidth="1"/>
    <col min="74" max="74" width="11.42578125" bestFit="1" customWidth="1"/>
    <col min="75" max="75" width="5.85546875" bestFit="1" customWidth="1"/>
    <col min="76" max="76" width="14.42578125" bestFit="1" customWidth="1"/>
    <col min="77" max="77" width="15.42578125" bestFit="1" customWidth="1"/>
    <col min="78" max="78" width="12.5703125" bestFit="1" customWidth="1"/>
    <col min="79" max="80" width="5.85546875" bestFit="1" customWidth="1"/>
    <col min="81" max="81" width="11.42578125" bestFit="1" customWidth="1"/>
    <col min="82" max="82" width="5.85546875" bestFit="1" customWidth="1"/>
    <col min="83" max="83" width="14.42578125" bestFit="1" customWidth="1"/>
    <col min="84" max="84" width="15.5703125" bestFit="1" customWidth="1"/>
    <col min="85" max="85" width="12.5703125" bestFit="1" customWidth="1"/>
    <col min="86" max="86" width="15.5703125" bestFit="1" customWidth="1"/>
    <col min="87" max="87" width="17.28515625" bestFit="1" customWidth="1"/>
    <col min="88" max="88" width="16.140625" bestFit="1" customWidth="1"/>
    <col min="89" max="89" width="5.85546875" bestFit="1" customWidth="1"/>
    <col min="90" max="90" width="14.42578125" bestFit="1" customWidth="1"/>
    <col min="91" max="91" width="19.28515625" bestFit="1" customWidth="1"/>
    <col min="92" max="92" width="11.42578125" bestFit="1" customWidth="1"/>
    <col min="93" max="94" width="5.85546875" bestFit="1" customWidth="1"/>
    <col min="95" max="95" width="14.42578125" bestFit="1" customWidth="1"/>
    <col min="96" max="96" width="15.42578125" bestFit="1" customWidth="1"/>
    <col min="97" max="97" width="16.140625" bestFit="1" customWidth="1"/>
    <col min="98" max="98" width="5.85546875" bestFit="1" customWidth="1"/>
    <col min="99" max="99" width="14.42578125" bestFit="1" customWidth="1"/>
    <col min="100" max="100" width="19.28515625" bestFit="1" customWidth="1"/>
    <col min="101" max="101" width="11.42578125" bestFit="1" customWidth="1"/>
    <col min="102" max="103" width="5.85546875" bestFit="1" customWidth="1"/>
    <col min="104" max="104" width="14.42578125" bestFit="1" customWidth="1"/>
    <col min="105" max="105" width="15.5703125" bestFit="1" customWidth="1"/>
    <col min="106" max="106" width="12.5703125" bestFit="1" customWidth="1"/>
    <col min="107" max="107" width="14.42578125" bestFit="1" customWidth="1"/>
    <col min="108" max="108" width="15.5703125" bestFit="1" customWidth="1"/>
    <col min="109" max="109" width="19.140625" bestFit="1" customWidth="1"/>
    <col min="110" max="110" width="16" bestFit="1" customWidth="1"/>
    <col min="111" max="111" width="15.5703125" bestFit="1" customWidth="1"/>
    <col min="112" max="112" width="17.28515625" bestFit="1" customWidth="1"/>
    <col min="113" max="113" width="11.42578125" bestFit="1" customWidth="1"/>
    <col min="114" max="114" width="5.85546875" bestFit="1" customWidth="1"/>
    <col min="115" max="115" width="14.42578125" bestFit="1" customWidth="1"/>
    <col min="116" max="116" width="15.42578125" bestFit="1" customWidth="1"/>
    <col min="117" max="117" width="19.140625" bestFit="1" customWidth="1"/>
    <col min="118" max="118" width="16" bestFit="1" customWidth="1"/>
    <col min="119" max="119" width="5.85546875" bestFit="1" customWidth="1"/>
    <col min="120" max="120" width="14.42578125" bestFit="1" customWidth="1"/>
    <col min="121" max="121" width="15.42578125" bestFit="1" customWidth="1"/>
    <col min="122" max="122" width="19.140625" bestFit="1" customWidth="1"/>
    <col min="123" max="123" width="16.5703125" bestFit="1" customWidth="1"/>
    <col min="124" max="126" width="5.85546875" bestFit="1" customWidth="1"/>
    <col min="127" max="127" width="19.7109375" bestFit="1" customWidth="1"/>
    <col min="128" max="128" width="16.140625" bestFit="1" customWidth="1"/>
    <col min="129" max="129" width="5.85546875" bestFit="1" customWidth="1"/>
    <col min="130" max="130" width="14.42578125" bestFit="1" customWidth="1"/>
    <col min="131" max="131" width="19.28515625" bestFit="1" customWidth="1"/>
    <col min="132" max="132" width="11.42578125" bestFit="1" customWidth="1"/>
    <col min="133" max="134" width="5.85546875" bestFit="1" customWidth="1"/>
    <col min="135" max="135" width="14.42578125" bestFit="1" customWidth="1"/>
    <col min="136" max="136" width="15.42578125" bestFit="1" customWidth="1"/>
    <col min="137" max="137" width="16.140625" bestFit="1" customWidth="1"/>
    <col min="138" max="138" width="5.85546875" bestFit="1" customWidth="1"/>
    <col min="139" max="139" width="14.42578125" bestFit="1" customWidth="1"/>
    <col min="140" max="140" width="19.28515625" bestFit="1" customWidth="1"/>
    <col min="141" max="141" width="11.42578125" bestFit="1" customWidth="1"/>
    <col min="142" max="143" width="5.85546875" bestFit="1" customWidth="1"/>
    <col min="144" max="144" width="14.42578125" bestFit="1" customWidth="1"/>
    <col min="145" max="145" width="15.5703125" bestFit="1" customWidth="1"/>
    <col min="146" max="146" width="14.5703125" bestFit="1" customWidth="1"/>
    <col min="147" max="147" width="12.28515625" bestFit="1" customWidth="1"/>
    <col min="148" max="151" width="5.85546875" bestFit="1" customWidth="1"/>
    <col min="152" max="152" width="20.140625" bestFit="1" customWidth="1"/>
    <col min="153" max="153" width="5.85546875" bestFit="1" customWidth="1"/>
    <col min="154" max="154" width="14.42578125" bestFit="1" customWidth="1"/>
    <col min="155" max="155" width="15.5703125" bestFit="1" customWidth="1"/>
    <col min="156" max="156" width="23.28515625" bestFit="1" customWidth="1"/>
    <col min="157" max="157" width="20.7109375" bestFit="1" customWidth="1"/>
    <col min="158" max="158" width="14.42578125" bestFit="1" customWidth="1"/>
    <col min="159" max="159" width="17.28515625" bestFit="1" customWidth="1"/>
    <col min="160" max="160" width="15.42578125" bestFit="1" customWidth="1"/>
    <col min="161" max="161" width="23.85546875" bestFit="1" customWidth="1"/>
    <col min="162" max="162" width="16.140625" bestFit="1" customWidth="1"/>
    <col min="163" max="163" width="5.85546875" bestFit="1" customWidth="1"/>
    <col min="164" max="164" width="14.42578125" bestFit="1" customWidth="1"/>
    <col min="165" max="165" width="19.28515625" bestFit="1" customWidth="1"/>
    <col min="166" max="166" width="11.42578125" bestFit="1" customWidth="1"/>
    <col min="167" max="168" width="5.85546875" bestFit="1" customWidth="1"/>
    <col min="169" max="169" width="14.42578125" bestFit="1" customWidth="1"/>
    <col min="170" max="170" width="15.42578125" bestFit="1" customWidth="1"/>
    <col min="171" max="171" width="12.5703125" bestFit="1" customWidth="1"/>
    <col min="172" max="173" width="5.85546875" bestFit="1" customWidth="1"/>
    <col min="174" max="174" width="14.42578125" bestFit="1" customWidth="1"/>
    <col min="175" max="175" width="15.5703125" bestFit="1" customWidth="1"/>
    <col min="176" max="176" width="15.28515625" bestFit="1" customWidth="1"/>
    <col min="177" max="177" width="12.5703125" bestFit="1" customWidth="1"/>
    <col min="178" max="178" width="19.140625" bestFit="1" customWidth="1"/>
    <col min="179" max="179" width="16.5703125" bestFit="1" customWidth="1"/>
    <col min="180" max="182" width="5.85546875" bestFit="1" customWidth="1"/>
    <col min="183" max="183" width="19.7109375" bestFit="1" customWidth="1"/>
    <col min="184" max="184" width="8.42578125" bestFit="1" customWidth="1"/>
    <col min="185" max="185" width="17.7109375" bestFit="1" customWidth="1"/>
    <col min="186" max="187" width="5.85546875" bestFit="1" customWidth="1"/>
    <col min="188" max="188" width="14.42578125" bestFit="1" customWidth="1"/>
    <col min="189" max="189" width="15.42578125" bestFit="1" customWidth="1"/>
    <col min="190" max="190" width="20.85546875" bestFit="1" customWidth="1"/>
    <col min="191" max="191" width="20.140625" bestFit="1" customWidth="1"/>
    <col min="192" max="195" width="5.85546875" bestFit="1" customWidth="1"/>
    <col min="196" max="196" width="16.140625" bestFit="1" customWidth="1"/>
    <col min="197" max="197" width="5.85546875" bestFit="1" customWidth="1"/>
    <col min="198" max="198" width="14.42578125" bestFit="1" customWidth="1"/>
    <col min="199" max="199" width="19.28515625" bestFit="1" customWidth="1"/>
    <col min="200" max="200" width="11.42578125" bestFit="1" customWidth="1"/>
    <col min="201" max="202" width="5.85546875" bestFit="1" customWidth="1"/>
    <col min="203" max="203" width="14.42578125" bestFit="1" customWidth="1"/>
    <col min="204" max="204" width="15.5703125" bestFit="1" customWidth="1"/>
    <col min="205" max="205" width="23.28515625" bestFit="1" customWidth="1"/>
    <col min="206" max="206" width="20.140625" bestFit="1" customWidth="1"/>
    <col min="207" max="210" width="5.85546875" bestFit="1" customWidth="1"/>
    <col min="211" max="211" width="12.5703125" bestFit="1" customWidth="1"/>
    <col min="212" max="213" width="5.85546875" bestFit="1" customWidth="1"/>
    <col min="214" max="214" width="14.42578125" bestFit="1" customWidth="1"/>
    <col min="215" max="215" width="15.5703125" bestFit="1" customWidth="1"/>
    <col min="216" max="216" width="23.28515625" bestFit="1" customWidth="1"/>
    <col min="217" max="217" width="20.7109375" bestFit="1" customWidth="1"/>
    <col min="218" max="218" width="5.85546875" bestFit="1" customWidth="1"/>
    <col min="219" max="219" width="14.42578125" bestFit="1" customWidth="1"/>
    <col min="220" max="220" width="19.28515625" bestFit="1" customWidth="1"/>
    <col min="221" max="221" width="11.42578125" bestFit="1" customWidth="1"/>
    <col min="222" max="223" width="5.85546875" bestFit="1" customWidth="1"/>
    <col min="224" max="224" width="14.42578125" bestFit="1" customWidth="1"/>
    <col min="225" max="225" width="15.5703125" bestFit="1" customWidth="1"/>
    <col min="226" max="226" width="23.85546875" bestFit="1" customWidth="1"/>
    <col min="227" max="227" width="20.140625" bestFit="1" customWidth="1"/>
    <col min="228" max="231" width="5.85546875" bestFit="1" customWidth="1"/>
    <col min="232" max="232" width="12.42578125" bestFit="1" customWidth="1"/>
    <col min="233" max="234" width="5.85546875" bestFit="1" customWidth="1"/>
    <col min="235" max="235" width="14.42578125" bestFit="1" customWidth="1"/>
    <col min="236" max="236" width="15.42578125" bestFit="1" customWidth="1"/>
    <col min="237" max="237" width="23.28515625" bestFit="1" customWidth="1"/>
    <col min="238" max="238" width="20.7109375" bestFit="1" customWidth="1"/>
    <col min="239" max="242" width="5.85546875" bestFit="1" customWidth="1"/>
    <col min="243" max="243" width="12.42578125" bestFit="1" customWidth="1"/>
    <col min="244" max="245" width="5.85546875" bestFit="1" customWidth="1"/>
    <col min="246" max="246" width="14.42578125" bestFit="1" customWidth="1"/>
    <col min="247" max="247" width="15.42578125" bestFit="1" customWidth="1"/>
    <col min="248" max="248" width="12.5703125" bestFit="1" customWidth="1"/>
    <col min="249" max="250" width="5.85546875" bestFit="1" customWidth="1"/>
    <col min="251" max="251" width="14.42578125" bestFit="1" customWidth="1"/>
    <col min="252" max="252" width="15.5703125" bestFit="1" customWidth="1"/>
    <col min="253" max="253" width="23.85546875" bestFit="1" customWidth="1"/>
    <col min="254" max="254" width="20.140625" bestFit="1" customWidth="1"/>
    <col min="255" max="258" width="5.85546875" bestFit="1" customWidth="1"/>
    <col min="259" max="259" width="12.42578125" bestFit="1" customWidth="1"/>
    <col min="260" max="261" width="5.85546875" bestFit="1" customWidth="1"/>
    <col min="262" max="262" width="14.42578125" bestFit="1" customWidth="1"/>
    <col min="263" max="263" width="15.42578125" bestFit="1" customWidth="1"/>
    <col min="264" max="264" width="23.28515625" bestFit="1" customWidth="1"/>
    <col min="265" max="265" width="20.140625" bestFit="1" customWidth="1"/>
    <col min="266" max="269" width="5.85546875" bestFit="1" customWidth="1"/>
    <col min="270" max="270" width="23.28515625" bestFit="1" customWidth="1"/>
    <col min="271" max="271" width="16" bestFit="1" customWidth="1"/>
    <col min="272" max="275" width="5.85546875" bestFit="1" customWidth="1"/>
    <col min="276" max="276" width="16.140625" bestFit="1" customWidth="1"/>
    <col min="277" max="277" width="5.85546875" bestFit="1" customWidth="1"/>
    <col min="278" max="278" width="14.42578125" bestFit="1" customWidth="1"/>
    <col min="279" max="279" width="19.28515625" bestFit="1" customWidth="1"/>
    <col min="280" max="280" width="11.42578125" bestFit="1" customWidth="1"/>
    <col min="281" max="282" width="5.85546875" bestFit="1" customWidth="1"/>
    <col min="283" max="283" width="14.42578125" bestFit="1" customWidth="1"/>
    <col min="284" max="284" width="15.42578125" bestFit="1" customWidth="1"/>
    <col min="285" max="285" width="12.5703125" bestFit="1" customWidth="1"/>
    <col min="286" max="287" width="5.85546875" bestFit="1" customWidth="1"/>
    <col min="288" max="288" width="14.42578125" bestFit="1" customWidth="1"/>
    <col min="289" max="289" width="15.5703125" bestFit="1" customWidth="1"/>
    <col min="290" max="290" width="19.140625" bestFit="1" customWidth="1"/>
    <col min="291" max="291" width="16" bestFit="1" customWidth="1"/>
    <col min="292" max="295" width="5.85546875" bestFit="1" customWidth="1"/>
    <col min="296" max="296" width="19.140625" bestFit="1" customWidth="1"/>
    <col min="297" max="297" width="16.5703125" bestFit="1" customWidth="1"/>
    <col min="298" max="301" width="5.85546875" bestFit="1" customWidth="1"/>
    <col min="302" max="302" width="12.5703125" bestFit="1" customWidth="1"/>
    <col min="303" max="304" width="5.85546875" bestFit="1" customWidth="1"/>
    <col min="305" max="305" width="14.42578125" bestFit="1" customWidth="1"/>
    <col min="306" max="306" width="15.5703125" bestFit="1" customWidth="1"/>
    <col min="307" max="307" width="19.7109375" bestFit="1" customWidth="1"/>
    <col min="308" max="308" width="16" bestFit="1" customWidth="1"/>
    <col min="309" max="312" width="5.85546875" bestFit="1" customWidth="1"/>
    <col min="313" max="313" width="19.140625" bestFit="1" customWidth="1"/>
    <col min="314" max="314" width="16.5703125" bestFit="1" customWidth="1"/>
    <col min="315" max="318" width="5.85546875" bestFit="1" customWidth="1"/>
    <col min="319" max="319" width="12.5703125" bestFit="1" customWidth="1"/>
    <col min="320" max="321" width="5.85546875" bestFit="1" customWidth="1"/>
    <col min="322" max="322" width="14.42578125" bestFit="1" customWidth="1"/>
    <col min="323" max="323" width="15.5703125" bestFit="1" customWidth="1"/>
    <col min="324" max="324" width="19.7109375" bestFit="1" customWidth="1"/>
    <col min="325" max="325" width="14.5703125" bestFit="1" customWidth="1"/>
    <col min="326" max="326" width="20.140625" bestFit="1" customWidth="1"/>
    <col min="327" max="327" width="5.85546875" bestFit="1" customWidth="1"/>
    <col min="328" max="328" width="14.42578125" bestFit="1" customWidth="1"/>
    <col min="329" max="329" width="15.5703125" bestFit="1" customWidth="1"/>
    <col min="330" max="330" width="23.28515625" bestFit="1" customWidth="1"/>
    <col min="331" max="331" width="20.7109375" bestFit="1" customWidth="1"/>
    <col min="332" max="332" width="14.42578125" bestFit="1" customWidth="1"/>
    <col min="333" max="333" width="17.28515625" bestFit="1" customWidth="1"/>
    <col min="334" max="334" width="15.42578125" bestFit="1" customWidth="1"/>
    <col min="335" max="335" width="23.85546875" bestFit="1" customWidth="1"/>
    <col min="336" max="336" width="8.42578125" bestFit="1" customWidth="1"/>
    <col min="337" max="337" width="17.7109375" bestFit="1" customWidth="1"/>
    <col min="338" max="341" width="5.85546875" bestFit="1" customWidth="1"/>
    <col min="342" max="342" width="20.85546875" bestFit="1" customWidth="1"/>
    <col min="343" max="343" width="20.140625" bestFit="1" customWidth="1"/>
    <col min="344" max="344" width="5.85546875" bestFit="1" customWidth="1"/>
    <col min="345" max="345" width="14.42578125" bestFit="1" customWidth="1"/>
    <col min="346" max="346" width="19.28515625" bestFit="1" customWidth="1"/>
    <col min="347" max="347" width="15.42578125" bestFit="1" customWidth="1"/>
    <col min="348" max="348" width="23.28515625" bestFit="1" customWidth="1"/>
    <col min="349" max="349" width="20.140625" bestFit="1" customWidth="1"/>
    <col min="350" max="353" width="5.85546875" bestFit="1" customWidth="1"/>
    <col min="354" max="354" width="12.5703125" bestFit="1" customWidth="1"/>
    <col min="355" max="356" width="5.85546875" bestFit="1" customWidth="1"/>
    <col min="357" max="357" width="14.42578125" bestFit="1" customWidth="1"/>
    <col min="358" max="358" width="15.5703125" bestFit="1" customWidth="1"/>
    <col min="359" max="359" width="23.28515625" bestFit="1" customWidth="1"/>
    <col min="360" max="360" width="20.140625" bestFit="1" customWidth="1"/>
    <col min="361" max="364" width="5.85546875" bestFit="1" customWidth="1"/>
    <col min="365" max="365" width="12.42578125" bestFit="1" customWidth="1"/>
    <col min="366" max="367" width="5.85546875" bestFit="1" customWidth="1"/>
    <col min="368" max="368" width="14.42578125" bestFit="1" customWidth="1"/>
    <col min="369" max="369" width="15.42578125" bestFit="1" customWidth="1"/>
    <col min="370" max="370" width="23.28515625" bestFit="1" customWidth="1"/>
    <col min="371" max="371" width="20.140625" bestFit="1" customWidth="1"/>
    <col min="372" max="375" width="5.85546875" bestFit="1" customWidth="1"/>
    <col min="376" max="376" width="23.28515625" bestFit="1" customWidth="1"/>
    <col min="377" max="377" width="20.140625" bestFit="1" customWidth="1"/>
    <col min="378" max="381" width="5.85546875" bestFit="1" customWidth="1"/>
    <col min="382" max="382" width="23.28515625" bestFit="1" customWidth="1"/>
    <col min="383" max="383" width="16.5703125" bestFit="1" customWidth="1"/>
    <col min="384" max="387" width="5.85546875" bestFit="1" customWidth="1"/>
    <col min="388" max="388" width="19.7109375" bestFit="1" customWidth="1"/>
    <col min="389" max="389" width="16" bestFit="1" customWidth="1"/>
    <col min="390" max="393" width="5.85546875" bestFit="1" customWidth="1"/>
    <col min="394" max="394" width="19.140625" bestFit="1" customWidth="1"/>
    <col min="395" max="395" width="16.5703125" bestFit="1" customWidth="1"/>
    <col min="396" max="397" width="5.85546875" bestFit="1" customWidth="1"/>
    <col min="398" max="398" width="14.42578125" bestFit="1" customWidth="1"/>
    <col min="399" max="399" width="15.42578125" bestFit="1" customWidth="1"/>
    <col min="400" max="400" width="19.7109375" bestFit="1" customWidth="1"/>
    <col min="401" max="401" width="15.28515625" bestFit="1" customWidth="1"/>
    <col min="402" max="402" width="12.5703125" bestFit="1" customWidth="1"/>
  </cols>
  <sheetData>
    <row r="2" spans="1:8">
      <c r="A2" s="34" t="s">
        <v>463</v>
      </c>
      <c r="B2" s="34" t="s">
        <v>464</v>
      </c>
      <c r="C2" s="34"/>
      <c r="D2" s="34"/>
      <c r="E2" s="34"/>
      <c r="F2" s="34"/>
      <c r="G2" s="34"/>
      <c r="H2" s="34"/>
    </row>
    <row r="3" spans="1:8">
      <c r="A3" s="16" t="s">
        <v>462</v>
      </c>
      <c r="B3" s="16" t="s">
        <v>43</v>
      </c>
      <c r="C3" s="16" t="s">
        <v>64</v>
      </c>
      <c r="D3" s="16" t="s">
        <v>129</v>
      </c>
      <c r="E3" s="16" t="s">
        <v>55</v>
      </c>
      <c r="F3" s="16" t="s">
        <v>130</v>
      </c>
      <c r="G3" s="16" t="s">
        <v>260</v>
      </c>
      <c r="H3" s="16" t="s">
        <v>94</v>
      </c>
    </row>
    <row r="4" spans="1:8">
      <c r="A4" s="18" t="s">
        <v>192</v>
      </c>
      <c r="B4" s="15">
        <v>5</v>
      </c>
      <c r="C4" s="15">
        <v>2</v>
      </c>
      <c r="D4" s="15"/>
      <c r="E4" s="15"/>
      <c r="F4" s="15"/>
      <c r="G4" s="15"/>
      <c r="H4" s="15">
        <v>7</v>
      </c>
    </row>
    <row r="5" spans="1:8">
      <c r="A5" s="18" t="s">
        <v>40</v>
      </c>
      <c r="B5" s="15">
        <v>22</v>
      </c>
      <c r="C5" s="15">
        <v>3</v>
      </c>
      <c r="D5" s="15">
        <v>10</v>
      </c>
      <c r="E5" s="15">
        <v>6</v>
      </c>
      <c r="F5" s="15"/>
      <c r="G5" s="15"/>
      <c r="H5" s="15">
        <v>41</v>
      </c>
    </row>
    <row r="6" spans="1:8">
      <c r="A6" s="18" t="s">
        <v>54</v>
      </c>
      <c r="B6" s="15">
        <v>48</v>
      </c>
      <c r="C6" s="15">
        <v>10</v>
      </c>
      <c r="D6" s="15">
        <v>2</v>
      </c>
      <c r="E6" s="15">
        <v>20</v>
      </c>
      <c r="F6" s="15">
        <v>2</v>
      </c>
      <c r="G6" s="15"/>
      <c r="H6" s="15">
        <v>82</v>
      </c>
    </row>
    <row r="7" spans="1:8">
      <c r="A7" s="18" t="s">
        <v>249</v>
      </c>
      <c r="B7" s="15"/>
      <c r="C7" s="15">
        <v>1</v>
      </c>
      <c r="D7" s="15"/>
      <c r="E7" s="15">
        <v>6</v>
      </c>
      <c r="F7" s="15"/>
      <c r="G7" s="15">
        <v>1</v>
      </c>
      <c r="H7" s="15">
        <v>8</v>
      </c>
    </row>
    <row r="8" spans="1:8">
      <c r="A8" s="15" t="s">
        <v>94</v>
      </c>
      <c r="B8" s="15">
        <v>75</v>
      </c>
      <c r="C8" s="15">
        <v>16</v>
      </c>
      <c r="D8" s="15">
        <v>12</v>
      </c>
      <c r="E8" s="15">
        <v>32</v>
      </c>
      <c r="F8" s="15">
        <v>2</v>
      </c>
      <c r="G8" s="15">
        <v>1</v>
      </c>
      <c r="H8" s="15">
        <v>138</v>
      </c>
    </row>
    <row r="31" spans="9:9">
      <c r="I31" s="66"/>
    </row>
    <row r="32" spans="9:9">
      <c r="I32" s="66"/>
    </row>
    <row r="33" spans="9:9">
      <c r="I33" s="66"/>
    </row>
    <row r="34" spans="9:9">
      <c r="I34" s="66"/>
    </row>
    <row r="35" spans="9:9">
      <c r="I35" s="66"/>
    </row>
    <row r="36" spans="9:9">
      <c r="I36" s="66"/>
    </row>
    <row r="37" spans="9:9">
      <c r="I37" s="66"/>
    </row>
    <row r="38" spans="9:9">
      <c r="I38" s="66"/>
    </row>
    <row r="39" spans="9:9">
      <c r="I39" s="6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7090-EA2D-4176-891A-C19113759D83}">
  <dimension ref="A4:F6"/>
  <sheetViews>
    <sheetView workbookViewId="0">
      <selection activeCell="B9" sqref="B9"/>
    </sheetView>
  </sheetViews>
  <sheetFormatPr defaultRowHeight="15"/>
  <cols>
    <col min="1" max="1" width="12.42578125" customWidth="1"/>
    <col min="2" max="2" width="18" customWidth="1"/>
    <col min="3" max="3" width="14" customWidth="1"/>
    <col min="4" max="4" width="13.5703125" customWidth="1"/>
    <col min="5" max="5" width="14.85546875" customWidth="1"/>
    <col min="6" max="6" width="16.42578125" customWidth="1"/>
  </cols>
  <sheetData>
    <row r="4" spans="1:6" s="24" customFormat="1" ht="29.25">
      <c r="A4" s="69" t="s">
        <v>10</v>
      </c>
      <c r="B4" s="70" t="s">
        <v>68</v>
      </c>
      <c r="C4" s="71" t="s">
        <v>465</v>
      </c>
      <c r="D4" s="72" t="s">
        <v>466</v>
      </c>
      <c r="E4" s="73" t="s">
        <v>467</v>
      </c>
      <c r="F4" s="74" t="s">
        <v>468</v>
      </c>
    </row>
    <row r="5" spans="1:6">
      <c r="A5" s="75" t="s">
        <v>48</v>
      </c>
      <c r="B5" s="77">
        <v>6</v>
      </c>
      <c r="C5" s="78">
        <v>18</v>
      </c>
      <c r="D5" s="79">
        <v>11</v>
      </c>
      <c r="E5" s="80">
        <v>44</v>
      </c>
      <c r="F5" s="81">
        <f>B5+C5+D5</f>
        <v>35</v>
      </c>
    </row>
    <row r="6" spans="1:6">
      <c r="A6" s="82"/>
      <c r="B6" s="83"/>
      <c r="C6" s="83"/>
      <c r="D6" s="83"/>
      <c r="E6" s="83"/>
      <c r="F6" s="8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FA80-3B8B-4BEB-B1E5-3F1E8975A5B4}">
  <dimension ref="A2:I8"/>
  <sheetViews>
    <sheetView workbookViewId="0">
      <selection activeCell="I8" sqref="I8"/>
    </sheetView>
  </sheetViews>
  <sheetFormatPr defaultRowHeight="15"/>
  <cols>
    <col min="1" max="1" width="15.28515625" bestFit="1" customWidth="1"/>
    <col min="2" max="2" width="16" bestFit="1" customWidth="1"/>
    <col min="3" max="3" width="8.28515625" bestFit="1" customWidth="1"/>
    <col min="4" max="4" width="8.7109375" bestFit="1" customWidth="1"/>
    <col min="5" max="5" width="12.5703125" bestFit="1" customWidth="1"/>
    <col min="6" max="6" width="17.85546875" customWidth="1"/>
    <col min="7" max="7" width="6.140625" bestFit="1" customWidth="1"/>
    <col min="8" max="8" width="19.42578125" bestFit="1" customWidth="1"/>
    <col min="9" max="9" width="5.5703125" bestFit="1" customWidth="1"/>
  </cols>
  <sheetData>
    <row r="2" spans="1:9">
      <c r="A2" s="55" t="s">
        <v>469</v>
      </c>
      <c r="B2" s="53" t="s">
        <v>460</v>
      </c>
      <c r="C2" s="53"/>
      <c r="D2" s="53"/>
      <c r="E2" s="53"/>
      <c r="F2" s="53"/>
      <c r="G2" s="53"/>
      <c r="H2" s="53"/>
      <c r="I2" s="53"/>
    </row>
    <row r="3" spans="1:9">
      <c r="A3" s="55" t="s">
        <v>8</v>
      </c>
      <c r="B3" s="55" t="s">
        <v>41</v>
      </c>
      <c r="C3" s="55" t="s">
        <v>85</v>
      </c>
      <c r="D3" s="55" t="s">
        <v>86</v>
      </c>
      <c r="E3" s="55" t="s">
        <v>81</v>
      </c>
      <c r="F3" s="55" t="s">
        <v>87</v>
      </c>
      <c r="G3" s="55" t="s">
        <v>82</v>
      </c>
      <c r="H3" s="55" t="s">
        <v>83</v>
      </c>
      <c r="I3" s="55" t="s">
        <v>94</v>
      </c>
    </row>
    <row r="4" spans="1:9">
      <c r="A4" s="56" t="s">
        <v>192</v>
      </c>
      <c r="B4" s="56">
        <v>1</v>
      </c>
      <c r="C4" s="56"/>
      <c r="D4" s="56"/>
      <c r="E4" s="56">
        <v>1</v>
      </c>
      <c r="F4" s="56"/>
      <c r="G4" s="56"/>
      <c r="H4" s="56"/>
      <c r="I4" s="56">
        <v>2</v>
      </c>
    </row>
    <row r="5" spans="1:9">
      <c r="A5" s="57" t="s">
        <v>40</v>
      </c>
      <c r="B5" s="57">
        <v>13</v>
      </c>
      <c r="C5" s="57">
        <v>3</v>
      </c>
      <c r="D5" s="57">
        <v>1</v>
      </c>
      <c r="E5" s="57">
        <v>1</v>
      </c>
      <c r="F5" s="57">
        <v>5</v>
      </c>
      <c r="G5" s="57"/>
      <c r="H5" s="57"/>
      <c r="I5" s="57">
        <v>23</v>
      </c>
    </row>
    <row r="6" spans="1:9">
      <c r="A6" s="54" t="s">
        <v>54</v>
      </c>
      <c r="B6" s="54">
        <v>33</v>
      </c>
      <c r="C6" s="54"/>
      <c r="D6" s="54"/>
      <c r="E6" s="54">
        <v>3</v>
      </c>
      <c r="F6" s="54"/>
      <c r="G6" s="54">
        <v>1</v>
      </c>
      <c r="H6" s="54">
        <v>1</v>
      </c>
      <c r="I6" s="54">
        <v>38</v>
      </c>
    </row>
    <row r="7" spans="1:9">
      <c r="A7" s="58" t="s">
        <v>249</v>
      </c>
      <c r="B7" s="58">
        <v>7</v>
      </c>
      <c r="C7" s="58"/>
      <c r="D7" s="58"/>
      <c r="E7" s="58"/>
      <c r="F7" s="58"/>
      <c r="G7" s="58"/>
      <c r="H7" s="58"/>
      <c r="I7" s="58">
        <v>7</v>
      </c>
    </row>
    <row r="8" spans="1:9">
      <c r="A8" s="59" t="s">
        <v>94</v>
      </c>
      <c r="B8" s="59">
        <v>54</v>
      </c>
      <c r="C8" s="59">
        <v>3</v>
      </c>
      <c r="D8" s="59">
        <v>1</v>
      </c>
      <c r="E8" s="59">
        <v>5</v>
      </c>
      <c r="F8" s="59">
        <v>5</v>
      </c>
      <c r="G8" s="59">
        <v>1</v>
      </c>
      <c r="H8" s="59">
        <v>1</v>
      </c>
      <c r="I8" s="100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2095F8-66CD-4824-B9F6-2C5486DB9B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Rodríguez Soriano</dc:creator>
  <cp:keywords/>
  <dc:description/>
  <cp:lastModifiedBy/>
  <cp:revision/>
  <dcterms:created xsi:type="dcterms:W3CDTF">2025-10-03T21:51:36Z</dcterms:created>
  <dcterms:modified xsi:type="dcterms:W3CDTF">2025-11-12T15:03:31Z</dcterms:modified>
  <cp:category/>
  <cp:contentStatus/>
</cp:coreProperties>
</file>