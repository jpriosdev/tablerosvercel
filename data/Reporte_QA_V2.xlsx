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t3bazurep-my.sharepoint.com/personal/crs_tiendas3b_com/Documents/Documentos/"/>
    </mc:Choice>
  </mc:AlternateContent>
  <xr:revisionPtr revIDLastSave="0" documentId="8_{81286D27-F8BA-4270-8798-AC8B5298C58B}" xr6:coauthVersionLast="47" xr6:coauthVersionMax="47" xr10:uidLastSave="{00000000-0000-0000-0000-000000000000}"/>
  <bookViews>
    <workbookView xWindow="15" yWindow="1095" windowWidth="28785" windowHeight="15105" firstSheet="5" activeTab="5" xr2:uid="{4A3FA57B-3D52-469C-8AFC-DEB5BAE89D38}"/>
  </bookViews>
  <sheets>
    <sheet name="Comportamientos" sheetId="32" r:id="rId1"/>
    <sheet name="fuga" sheetId="28" r:id="rId2"/>
    <sheet name="TendenciaXVersión" sheetId="25" r:id="rId3"/>
    <sheet name="BUGS X VERSIÓN" sheetId="26" r:id="rId4"/>
    <sheet name="Reporte_Gral" sheetId="2" r:id="rId5"/>
    <sheet name="Hoja3" sheetId="37" r:id="rId6"/>
    <sheet name="Copia Reporte General Pilar" sheetId="18" state="hidden" r:id="rId7"/>
    <sheet name="BUGS X CATEGORIA" sheetId="12" r:id="rId8"/>
    <sheet name="BUGS X DESARROLLADOR" sheetId="7" r:id="rId9"/>
    <sheet name="TendenciaXSprint" sheetId="8" r:id="rId10"/>
    <sheet name="BUG X MÓDULO" sheetId="6" r:id="rId11"/>
    <sheet name="Bugs x Funcionalidad" sheetId="23" r:id="rId12"/>
    <sheet name="Hoja2" sheetId="16" state="hidden" r:id="rId13"/>
    <sheet name="Hoja1" sheetId="14" state="hidden" r:id="rId14"/>
    <sheet name="Versiones" sheetId="19" r:id="rId15"/>
    <sheet name="Funcionalidades" sheetId="20" r:id="rId16"/>
    <sheet name="Categorías" sheetId="1" r:id="rId17"/>
    <sheet name="BUGS X SPRINT" sheetId="11" r:id="rId18"/>
    <sheet name="Hoja4" sheetId="34" r:id="rId19"/>
    <sheet name="Hoja6" sheetId="36" r:id="rId20"/>
  </sheets>
  <definedNames>
    <definedName name="_xlnm._FilterDatabase" localSheetId="9" hidden="1">TendenciaXSprint!$B$3:$J$3</definedName>
    <definedName name="_xlnm._FilterDatabase" localSheetId="2" hidden="1">TendenciaXVersión!$B$3:$H$3</definedName>
    <definedName name="_xlcn.WorksheetConnection_Reporte_Gral_V2.xlsxJira__321" hidden="1">Jira__32</definedName>
    <definedName name="DatosExternos_1" localSheetId="4" hidden="1">Reporte_Gral!$A$1:$AE$280</definedName>
  </definedNames>
  <calcPr calcId="191028"/>
  <pivotCaches>
    <pivotCache cacheId="2252" r:id="rId21"/>
    <pivotCache cacheId="2253" r:id="rId22"/>
    <pivotCache cacheId="2254" r:id="rId2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ira__32" name="Jira__32" connection="WorksheetConnection_Reporte_Gral_V2.xlsx!Jira__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2" l="1"/>
  <c r="I31" i="12"/>
  <c r="I34" i="12"/>
  <c r="I30" i="12"/>
  <c r="G7" i="25"/>
  <c r="G8" i="25"/>
  <c r="G9" i="25"/>
  <c r="G6" i="25"/>
  <c r="G4" i="25"/>
  <c r="G19" i="25"/>
  <c r="I7" i="32"/>
  <c r="B15" i="32"/>
  <c r="B16" i="32"/>
  <c r="B17" i="32"/>
  <c r="B14" i="32"/>
  <c r="L7" i="32"/>
  <c r="K7" i="32"/>
  <c r="J7" i="3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2" i="2"/>
  <c r="G7" i="32"/>
  <c r="AJ2" i="2" a="1"/>
  <c r="AJ2" i="2"/>
  <c r="AJ3" i="2" a="1"/>
  <c r="AJ3" i="2"/>
  <c r="AJ4" i="2" a="1"/>
  <c r="AJ4" i="2"/>
  <c r="AJ5" i="2" a="1"/>
  <c r="AJ5" i="2"/>
  <c r="AJ6" i="2" a="1"/>
  <c r="AJ6" i="2"/>
  <c r="AJ7" i="2" a="1"/>
  <c r="AJ7" i="2"/>
  <c r="AJ8" i="2" a="1"/>
  <c r="AJ8" i="2"/>
  <c r="AJ9" i="2" a="1"/>
  <c r="AJ9" i="2"/>
  <c r="AJ10" i="2" a="1"/>
  <c r="AJ10" i="2"/>
  <c r="AJ11" i="2" a="1"/>
  <c r="AJ11" i="2"/>
  <c r="AJ12" i="2" a="1"/>
  <c r="AJ12" i="2"/>
  <c r="AJ13" i="2" a="1"/>
  <c r="AJ13" i="2"/>
  <c r="AJ14" i="2" a="1"/>
  <c r="AJ14" i="2"/>
  <c r="AJ15" i="2" a="1"/>
  <c r="AJ15" i="2"/>
  <c r="AJ16" i="2" a="1"/>
  <c r="AJ16" i="2"/>
  <c r="AJ17" i="2" a="1"/>
  <c r="AJ17" i="2"/>
  <c r="AJ18" i="2" a="1"/>
  <c r="AJ18" i="2"/>
  <c r="AJ19" i="2" a="1"/>
  <c r="AJ19" i="2"/>
  <c r="AJ20" i="2" a="1"/>
  <c r="AJ20" i="2"/>
  <c r="AJ21" i="2" a="1"/>
  <c r="AJ21" i="2"/>
  <c r="AJ22" i="2" a="1"/>
  <c r="AJ22" i="2"/>
  <c r="AJ23" i="2" a="1"/>
  <c r="AJ23" i="2"/>
  <c r="AJ24" i="2" a="1"/>
  <c r="AJ24" i="2"/>
  <c r="AJ25" i="2" a="1"/>
  <c r="AJ25" i="2"/>
  <c r="AJ26" i="2" a="1"/>
  <c r="AJ26" i="2"/>
  <c r="AJ27" i="2" a="1"/>
  <c r="AJ27" i="2"/>
  <c r="AJ28" i="2" a="1"/>
  <c r="AJ28" i="2"/>
  <c r="AJ29" i="2" a="1"/>
  <c r="AJ29" i="2"/>
  <c r="AJ30" i="2" a="1"/>
  <c r="AJ30" i="2"/>
  <c r="AJ31" i="2" a="1"/>
  <c r="AJ31" i="2"/>
  <c r="AJ32" i="2" a="1"/>
  <c r="AJ32" i="2"/>
  <c r="AJ33" i="2" a="1"/>
  <c r="AJ33" i="2"/>
  <c r="AJ34" i="2" a="1"/>
  <c r="AJ34" i="2"/>
  <c r="AJ35" i="2" a="1"/>
  <c r="AJ35" i="2"/>
  <c r="AJ36" i="2" a="1"/>
  <c r="AJ36" i="2"/>
  <c r="AJ37" i="2" a="1"/>
  <c r="AJ37" i="2"/>
  <c r="AJ38" i="2" a="1"/>
  <c r="AJ38" i="2"/>
  <c r="AJ39" i="2" a="1"/>
  <c r="AJ39" i="2"/>
  <c r="AJ40" i="2" a="1"/>
  <c r="AJ40" i="2"/>
  <c r="AJ41" i="2" a="1"/>
  <c r="AJ41" i="2"/>
  <c r="AJ42" i="2" a="1"/>
  <c r="AJ42" i="2"/>
  <c r="AJ43" i="2" a="1"/>
  <c r="AJ43" i="2"/>
  <c r="AJ44" i="2" a="1"/>
  <c r="AJ44" i="2"/>
  <c r="AJ45" i="2" a="1"/>
  <c r="AJ45" i="2"/>
  <c r="AJ46" i="2" a="1"/>
  <c r="AJ46" i="2"/>
  <c r="AJ47" i="2" a="1"/>
  <c r="AJ47" i="2"/>
  <c r="AJ48" i="2" a="1"/>
  <c r="AJ48" i="2"/>
  <c r="AJ49" i="2" a="1"/>
  <c r="AJ49" i="2"/>
  <c r="AJ50" i="2" a="1"/>
  <c r="AJ50" i="2"/>
  <c r="AJ51" i="2" a="1"/>
  <c r="AJ51" i="2"/>
  <c r="AJ52" i="2" a="1"/>
  <c r="AJ52" i="2"/>
  <c r="AJ53" i="2" a="1"/>
  <c r="AJ53" i="2"/>
  <c r="AJ54" i="2" a="1"/>
  <c r="AJ54" i="2"/>
  <c r="AJ55" i="2" a="1"/>
  <c r="AJ55" i="2"/>
  <c r="AJ56" i="2" a="1"/>
  <c r="AJ56" i="2"/>
  <c r="AJ57" i="2" a="1"/>
  <c r="AJ57" i="2"/>
  <c r="AJ58" i="2" a="1"/>
  <c r="AJ58" i="2"/>
  <c r="AJ59" i="2" a="1"/>
  <c r="AJ59" i="2"/>
  <c r="AJ60" i="2" a="1"/>
  <c r="AJ60" i="2"/>
  <c r="AJ61" i="2" a="1"/>
  <c r="AJ61" i="2"/>
  <c r="AJ62" i="2" a="1"/>
  <c r="AJ62" i="2"/>
  <c r="AJ63" i="2" a="1"/>
  <c r="AJ63" i="2"/>
  <c r="AJ64" i="2" a="1"/>
  <c r="AJ64" i="2"/>
  <c r="AJ65" i="2" a="1"/>
  <c r="AJ65" i="2"/>
  <c r="AJ66" i="2" a="1"/>
  <c r="AJ66" i="2"/>
  <c r="AJ67" i="2" a="1"/>
  <c r="AJ67" i="2"/>
  <c r="AJ68" i="2" a="1"/>
  <c r="AJ68" i="2"/>
  <c r="AJ69" i="2" a="1"/>
  <c r="AJ69" i="2"/>
  <c r="AJ70" i="2" a="1"/>
  <c r="AJ70" i="2"/>
  <c r="AJ71" i="2" a="1"/>
  <c r="AJ71" i="2"/>
  <c r="AJ72" i="2" a="1"/>
  <c r="AJ72" i="2"/>
  <c r="AJ73" i="2" a="1"/>
  <c r="AJ73" i="2"/>
  <c r="AJ74" i="2" a="1"/>
  <c r="AJ74" i="2"/>
  <c r="AJ75" i="2" a="1"/>
  <c r="AJ75" i="2"/>
  <c r="AJ76" i="2" a="1"/>
  <c r="AJ76" i="2"/>
  <c r="AJ77" i="2" a="1"/>
  <c r="AJ77" i="2"/>
  <c r="AJ78" i="2" a="1"/>
  <c r="AJ78" i="2"/>
  <c r="AJ79" i="2" a="1"/>
  <c r="AJ79" i="2"/>
  <c r="AJ80" i="2" a="1"/>
  <c r="AJ80" i="2"/>
  <c r="AJ81" i="2" a="1"/>
  <c r="AJ81" i="2"/>
  <c r="AJ82" i="2" a="1"/>
  <c r="AJ82" i="2"/>
  <c r="AJ83" i="2" a="1"/>
  <c r="AJ83" i="2"/>
  <c r="AJ84" i="2" a="1"/>
  <c r="AJ84" i="2"/>
  <c r="AJ85" i="2" a="1"/>
  <c r="AJ85" i="2"/>
  <c r="AJ86" i="2" a="1"/>
  <c r="AJ86" i="2"/>
  <c r="AJ87" i="2" a="1"/>
  <c r="AJ87" i="2"/>
  <c r="AJ88" i="2" a="1"/>
  <c r="AJ88" i="2"/>
  <c r="AJ89" i="2" a="1"/>
  <c r="AJ89" i="2"/>
  <c r="AJ90" i="2" a="1"/>
  <c r="AJ90" i="2"/>
  <c r="AJ91" i="2" a="1"/>
  <c r="AJ91" i="2"/>
  <c r="AJ92" i="2" a="1"/>
  <c r="AJ92" i="2"/>
  <c r="AJ93" i="2" a="1"/>
  <c r="AJ93" i="2"/>
  <c r="AJ94" i="2" a="1"/>
  <c r="AJ94" i="2"/>
  <c r="AJ95" i="2" a="1"/>
  <c r="AJ95" i="2"/>
  <c r="AJ96" i="2" a="1"/>
  <c r="AJ96" i="2"/>
  <c r="AJ97" i="2" a="1"/>
  <c r="AJ97" i="2"/>
  <c r="AJ98" i="2" a="1"/>
  <c r="AJ98" i="2"/>
  <c r="AJ99" i="2" a="1"/>
  <c r="AJ99" i="2"/>
  <c r="AJ100" i="2" a="1"/>
  <c r="AJ100" i="2"/>
  <c r="AJ101" i="2" a="1"/>
  <c r="AJ101" i="2"/>
  <c r="AJ102" i="2" a="1"/>
  <c r="AJ102" i="2"/>
  <c r="AJ103" i="2" a="1"/>
  <c r="AJ103" i="2"/>
  <c r="AJ104" i="2" a="1"/>
  <c r="AJ104" i="2"/>
  <c r="AJ105" i="2" a="1"/>
  <c r="AJ105" i="2"/>
  <c r="AJ106" i="2" a="1"/>
  <c r="AJ106" i="2"/>
  <c r="AJ107" i="2" a="1"/>
  <c r="AJ107" i="2"/>
  <c r="AJ108" i="2" a="1"/>
  <c r="AJ108" i="2"/>
  <c r="AJ109" i="2" a="1"/>
  <c r="AJ109" i="2"/>
  <c r="AJ110" i="2" a="1"/>
  <c r="AJ110" i="2"/>
  <c r="AJ111" i="2" a="1"/>
  <c r="AJ111" i="2"/>
  <c r="AJ112" i="2" a="1"/>
  <c r="AJ112" i="2"/>
  <c r="AJ113" i="2" a="1"/>
  <c r="AJ113" i="2"/>
  <c r="AJ114" i="2" a="1"/>
  <c r="AJ114" i="2"/>
  <c r="AJ115" i="2" a="1"/>
  <c r="AJ115" i="2"/>
  <c r="AJ116" i="2" a="1"/>
  <c r="AJ116" i="2"/>
  <c r="AJ117" i="2" a="1"/>
  <c r="AJ117" i="2"/>
  <c r="AJ118" i="2" a="1"/>
  <c r="AJ118" i="2"/>
  <c r="AJ119" i="2" a="1"/>
  <c r="AJ119" i="2"/>
  <c r="AJ120" i="2" a="1"/>
  <c r="AJ120" i="2"/>
  <c r="AJ121" i="2" a="1"/>
  <c r="AJ121" i="2"/>
  <c r="AJ122" i="2" a="1"/>
  <c r="AJ122" i="2"/>
  <c r="AJ123" i="2" a="1"/>
  <c r="AJ123" i="2"/>
  <c r="AJ124" i="2" a="1"/>
  <c r="AJ124" i="2"/>
  <c r="AJ125" i="2" a="1"/>
  <c r="AJ125" i="2"/>
  <c r="AJ126" i="2" a="1"/>
  <c r="AJ126" i="2"/>
  <c r="AJ127" i="2" a="1"/>
  <c r="AJ127" i="2"/>
  <c r="AJ128" i="2" a="1"/>
  <c r="AJ128" i="2"/>
  <c r="AJ129" i="2" a="1"/>
  <c r="AJ129" i="2"/>
  <c r="AJ130" i="2" a="1"/>
  <c r="AJ130" i="2"/>
  <c r="AJ131" i="2" a="1"/>
  <c r="AJ131" i="2"/>
  <c r="AJ132" i="2" a="1"/>
  <c r="AJ132" i="2"/>
  <c r="AJ133" i="2" a="1"/>
  <c r="AJ133" i="2"/>
  <c r="AJ134" i="2" a="1"/>
  <c r="AJ134" i="2"/>
  <c r="AJ135" i="2" a="1"/>
  <c r="AJ135" i="2"/>
  <c r="AJ136" i="2" a="1"/>
  <c r="AJ136" i="2"/>
  <c r="AJ137" i="2" a="1"/>
  <c r="AJ137" i="2"/>
  <c r="AJ138" i="2" a="1"/>
  <c r="AJ138" i="2"/>
  <c r="AJ139" i="2" a="1"/>
  <c r="AJ139" i="2"/>
  <c r="AJ140" i="2" a="1"/>
  <c r="AJ140" i="2"/>
  <c r="AJ141" i="2" a="1"/>
  <c r="AJ141" i="2"/>
  <c r="AJ142" i="2" a="1"/>
  <c r="AJ142" i="2"/>
  <c r="AJ143" i="2" a="1"/>
  <c r="AJ143" i="2"/>
  <c r="AJ144" i="2" a="1"/>
  <c r="AJ144" i="2"/>
  <c r="AJ145" i="2" a="1"/>
  <c r="AJ145" i="2"/>
  <c r="AJ146" i="2" a="1"/>
  <c r="AJ146" i="2"/>
  <c r="AJ147" i="2" a="1"/>
  <c r="AJ147" i="2"/>
  <c r="AJ148" i="2" a="1"/>
  <c r="AJ148" i="2"/>
  <c r="AJ149" i="2" a="1"/>
  <c r="AJ149" i="2"/>
  <c r="AJ150" i="2" a="1"/>
  <c r="AJ150" i="2"/>
  <c r="AJ151" i="2" a="1"/>
  <c r="AJ151" i="2"/>
  <c r="AJ152" i="2" a="1"/>
  <c r="AJ152" i="2"/>
  <c r="AJ153" i="2" a="1"/>
  <c r="AJ153" i="2"/>
  <c r="AJ154" i="2" a="1"/>
  <c r="AJ154" i="2"/>
  <c r="AJ155" i="2" a="1"/>
  <c r="AJ155" i="2"/>
  <c r="AJ156" i="2" a="1"/>
  <c r="AJ156" i="2"/>
  <c r="AJ157" i="2" a="1"/>
  <c r="AJ157" i="2"/>
  <c r="AJ158" i="2" a="1"/>
  <c r="AJ158" i="2"/>
  <c r="AJ159" i="2" a="1"/>
  <c r="AJ159" i="2"/>
  <c r="AJ160" i="2" a="1"/>
  <c r="AJ160" i="2"/>
  <c r="AJ161" i="2" a="1"/>
  <c r="AJ161" i="2"/>
  <c r="AJ162" i="2" a="1"/>
  <c r="AJ162" i="2"/>
  <c r="AJ163" i="2" a="1"/>
  <c r="AJ163" i="2"/>
  <c r="AJ164" i="2" a="1"/>
  <c r="AJ164" i="2"/>
  <c r="AJ165" i="2" a="1"/>
  <c r="AJ165" i="2"/>
  <c r="AJ166" i="2" a="1"/>
  <c r="AJ166" i="2"/>
  <c r="AJ167" i="2" a="1"/>
  <c r="AJ167" i="2"/>
  <c r="AJ168" i="2" a="1"/>
  <c r="AJ168" i="2"/>
  <c r="AJ169" i="2" a="1"/>
  <c r="AJ169" i="2"/>
  <c r="AJ170" i="2" a="1"/>
  <c r="AJ170" i="2"/>
  <c r="AJ171" i="2" a="1"/>
  <c r="AJ171" i="2"/>
  <c r="AJ172" i="2" a="1"/>
  <c r="AJ172" i="2"/>
  <c r="AJ173" i="2" a="1"/>
  <c r="AJ173" i="2"/>
  <c r="AJ174" i="2" a="1"/>
  <c r="AJ174" i="2"/>
  <c r="AJ175" i="2" a="1"/>
  <c r="AJ175" i="2"/>
  <c r="AJ176" i="2" a="1"/>
  <c r="AJ176" i="2"/>
  <c r="AJ177" i="2" a="1"/>
  <c r="AJ177" i="2"/>
  <c r="AJ178" i="2" a="1"/>
  <c r="AJ178" i="2"/>
  <c r="AJ179" i="2" a="1"/>
  <c r="AJ179" i="2"/>
  <c r="AJ180" i="2" a="1"/>
  <c r="AJ180" i="2"/>
  <c r="AJ181" i="2" a="1"/>
  <c r="AJ181" i="2"/>
  <c r="AJ182" i="2" a="1"/>
  <c r="AJ182" i="2"/>
  <c r="AJ183" i="2" a="1"/>
  <c r="AJ183" i="2"/>
  <c r="AJ184" i="2" a="1"/>
  <c r="AJ184" i="2"/>
  <c r="AJ185" i="2" a="1"/>
  <c r="AJ185" i="2"/>
  <c r="AJ186" i="2" a="1"/>
  <c r="AJ186" i="2"/>
  <c r="AJ187" i="2" a="1"/>
  <c r="AJ187" i="2"/>
  <c r="AJ188" i="2" a="1"/>
  <c r="AJ188" i="2"/>
  <c r="AJ189" i="2" a="1"/>
  <c r="AJ189" i="2"/>
  <c r="AJ190" i="2" a="1"/>
  <c r="AJ190" i="2"/>
  <c r="AJ191" i="2" a="1"/>
  <c r="AJ191" i="2"/>
  <c r="AJ192" i="2" a="1"/>
  <c r="AJ192" i="2"/>
  <c r="AJ193" i="2" a="1"/>
  <c r="AJ193" i="2"/>
  <c r="AJ194" i="2" a="1"/>
  <c r="AJ194" i="2"/>
  <c r="AJ195" i="2" a="1"/>
  <c r="AJ195" i="2"/>
  <c r="AJ196" i="2" a="1"/>
  <c r="AJ196" i="2"/>
  <c r="AJ197" i="2" a="1"/>
  <c r="AJ197" i="2"/>
  <c r="AJ198" i="2" a="1"/>
  <c r="AJ198" i="2"/>
  <c r="AJ199" i="2" a="1"/>
  <c r="AJ199" i="2"/>
  <c r="AJ200" i="2" a="1"/>
  <c r="AJ200" i="2"/>
  <c r="AJ201" i="2" a="1"/>
  <c r="AJ201" i="2"/>
  <c r="AJ202" i="2" a="1"/>
  <c r="AJ202" i="2"/>
  <c r="AJ203" i="2" a="1"/>
  <c r="AJ203" i="2"/>
  <c r="AJ204" i="2" a="1"/>
  <c r="AJ204" i="2"/>
  <c r="AJ205" i="2" a="1"/>
  <c r="AJ205" i="2"/>
  <c r="AJ206" i="2" a="1"/>
  <c r="AJ206" i="2"/>
  <c r="AJ207" i="2" a="1"/>
  <c r="AJ207" i="2"/>
  <c r="AJ208" i="2" a="1"/>
  <c r="AJ208" i="2"/>
  <c r="AJ209" i="2" a="1"/>
  <c r="AJ209" i="2"/>
  <c r="AJ210" i="2" a="1"/>
  <c r="AJ210" i="2"/>
  <c r="AJ211" i="2" a="1"/>
  <c r="AJ211" i="2"/>
  <c r="AJ212" i="2" a="1"/>
  <c r="AJ212" i="2"/>
  <c r="AJ213" i="2" a="1"/>
  <c r="AJ213" i="2"/>
  <c r="AJ214" i="2" a="1"/>
  <c r="AJ214" i="2"/>
  <c r="AJ215" i="2" a="1"/>
  <c r="AJ215" i="2"/>
  <c r="AJ216" i="2" a="1"/>
  <c r="AJ216" i="2"/>
  <c r="AJ217" i="2" a="1"/>
  <c r="AJ217" i="2"/>
  <c r="AJ218" i="2" a="1"/>
  <c r="AJ218" i="2"/>
  <c r="AJ219" i="2" a="1"/>
  <c r="AJ219" i="2"/>
  <c r="AJ220" i="2" a="1"/>
  <c r="AJ220" i="2"/>
  <c r="AJ221" i="2" a="1"/>
  <c r="AJ221" i="2"/>
  <c r="AJ222" i="2" a="1"/>
  <c r="AJ222" i="2"/>
  <c r="AJ223" i="2" a="1"/>
  <c r="AJ223" i="2"/>
  <c r="AJ224" i="2" a="1"/>
  <c r="AJ224" i="2"/>
  <c r="AJ225" i="2" a="1"/>
  <c r="AJ225" i="2"/>
  <c r="AJ226" i="2" a="1"/>
  <c r="AJ226" i="2"/>
  <c r="AJ227" i="2" a="1"/>
  <c r="AJ227" i="2"/>
  <c r="AJ228" i="2" a="1"/>
  <c r="AJ228" i="2"/>
  <c r="AJ229" i="2" a="1"/>
  <c r="AJ229" i="2"/>
  <c r="AJ230" i="2" a="1"/>
  <c r="AJ230" i="2"/>
  <c r="AJ231" i="2" a="1"/>
  <c r="AJ231" i="2"/>
  <c r="AJ232" i="2" a="1"/>
  <c r="AJ232" i="2"/>
  <c r="AJ233" i="2" a="1"/>
  <c r="AJ233" i="2"/>
  <c r="AJ234" i="2" a="1"/>
  <c r="AJ234" i="2"/>
  <c r="AJ235" i="2" a="1"/>
  <c r="AJ235" i="2"/>
  <c r="AJ236" i="2" a="1"/>
  <c r="AJ236" i="2"/>
  <c r="AJ237" i="2" a="1"/>
  <c r="AJ237" i="2"/>
  <c r="AJ238" i="2" a="1"/>
  <c r="AJ238" i="2"/>
  <c r="AJ239" i="2" a="1"/>
  <c r="AJ239" i="2"/>
  <c r="AJ240" i="2" a="1"/>
  <c r="AJ240" i="2"/>
  <c r="AJ241" i="2" a="1"/>
  <c r="AJ241" i="2"/>
  <c r="AJ242" i="2" a="1"/>
  <c r="AJ242" i="2"/>
  <c r="AJ243" i="2" a="1"/>
  <c r="AJ243" i="2"/>
  <c r="AJ244" i="2" a="1"/>
  <c r="AJ244" i="2"/>
  <c r="AJ245" i="2" a="1"/>
  <c r="AJ245" i="2"/>
  <c r="AJ246" i="2" a="1"/>
  <c r="AJ246" i="2"/>
  <c r="AJ247" i="2" a="1"/>
  <c r="AJ247" i="2"/>
  <c r="AJ248" i="2" a="1"/>
  <c r="AJ248" i="2"/>
  <c r="AJ249" i="2" a="1"/>
  <c r="AJ249" i="2"/>
  <c r="AJ250" i="2" a="1"/>
  <c r="AJ250" i="2"/>
  <c r="AJ251" i="2" a="1"/>
  <c r="AJ251" i="2"/>
  <c r="AJ252" i="2" a="1"/>
  <c r="AJ252" i="2"/>
  <c r="AJ253" i="2" a="1"/>
  <c r="AJ253" i="2"/>
  <c r="AJ254" i="2" a="1"/>
  <c r="AJ254" i="2"/>
  <c r="AJ255" i="2" a="1"/>
  <c r="AJ255" i="2"/>
  <c r="AJ256" i="2" a="1"/>
  <c r="AJ256" i="2"/>
  <c r="AJ257" i="2" a="1"/>
  <c r="AJ257" i="2"/>
  <c r="AJ258" i="2" a="1"/>
  <c r="AJ258" i="2"/>
  <c r="AJ259" i="2" a="1"/>
  <c r="AJ259" i="2"/>
  <c r="AJ260" i="2" a="1"/>
  <c r="AJ260" i="2"/>
  <c r="AJ261" i="2" a="1"/>
  <c r="AJ261" i="2"/>
  <c r="AJ262" i="2" a="1"/>
  <c r="AJ262" i="2"/>
  <c r="AJ263" i="2" a="1"/>
  <c r="AJ263" i="2"/>
  <c r="AJ264" i="2" a="1"/>
  <c r="AJ264" i="2"/>
  <c r="AJ265" i="2" a="1"/>
  <c r="AJ265" i="2"/>
  <c r="AJ266" i="2" a="1"/>
  <c r="AJ266" i="2"/>
  <c r="AJ267" i="2" a="1"/>
  <c r="AJ267" i="2"/>
  <c r="AJ268" i="2" a="1"/>
  <c r="AJ268" i="2"/>
  <c r="AJ269" i="2" a="1"/>
  <c r="AJ269" i="2"/>
  <c r="AJ270" i="2" a="1"/>
  <c r="AJ270" i="2"/>
  <c r="AJ271" i="2" a="1"/>
  <c r="AJ271" i="2"/>
  <c r="AJ272" i="2" a="1"/>
  <c r="AJ272" i="2"/>
  <c r="AJ273" i="2" a="1"/>
  <c r="AJ273" i="2"/>
  <c r="AJ274" i="2" a="1"/>
  <c r="AJ274" i="2"/>
  <c r="AJ275" i="2" a="1"/>
  <c r="AJ275" i="2"/>
  <c r="AJ276" i="2" a="1"/>
  <c r="AJ276" i="2"/>
  <c r="AJ277" i="2" a="1"/>
  <c r="AJ277" i="2"/>
  <c r="AJ278" i="2" a="1"/>
  <c r="AJ278" i="2"/>
  <c r="AJ279" i="2" a="1"/>
  <c r="AJ279" i="2"/>
  <c r="AJ280" i="2" a="1"/>
  <c r="AJ280" i="2"/>
  <c r="AJ281" i="2" a="1"/>
  <c r="AJ281" i="2"/>
  <c r="AJ282" i="2" a="1"/>
  <c r="AJ282" i="2"/>
  <c r="AJ283" i="2" a="1"/>
  <c r="AJ283" i="2"/>
  <c r="AJ284" i="2" a="1"/>
  <c r="AJ284" i="2"/>
  <c r="AJ285" i="2" a="1"/>
  <c r="AJ285" i="2"/>
  <c r="AJ286" i="2" a="1"/>
  <c r="AJ286" i="2"/>
  <c r="AJ287" i="2" a="1"/>
  <c r="AJ287" i="2"/>
  <c r="AJ288" i="2" a="1"/>
  <c r="AJ288" i="2"/>
  <c r="AJ289" i="2" a="1"/>
  <c r="AJ289" i="2"/>
  <c r="AJ290" i="2" a="1"/>
  <c r="AJ290" i="2"/>
  <c r="AJ291" i="2" a="1"/>
  <c r="AJ291" i="2"/>
  <c r="AJ292" i="2" a="1"/>
  <c r="AJ292" i="2"/>
  <c r="AJ293" i="2" a="1"/>
  <c r="AJ293" i="2"/>
  <c r="AJ294" i="2" a="1"/>
  <c r="AJ294" i="2"/>
  <c r="AJ295" i="2" a="1"/>
  <c r="AJ295" i="2"/>
  <c r="AJ296" i="2" a="1"/>
  <c r="AJ296" i="2"/>
  <c r="AJ297" i="2" a="1"/>
  <c r="AJ297" i="2"/>
  <c r="AJ298" i="2" a="1"/>
  <c r="AJ298" i="2"/>
  <c r="AJ299" i="2" a="1"/>
  <c r="AJ299" i="2"/>
  <c r="AJ300" i="2" a="1"/>
  <c r="AJ300" i="2"/>
  <c r="AJ301" i="2" a="1"/>
  <c r="AJ301" i="2"/>
  <c r="AJ302" i="2" a="1"/>
  <c r="AJ302" i="2"/>
  <c r="AJ303" i="2" a="1"/>
  <c r="AJ303" i="2"/>
  <c r="AJ304" i="2" a="1"/>
  <c r="AJ304" i="2"/>
  <c r="AJ305" i="2" a="1"/>
  <c r="AJ305" i="2"/>
  <c r="AJ306" i="2" a="1"/>
  <c r="AJ306" i="2"/>
  <c r="AJ307" i="2" a="1"/>
  <c r="AJ307" i="2"/>
  <c r="AJ308" i="2" a="1"/>
  <c r="AJ308" i="2"/>
  <c r="AJ309" i="2" a="1"/>
  <c r="AJ309" i="2"/>
  <c r="AJ310" i="2" a="1"/>
  <c r="AJ310" i="2"/>
  <c r="AJ311" i="2" a="1"/>
  <c r="AJ311" i="2"/>
  <c r="AJ312" i="2" a="1"/>
  <c r="AJ312" i="2"/>
  <c r="AJ313" i="2" a="1"/>
  <c r="AJ313" i="2"/>
  <c r="AJ314" i="2" a="1"/>
  <c r="AJ314" i="2"/>
  <c r="AJ315" i="2" a="1"/>
  <c r="AJ315" i="2"/>
  <c r="AJ316" i="2" a="1"/>
  <c r="AJ316" i="2"/>
  <c r="AJ317" i="2" a="1"/>
  <c r="AJ317" i="2"/>
  <c r="AJ318" i="2" a="1"/>
  <c r="AJ318" i="2"/>
  <c r="AJ319" i="2" a="1"/>
  <c r="AJ319" i="2"/>
  <c r="AJ320" i="2" a="1"/>
  <c r="AJ320" i="2"/>
  <c r="AJ321" i="2" a="1"/>
  <c r="AJ321" i="2"/>
  <c r="AJ322" i="2" a="1"/>
  <c r="AJ322" i="2"/>
  <c r="AJ323" i="2" a="1"/>
  <c r="AJ323" i="2"/>
  <c r="AJ324" i="2" a="1"/>
  <c r="AJ324" i="2"/>
  <c r="AJ325" i="2" a="1"/>
  <c r="AJ325" i="2"/>
  <c r="AJ326" i="2" a="1"/>
  <c r="AJ326" i="2"/>
  <c r="AJ327" i="2" a="1"/>
  <c r="AJ327" i="2"/>
  <c r="AJ328" i="2" a="1"/>
  <c r="AJ328" i="2"/>
  <c r="AJ329" i="2" a="1"/>
  <c r="AJ329" i="2"/>
  <c r="AJ330" i="2" a="1"/>
  <c r="AJ330" i="2"/>
  <c r="AJ331" i="2" a="1"/>
  <c r="AJ331" i="2"/>
  <c r="AJ332" i="2" a="1"/>
  <c r="AJ332" i="2"/>
  <c r="AJ333" i="2" a="1"/>
  <c r="AJ333" i="2"/>
  <c r="AJ334" i="2" a="1"/>
  <c r="AJ334" i="2"/>
  <c r="AJ335" i="2" a="1"/>
  <c r="AJ335" i="2"/>
  <c r="AJ336" i="2" a="1"/>
  <c r="AJ336" i="2"/>
  <c r="AJ337" i="2" a="1"/>
  <c r="AJ337" i="2"/>
  <c r="AJ338" i="2" a="1"/>
  <c r="AJ338" i="2"/>
  <c r="AJ339" i="2" a="1"/>
  <c r="AJ339" i="2"/>
  <c r="AJ340" i="2" a="1"/>
  <c r="AJ340" i="2"/>
  <c r="AJ341" i="2" a="1"/>
  <c r="AJ341" i="2"/>
  <c r="AJ342" i="2" a="1"/>
  <c r="AJ342" i="2"/>
  <c r="AJ343" i="2" a="1"/>
  <c r="AJ343" i="2"/>
  <c r="AJ344" i="2" a="1"/>
  <c r="AJ344" i="2"/>
  <c r="AJ345" i="2" a="1"/>
  <c r="AJ345" i="2"/>
  <c r="AJ346" i="2" a="1"/>
  <c r="AJ346" i="2"/>
  <c r="AJ347" i="2" a="1"/>
  <c r="AJ347" i="2"/>
  <c r="AJ348" i="2" a="1"/>
  <c r="AJ348" i="2"/>
  <c r="AJ349" i="2" a="1"/>
  <c r="AJ349" i="2"/>
  <c r="AJ350" i="2" a="1"/>
  <c r="AJ350" i="2"/>
  <c r="AJ351" i="2" a="1"/>
  <c r="AJ351" i="2"/>
  <c r="AJ352" i="2" a="1"/>
  <c r="AJ352" i="2"/>
  <c r="AJ353" i="2" a="1"/>
  <c r="AJ353" i="2"/>
  <c r="AJ354" i="2" a="1"/>
  <c r="AJ354" i="2"/>
  <c r="AJ355" i="2" a="1"/>
  <c r="AJ355" i="2"/>
  <c r="AJ356" i="2" a="1"/>
  <c r="AJ356" i="2"/>
  <c r="AJ357" i="2" a="1"/>
  <c r="AJ357" i="2"/>
  <c r="AJ358" i="2" a="1"/>
  <c r="AJ358" i="2"/>
  <c r="AJ359" i="2" a="1"/>
  <c r="AJ359" i="2"/>
  <c r="AJ360" i="2" a="1"/>
  <c r="AJ360" i="2"/>
  <c r="AJ361" i="2" a="1"/>
  <c r="AJ361" i="2"/>
  <c r="AK2" i="2" a="1"/>
  <c r="AK2" i="2"/>
  <c r="AK6" i="2" a="1"/>
  <c r="AK6" i="2"/>
  <c r="AK3" i="2" a="1"/>
  <c r="AK3" i="2"/>
  <c r="AS361" i="2"/>
  <c r="AS360" i="2"/>
  <c r="AS359" i="2"/>
  <c r="AS358" i="2"/>
  <c r="AR361" i="2"/>
  <c r="AR360" i="2"/>
  <c r="AR359" i="2"/>
  <c r="AR358" i="2"/>
  <c r="AQ361" i="2" a="1"/>
  <c r="AQ361" i="2" s="1"/>
  <c r="AQ360" i="2" a="1"/>
  <c r="AQ360" i="2" s="1"/>
  <c r="AQ359" i="2" a="1"/>
  <c r="AQ359" i="2" s="1"/>
  <c r="AQ358" i="2" a="1"/>
  <c r="AQ358" i="2" s="1"/>
  <c r="AO361" i="2" a="1"/>
  <c r="AO361" i="2" s="1"/>
  <c r="AO360" i="2" a="1"/>
  <c r="AO360" i="2" s="1"/>
  <c r="AO359" i="2" a="1"/>
  <c r="AO359" i="2" s="1"/>
  <c r="AO358" i="2" a="1"/>
  <c r="AO358" i="2" s="1"/>
  <c r="AN361" i="2" a="1"/>
  <c r="AN361" i="2" s="1"/>
  <c r="AN360" i="2" a="1"/>
  <c r="AN360" i="2" s="1"/>
  <c r="AN359" i="2" a="1"/>
  <c r="AN359" i="2" s="1"/>
  <c r="AN358" i="2" a="1"/>
  <c r="AN358" i="2" s="1"/>
  <c r="AL361" i="2"/>
  <c r="AM361" i="2" s="1"/>
  <c r="AL360" i="2"/>
  <c r="AM360" i="2" s="1"/>
  <c r="AL359" i="2"/>
  <c r="AM359" i="2" s="1"/>
  <c r="AL358" i="2"/>
  <c r="AM358" i="2" s="1"/>
  <c r="AK361" i="2" a="1"/>
  <c r="AK361" i="2" s="1"/>
  <c r="AK360" i="2" a="1"/>
  <c r="AK360" i="2" s="1"/>
  <c r="AK359" i="2" a="1"/>
  <c r="AK359" i="2" s="1"/>
  <c r="AK358" i="2" a="1"/>
  <c r="AK358" i="2" s="1"/>
  <c r="AK4" i="2" a="1"/>
  <c r="AK4" i="2"/>
  <c r="AK5" i="2" a="1"/>
  <c r="AK5" i="2"/>
  <c r="AK7" i="2" a="1"/>
  <c r="AK7" i="2"/>
  <c r="AK8" i="2" a="1"/>
  <c r="AK8" i="2"/>
  <c r="AK9" i="2" a="1"/>
  <c r="AK9" i="2"/>
  <c r="AK10" i="2" a="1"/>
  <c r="AK10" i="2"/>
  <c r="AK11" i="2" a="1"/>
  <c r="AK11" i="2"/>
  <c r="AK12" i="2" a="1"/>
  <c r="AK12" i="2"/>
  <c r="AK13" i="2" a="1"/>
  <c r="AK13" i="2"/>
  <c r="AK14" i="2" a="1"/>
  <c r="AK14" i="2"/>
  <c r="AK15" i="2" a="1"/>
  <c r="AK15" i="2"/>
  <c r="AK16" i="2" a="1"/>
  <c r="AK16" i="2"/>
  <c r="AK17" i="2" a="1"/>
  <c r="AK17" i="2"/>
  <c r="AK18" i="2" a="1"/>
  <c r="AK18" i="2"/>
  <c r="AK19" i="2" a="1"/>
  <c r="AK19" i="2"/>
  <c r="AK20" i="2" a="1"/>
  <c r="AK20" i="2"/>
  <c r="AK21" i="2" a="1"/>
  <c r="AK21" i="2"/>
  <c r="AK22" i="2" a="1"/>
  <c r="AK22" i="2"/>
  <c r="AK23" i="2" a="1"/>
  <c r="AK23" i="2"/>
  <c r="AK24" i="2" a="1"/>
  <c r="AK24" i="2"/>
  <c r="AK25" i="2" a="1"/>
  <c r="AK25" i="2"/>
  <c r="AK26" i="2" a="1"/>
  <c r="AK26" i="2"/>
  <c r="AK27" i="2" a="1"/>
  <c r="AK27" i="2"/>
  <c r="AK28" i="2" a="1"/>
  <c r="AK28" i="2"/>
  <c r="AK29" i="2" a="1"/>
  <c r="AK29" i="2"/>
  <c r="AK30" i="2" a="1"/>
  <c r="AK30" i="2"/>
  <c r="AK31" i="2" a="1"/>
  <c r="AK31" i="2"/>
  <c r="AK32" i="2" a="1"/>
  <c r="AK32" i="2"/>
  <c r="AK33" i="2" a="1"/>
  <c r="AK33" i="2"/>
  <c r="AK34" i="2" a="1"/>
  <c r="AK34" i="2"/>
  <c r="AK35" i="2" a="1"/>
  <c r="AK35" i="2"/>
  <c r="AK36" i="2" a="1"/>
  <c r="AK36" i="2"/>
  <c r="AK37" i="2" a="1"/>
  <c r="AK37" i="2"/>
  <c r="AK38" i="2" a="1"/>
  <c r="AK38" i="2"/>
  <c r="AK39" i="2" a="1"/>
  <c r="AK39" i="2"/>
  <c r="AK40" i="2" a="1"/>
  <c r="AK40" i="2"/>
  <c r="AK41" i="2" a="1"/>
  <c r="AK41" i="2"/>
  <c r="AK42" i="2" a="1"/>
  <c r="AK42" i="2"/>
  <c r="AK43" i="2" a="1"/>
  <c r="AK43" i="2"/>
  <c r="AK44" i="2" a="1"/>
  <c r="AK44" i="2"/>
  <c r="AK45" i="2" a="1"/>
  <c r="AK45" i="2"/>
  <c r="AK46" i="2" a="1"/>
  <c r="AK46" i="2"/>
  <c r="AK47" i="2" a="1"/>
  <c r="AK47" i="2"/>
  <c r="AK48" i="2" a="1"/>
  <c r="AK48" i="2"/>
  <c r="AK49" i="2" a="1"/>
  <c r="AK49" i="2"/>
  <c r="AK50" i="2" a="1"/>
  <c r="AK50" i="2"/>
  <c r="AK51" i="2" a="1"/>
  <c r="AK51" i="2"/>
  <c r="AK52" i="2" a="1"/>
  <c r="AK52" i="2"/>
  <c r="AK53" i="2" a="1"/>
  <c r="AK53" i="2"/>
  <c r="AK54" i="2" a="1"/>
  <c r="AK54" i="2"/>
  <c r="AK55" i="2" a="1"/>
  <c r="AK55" i="2"/>
  <c r="AK56" i="2" a="1"/>
  <c r="AK56" i="2"/>
  <c r="AK57" i="2" a="1"/>
  <c r="AK57" i="2"/>
  <c r="AK58" i="2" a="1"/>
  <c r="AK58" i="2"/>
  <c r="AK59" i="2" a="1"/>
  <c r="AK59" i="2"/>
  <c r="AK60" i="2" a="1"/>
  <c r="AK60" i="2"/>
  <c r="AK61" i="2" a="1"/>
  <c r="AK61" i="2"/>
  <c r="AK62" i="2" a="1"/>
  <c r="AK62" i="2"/>
  <c r="AK63" i="2" a="1"/>
  <c r="AK63" i="2"/>
  <c r="AK64" i="2" a="1"/>
  <c r="AK64" i="2"/>
  <c r="AK65" i="2" a="1"/>
  <c r="AK65" i="2"/>
  <c r="AK66" i="2" a="1"/>
  <c r="AK66" i="2"/>
  <c r="AK67" i="2" a="1"/>
  <c r="AK67" i="2"/>
  <c r="AK68" i="2" a="1"/>
  <c r="AK68" i="2"/>
  <c r="AK69" i="2" a="1"/>
  <c r="AK69" i="2"/>
  <c r="AK70" i="2" a="1"/>
  <c r="AK70" i="2"/>
  <c r="AK71" i="2" a="1"/>
  <c r="AK71" i="2"/>
  <c r="AK72" i="2" a="1"/>
  <c r="AK72" i="2"/>
  <c r="AK73" i="2" a="1"/>
  <c r="AK73" i="2"/>
  <c r="AK74" i="2" a="1"/>
  <c r="AK74" i="2"/>
  <c r="AK75" i="2" a="1"/>
  <c r="AK75" i="2"/>
  <c r="AK76" i="2" a="1"/>
  <c r="AK76" i="2"/>
  <c r="AK77" i="2" a="1"/>
  <c r="AK77" i="2" s="1"/>
  <c r="AK78" i="2" a="1"/>
  <c r="AK78" i="2" s="1"/>
  <c r="AK79" i="2" a="1"/>
  <c r="AK79" i="2"/>
  <c r="AK80" i="2" a="1"/>
  <c r="AK80" i="2" s="1"/>
  <c r="AK81" i="2" a="1"/>
  <c r="AK81" i="2" s="1"/>
  <c r="AK82" i="2" a="1"/>
  <c r="AK82" i="2"/>
  <c r="AK83" i="2" a="1"/>
  <c r="AK83" i="2" s="1"/>
  <c r="AK84" i="2" a="1"/>
  <c r="AK84" i="2" s="1"/>
  <c r="AK85" i="2" a="1"/>
  <c r="AK85" i="2" s="1"/>
  <c r="AK86" i="2" a="1"/>
  <c r="AK86" i="2" s="1"/>
  <c r="AK87" i="2" a="1"/>
  <c r="AK87" i="2" s="1"/>
  <c r="AK88" i="2" a="1"/>
  <c r="AK88" i="2" s="1"/>
  <c r="AK89" i="2" a="1"/>
  <c r="AK89" i="2" s="1"/>
  <c r="AK90" i="2" a="1"/>
  <c r="AK90" i="2" s="1"/>
  <c r="AK91" i="2" a="1"/>
  <c r="AK91" i="2" s="1"/>
  <c r="AK92" i="2" a="1"/>
  <c r="AK92" i="2" s="1"/>
  <c r="AK93" i="2" a="1"/>
  <c r="AK93" i="2" s="1"/>
  <c r="AK94" i="2" a="1"/>
  <c r="AK94" i="2" s="1"/>
  <c r="AK95" i="2" a="1"/>
  <c r="AK95" i="2" s="1"/>
  <c r="AK96" i="2" a="1"/>
  <c r="AK96" i="2" s="1"/>
  <c r="AK97" i="2" a="1"/>
  <c r="AK97" i="2" s="1"/>
  <c r="AK98" i="2" a="1"/>
  <c r="AK98" i="2" s="1"/>
  <c r="AK99" i="2" a="1"/>
  <c r="AK99" i="2" s="1"/>
  <c r="AK100" i="2" a="1"/>
  <c r="AK100" i="2" s="1"/>
  <c r="AK101" i="2" a="1"/>
  <c r="AK101" i="2" s="1"/>
  <c r="AK102" i="2" a="1"/>
  <c r="AK102" i="2"/>
  <c r="AK103" i="2" a="1"/>
  <c r="AK103" i="2" s="1"/>
  <c r="AK104" i="2" a="1"/>
  <c r="AK104" i="2" s="1"/>
  <c r="AK105" i="2" a="1"/>
  <c r="AK105" i="2"/>
  <c r="AK106" i="2" a="1"/>
  <c r="AK106" i="2" s="1"/>
  <c r="AK107" i="2" a="1"/>
  <c r="AK107" i="2" s="1"/>
  <c r="AK108" i="2" a="1"/>
  <c r="AK108" i="2"/>
  <c r="AK109" i="2" a="1"/>
  <c r="AK109" i="2" s="1"/>
  <c r="AK110" i="2" a="1"/>
  <c r="AK110" i="2" s="1"/>
  <c r="AK111" i="2" a="1"/>
  <c r="AK111" i="2"/>
  <c r="AK112" i="2" a="1"/>
  <c r="AK112" i="2" s="1"/>
  <c r="AK113" i="2" a="1"/>
  <c r="AK113" i="2" s="1"/>
  <c r="AK114" i="2" a="1"/>
  <c r="AK114" i="2"/>
  <c r="AK115" i="2" a="1"/>
  <c r="AK115" i="2" s="1"/>
  <c r="AK116" i="2" a="1"/>
  <c r="AK116" i="2" s="1"/>
  <c r="AK117" i="2" a="1"/>
  <c r="AK117" i="2"/>
  <c r="AK118" i="2" a="1"/>
  <c r="AK118" i="2" s="1"/>
  <c r="AK119" i="2" a="1"/>
  <c r="AK119" i="2" s="1"/>
  <c r="AK120" i="2" a="1"/>
  <c r="AK120" i="2"/>
  <c r="AK121" i="2" a="1"/>
  <c r="AK121" i="2" s="1"/>
  <c r="AK122" i="2" a="1"/>
  <c r="AK122" i="2" s="1"/>
  <c r="AK123" i="2" a="1"/>
  <c r="AK123" i="2"/>
  <c r="AK124" i="2" a="1"/>
  <c r="AK124" i="2" s="1"/>
  <c r="AK125" i="2" a="1"/>
  <c r="AK125" i="2" s="1"/>
  <c r="AK126" i="2" a="1"/>
  <c r="AK126" i="2"/>
  <c r="AK127" i="2" a="1"/>
  <c r="AK127" i="2" s="1"/>
  <c r="AK128" i="2" a="1"/>
  <c r="AK128" i="2" s="1"/>
  <c r="AK129" i="2" a="1"/>
  <c r="AK129" i="2"/>
  <c r="AK130" i="2" a="1"/>
  <c r="AK130" i="2" s="1"/>
  <c r="AK131" i="2" a="1"/>
  <c r="AK131" i="2" s="1"/>
  <c r="AK132" i="2" a="1"/>
  <c r="AK132" i="2"/>
  <c r="AK133" i="2" a="1"/>
  <c r="AK133" i="2" s="1"/>
  <c r="AK134" i="2" a="1"/>
  <c r="AK134" i="2" s="1"/>
  <c r="AK135" i="2" a="1"/>
  <c r="AK135" i="2"/>
  <c r="AK136" i="2" a="1"/>
  <c r="AK136" i="2" s="1"/>
  <c r="AK137" i="2" a="1"/>
  <c r="AK137" i="2" s="1"/>
  <c r="AK138" i="2" a="1"/>
  <c r="AK138" i="2"/>
  <c r="AK139" i="2" a="1"/>
  <c r="AK139" i="2" s="1"/>
  <c r="AK140" i="2" a="1"/>
  <c r="AK140" i="2" s="1"/>
  <c r="AK141" i="2" a="1"/>
  <c r="AK141" i="2"/>
  <c r="AK142" i="2" a="1"/>
  <c r="AK142" i="2"/>
  <c r="AK143" i="2" a="1"/>
  <c r="AK143" i="2" s="1"/>
  <c r="AK144" i="2" a="1"/>
  <c r="AK144" i="2"/>
  <c r="AK145" i="2" a="1"/>
  <c r="AK145" i="2"/>
  <c r="AK146" i="2" a="1"/>
  <c r="AK146" i="2" s="1"/>
  <c r="AK147" i="2" a="1"/>
  <c r="AK147" i="2"/>
  <c r="AK148" i="2" a="1"/>
  <c r="AK148" i="2"/>
  <c r="AK149" i="2" a="1"/>
  <c r="AK149" i="2" s="1"/>
  <c r="AK150" i="2" a="1"/>
  <c r="AK150" i="2"/>
  <c r="AK151" i="2" a="1"/>
  <c r="AK151" i="2"/>
  <c r="AK152" i="2" a="1"/>
  <c r="AK152" i="2" s="1"/>
  <c r="AK153" i="2" a="1"/>
  <c r="AK153" i="2"/>
  <c r="AK154" i="2" a="1"/>
  <c r="AK154" i="2"/>
  <c r="AK155" i="2" a="1"/>
  <c r="AK155" i="2" s="1"/>
  <c r="AK156" i="2" a="1"/>
  <c r="AK156" i="2"/>
  <c r="AK157" i="2" a="1"/>
  <c r="AK157" i="2"/>
  <c r="AK158" i="2" a="1"/>
  <c r="AK158" i="2" s="1"/>
  <c r="AK159" i="2" a="1"/>
  <c r="AK159" i="2"/>
  <c r="AK160" i="2" a="1"/>
  <c r="AK160" i="2"/>
  <c r="AK161" i="2" a="1"/>
  <c r="AK161" i="2" s="1"/>
  <c r="AK162" i="2" a="1"/>
  <c r="AK162" i="2"/>
  <c r="AK163" i="2" a="1"/>
  <c r="AK163" i="2"/>
  <c r="AK164" i="2" a="1"/>
  <c r="AK164" i="2" s="1"/>
  <c r="AK165" i="2" a="1"/>
  <c r="AK165" i="2"/>
  <c r="AK166" i="2" a="1"/>
  <c r="AK166" i="2"/>
  <c r="AK167" i="2" a="1"/>
  <c r="AK167" i="2" s="1"/>
  <c r="AK168" i="2" a="1"/>
  <c r="AK168" i="2"/>
  <c r="AK169" i="2" a="1"/>
  <c r="AK169" i="2"/>
  <c r="AK170" i="2" a="1"/>
  <c r="AK170" i="2" s="1"/>
  <c r="AK171" i="2" a="1"/>
  <c r="AK171" i="2"/>
  <c r="AK172" i="2" a="1"/>
  <c r="AK172" i="2"/>
  <c r="AK173" i="2" a="1"/>
  <c r="AK173" i="2" s="1"/>
  <c r="AK174" i="2" a="1"/>
  <c r="AK174" i="2"/>
  <c r="AK175" i="2" a="1"/>
  <c r="AK175" i="2"/>
  <c r="AK176" i="2" a="1"/>
  <c r="AK176" i="2" s="1"/>
  <c r="AK177" i="2" a="1"/>
  <c r="AK177" i="2"/>
  <c r="AK178" i="2" a="1"/>
  <c r="AK178" i="2"/>
  <c r="AK179" i="2" a="1"/>
  <c r="AK179" i="2" s="1"/>
  <c r="AK180" i="2" a="1"/>
  <c r="AK180" i="2"/>
  <c r="AK181" i="2" a="1"/>
  <c r="AK181" i="2"/>
  <c r="AK182" i="2" a="1"/>
  <c r="AK182" i="2" s="1"/>
  <c r="AK183" i="2" a="1"/>
  <c r="AK183" i="2"/>
  <c r="AK184" i="2" a="1"/>
  <c r="AK184" i="2"/>
  <c r="AK185" i="2" a="1"/>
  <c r="AK185" i="2" s="1"/>
  <c r="AK186" i="2" a="1"/>
  <c r="AK186" i="2"/>
  <c r="AK187" i="2" a="1"/>
  <c r="AK187" i="2"/>
  <c r="AK188" i="2" a="1"/>
  <c r="AK188" i="2" s="1"/>
  <c r="AK189" i="2" a="1"/>
  <c r="AK189" i="2"/>
  <c r="AK190" i="2" a="1"/>
  <c r="AK190" i="2"/>
  <c r="AK191" i="2" a="1"/>
  <c r="AK191" i="2" s="1"/>
  <c r="AK192" i="2" a="1"/>
  <c r="AK192" i="2"/>
  <c r="AK193" i="2" a="1"/>
  <c r="AK193" i="2"/>
  <c r="AK194" i="2" a="1"/>
  <c r="AK194" i="2" s="1"/>
  <c r="AK195" i="2" a="1"/>
  <c r="AK195" i="2"/>
  <c r="AK196" i="2" a="1"/>
  <c r="AK196" i="2"/>
  <c r="AK197" i="2" a="1"/>
  <c r="AK197" i="2" s="1"/>
  <c r="AK198" i="2" a="1"/>
  <c r="AK198" i="2"/>
  <c r="AK199" i="2" a="1"/>
  <c r="AK199" i="2"/>
  <c r="AK200" i="2" a="1"/>
  <c r="AK200" i="2" s="1"/>
  <c r="AK201" i="2" a="1"/>
  <c r="AK201" i="2"/>
  <c r="AK202" i="2" a="1"/>
  <c r="AK202" i="2"/>
  <c r="AK203" i="2" a="1"/>
  <c r="AK203" i="2" s="1"/>
  <c r="AK204" i="2" a="1"/>
  <c r="AK204" i="2"/>
  <c r="AK205" i="2" a="1"/>
  <c r="AK205" i="2"/>
  <c r="AK206" i="2" a="1"/>
  <c r="AK206" i="2" s="1"/>
  <c r="AK207" i="2" a="1"/>
  <c r="AK207" i="2"/>
  <c r="AK208" i="2" a="1"/>
  <c r="AK208" i="2"/>
  <c r="AK209" i="2" a="1"/>
  <c r="AK209" i="2" s="1"/>
  <c r="AK210" i="2" a="1"/>
  <c r="AK210" i="2"/>
  <c r="AK211" i="2" a="1"/>
  <c r="AK211" i="2"/>
  <c r="AK212" i="2" a="1"/>
  <c r="AK212" i="2" s="1"/>
  <c r="AK213" i="2" a="1"/>
  <c r="AK213" i="2"/>
  <c r="AK214" i="2" a="1"/>
  <c r="AK214" i="2"/>
  <c r="AK215" i="2" a="1"/>
  <c r="AK215" i="2" s="1"/>
  <c r="AK216" i="2" a="1"/>
  <c r="AK216" i="2"/>
  <c r="AK217" i="2" a="1"/>
  <c r="AK217" i="2"/>
  <c r="AK218" i="2" a="1"/>
  <c r="AK218" i="2" s="1"/>
  <c r="AK219" i="2" a="1"/>
  <c r="AK219" i="2"/>
  <c r="AK220" i="2" a="1"/>
  <c r="AK220" i="2"/>
  <c r="AK221" i="2" a="1"/>
  <c r="AK221" i="2" s="1"/>
  <c r="AK222" i="2" a="1"/>
  <c r="AK222" i="2"/>
  <c r="AK223" i="2" a="1"/>
  <c r="AK223" i="2" s="1"/>
  <c r="AK224" i="2" a="1"/>
  <c r="AK224" i="2" s="1"/>
  <c r="AK225" i="2" a="1"/>
  <c r="AK225" i="2"/>
  <c r="AK226" i="2" a="1"/>
  <c r="AK226" i="2" s="1"/>
  <c r="AK227" i="2" a="1"/>
  <c r="AK227" i="2" s="1"/>
  <c r="AK228" i="2" a="1"/>
  <c r="AK228" i="2"/>
  <c r="AK229" i="2" a="1"/>
  <c r="AK229" i="2" s="1"/>
  <c r="AK230" i="2" a="1"/>
  <c r="AK230" i="2" s="1"/>
  <c r="AK231" i="2" a="1"/>
  <c r="AK231" i="2"/>
  <c r="AK232" i="2" a="1"/>
  <c r="AK232" i="2" s="1"/>
  <c r="AK233" i="2" a="1"/>
  <c r="AK233" i="2" s="1"/>
  <c r="AK234" i="2" a="1"/>
  <c r="AK234" i="2"/>
  <c r="AK235" i="2" a="1"/>
  <c r="AK235" i="2" s="1"/>
  <c r="AK236" i="2" a="1"/>
  <c r="AK236" i="2" s="1"/>
  <c r="AK237" i="2" a="1"/>
  <c r="AK237" i="2"/>
  <c r="AK238" i="2" a="1"/>
  <c r="AK238" i="2"/>
  <c r="AK239" i="2" a="1"/>
  <c r="AK239" i="2" s="1"/>
  <c r="AK240" i="2" a="1"/>
  <c r="AK240" i="2" s="1"/>
  <c r="AK241" i="2" a="1"/>
  <c r="AK241" i="2"/>
  <c r="AK242" i="2" a="1"/>
  <c r="AK242" i="2" s="1"/>
  <c r="AK243" i="2" a="1"/>
  <c r="AK243" i="2"/>
  <c r="AK244" i="2" a="1"/>
  <c r="AK244" i="2"/>
  <c r="AK245" i="2" a="1"/>
  <c r="AK245" i="2" s="1"/>
  <c r="AK246" i="2" a="1"/>
  <c r="AK246" i="2"/>
  <c r="AK247" i="2" a="1"/>
  <c r="AK247" i="2"/>
  <c r="AK248" i="2" a="1"/>
  <c r="AK248" i="2" s="1"/>
  <c r="AK249" i="2" a="1"/>
  <c r="AK249" i="2"/>
  <c r="AK250" i="2" a="1"/>
  <c r="AK250" i="2"/>
  <c r="AK251" i="2" a="1"/>
  <c r="AK251" i="2" s="1"/>
  <c r="AK252" i="2" a="1"/>
  <c r="AK252" i="2"/>
  <c r="AK253" i="2" a="1"/>
  <c r="AK253" i="2"/>
  <c r="AK254" i="2" a="1"/>
  <c r="AK254" i="2" s="1"/>
  <c r="AK255" i="2" a="1"/>
  <c r="AK255" i="2"/>
  <c r="AK256" i="2" a="1"/>
  <c r="AK256" i="2"/>
  <c r="AK257" i="2" a="1"/>
  <c r="AK257" i="2" s="1"/>
  <c r="AK258" i="2" a="1"/>
  <c r="AK258" i="2"/>
  <c r="AK259" i="2" a="1"/>
  <c r="AK259" i="2"/>
  <c r="AK260" i="2" a="1"/>
  <c r="AK260" i="2" s="1"/>
  <c r="AK261" i="2" a="1"/>
  <c r="AK261" i="2"/>
  <c r="AK262" i="2" a="1"/>
  <c r="AK262" i="2"/>
  <c r="AK263" i="2" a="1"/>
  <c r="AK263" i="2" s="1"/>
  <c r="AK264" i="2" a="1"/>
  <c r="AK264" i="2"/>
  <c r="AK265" i="2" a="1"/>
  <c r="AK265" i="2"/>
  <c r="AK266" i="2" a="1"/>
  <c r="AK266" i="2" s="1"/>
  <c r="AK267" i="2" a="1"/>
  <c r="AK267" i="2"/>
  <c r="AK268" i="2" a="1"/>
  <c r="AK268" i="2"/>
  <c r="AK269" i="2" a="1"/>
  <c r="AK269" i="2" s="1"/>
  <c r="AK270" i="2" a="1"/>
  <c r="AK270" i="2"/>
  <c r="AK271" i="2" a="1"/>
  <c r="AK271" i="2"/>
  <c r="AK272" i="2" a="1"/>
  <c r="AK272" i="2" s="1"/>
  <c r="AK273" i="2" a="1"/>
  <c r="AK273" i="2"/>
  <c r="AK274" i="2" a="1"/>
  <c r="AK274" i="2"/>
  <c r="AK275" i="2" a="1"/>
  <c r="AK275" i="2" s="1"/>
  <c r="AK276" i="2" a="1"/>
  <c r="AK276" i="2"/>
  <c r="AK277" i="2" a="1"/>
  <c r="AK277" i="2"/>
  <c r="AK278" i="2" a="1"/>
  <c r="AK278" i="2" s="1"/>
  <c r="AK279" i="2" a="1"/>
  <c r="AK279" i="2"/>
  <c r="AK280" i="2" a="1"/>
  <c r="AK280" i="2"/>
  <c r="AK281" i="2" a="1"/>
  <c r="AK281" i="2" s="1"/>
  <c r="AK282" i="2" a="1"/>
  <c r="AK282" i="2"/>
  <c r="AK283" i="2" a="1"/>
  <c r="AK283" i="2"/>
  <c r="AK284" i="2" a="1"/>
  <c r="AK284" i="2" s="1"/>
  <c r="AK285" i="2" a="1"/>
  <c r="AK285" i="2"/>
  <c r="AK286" i="2" a="1"/>
  <c r="AK286" i="2"/>
  <c r="AK287" i="2" a="1"/>
  <c r="AK287" i="2" s="1"/>
  <c r="AK288" i="2" a="1"/>
  <c r="AK288" i="2"/>
  <c r="AK289" i="2" a="1"/>
  <c r="AK289" i="2"/>
  <c r="AK290" i="2" a="1"/>
  <c r="AK290" i="2" s="1"/>
  <c r="AK291" i="2" a="1"/>
  <c r="AK291" i="2"/>
  <c r="AK292" i="2" a="1"/>
  <c r="AK292" i="2"/>
  <c r="AK293" i="2" a="1"/>
  <c r="AK293" i="2" s="1"/>
  <c r="AK294" i="2" a="1"/>
  <c r="AK294" i="2"/>
  <c r="AK295" i="2" a="1"/>
  <c r="AK295" i="2"/>
  <c r="AK296" i="2" a="1"/>
  <c r="AK296" i="2" s="1"/>
  <c r="AK297" i="2" a="1"/>
  <c r="AK297" i="2"/>
  <c r="AK298" i="2" a="1"/>
  <c r="AK298" i="2"/>
  <c r="AK299" i="2" a="1"/>
  <c r="AK299" i="2" s="1"/>
  <c r="AK300" i="2" a="1"/>
  <c r="AK300" i="2"/>
  <c r="AK301" i="2" a="1"/>
  <c r="AK301" i="2"/>
  <c r="AK302" i="2" a="1"/>
  <c r="AK302" i="2" s="1"/>
  <c r="AK303" i="2" a="1"/>
  <c r="AK303" i="2"/>
  <c r="AK304" i="2" a="1"/>
  <c r="AK304" i="2"/>
  <c r="AK305" i="2" a="1"/>
  <c r="AK305" i="2" s="1"/>
  <c r="AK306" i="2" a="1"/>
  <c r="AK306" i="2"/>
  <c r="AK307" i="2" a="1"/>
  <c r="AK307" i="2"/>
  <c r="AK308" i="2" a="1"/>
  <c r="AK308" i="2" s="1"/>
  <c r="AK309" i="2" a="1"/>
  <c r="AK309" i="2"/>
  <c r="AK310" i="2" a="1"/>
  <c r="AK310" i="2"/>
  <c r="AK311" i="2" a="1"/>
  <c r="AK311" i="2" s="1"/>
  <c r="AK312" i="2" a="1"/>
  <c r="AK312" i="2"/>
  <c r="AK313" i="2" a="1"/>
  <c r="AK313" i="2"/>
  <c r="AK314" i="2" a="1"/>
  <c r="AK314" i="2" s="1"/>
  <c r="AK315" i="2" a="1"/>
  <c r="AK315" i="2"/>
  <c r="AK316" i="2" a="1"/>
  <c r="AK316" i="2"/>
  <c r="AK317" i="2" a="1"/>
  <c r="AK317" i="2" s="1"/>
  <c r="AK318" i="2" a="1"/>
  <c r="AK318" i="2"/>
  <c r="AK319" i="2" a="1"/>
  <c r="AK319" i="2"/>
  <c r="AK320" i="2" a="1"/>
  <c r="AK320" i="2" s="1"/>
  <c r="AK321" i="2" a="1"/>
  <c r="AK321" i="2"/>
  <c r="AK322" i="2" a="1"/>
  <c r="AK322" i="2"/>
  <c r="AK323" i="2" a="1"/>
  <c r="AK323" i="2" s="1"/>
  <c r="AK324" i="2" a="1"/>
  <c r="AK324" i="2"/>
  <c r="AK325" i="2" a="1"/>
  <c r="AK325" i="2"/>
  <c r="AK326" i="2" a="1"/>
  <c r="AK326" i="2" s="1"/>
  <c r="AK327" i="2" a="1"/>
  <c r="AK327" i="2" s="1"/>
  <c r="AK328" i="2" a="1"/>
  <c r="AK328" i="2"/>
  <c r="AK329" i="2" a="1"/>
  <c r="AK329" i="2" s="1"/>
  <c r="AK330" i="2" a="1"/>
  <c r="AK330" i="2" s="1"/>
  <c r="AK331" i="2" a="1"/>
  <c r="AK331" i="2" s="1"/>
  <c r="AK332" i="2" a="1"/>
  <c r="AK332" i="2"/>
  <c r="AK333" i="2" a="1"/>
  <c r="AK333" i="2" s="1"/>
  <c r="AK334" i="2" a="1"/>
  <c r="AK334" i="2" s="1"/>
  <c r="AK335" i="2" a="1"/>
  <c r="AK335" i="2"/>
  <c r="AK336" i="2" a="1"/>
  <c r="AK336" i="2" s="1"/>
  <c r="AK337" i="2" a="1"/>
  <c r="AK337" i="2" s="1"/>
  <c r="AK338" i="2" a="1"/>
  <c r="AK338" i="2"/>
  <c r="AK339" i="2" a="1"/>
  <c r="AK339" i="2" s="1"/>
  <c r="AK340" i="2" a="1"/>
  <c r="AK340" i="2" s="1"/>
  <c r="AK341" i="2" a="1"/>
  <c r="AK341" i="2"/>
  <c r="AK342" i="2" a="1"/>
  <c r="AK342" i="2" s="1"/>
  <c r="AK343" i="2" a="1"/>
  <c r="AK343" i="2" s="1"/>
  <c r="AK344" i="2" a="1"/>
  <c r="AK344" i="2"/>
  <c r="AK345" i="2" a="1"/>
  <c r="AK345" i="2" s="1"/>
  <c r="AK346" i="2" a="1"/>
  <c r="AK346" i="2" s="1"/>
  <c r="AK347" i="2" a="1"/>
  <c r="AK347" i="2"/>
  <c r="AK348" i="2" a="1"/>
  <c r="AK348" i="2" s="1"/>
  <c r="AK349" i="2" a="1"/>
  <c r="AK349" i="2" s="1"/>
  <c r="AK350" i="2" a="1"/>
  <c r="AK350" i="2"/>
  <c r="AK351" i="2" a="1"/>
  <c r="AK351" i="2" s="1"/>
  <c r="AK352" i="2" a="1"/>
  <c r="AK352" i="2" s="1"/>
  <c r="AK353" i="2" a="1"/>
  <c r="AK353" i="2"/>
  <c r="AK354" i="2" a="1"/>
  <c r="AK354" i="2" s="1"/>
  <c r="AK355" i="2" a="1"/>
  <c r="AK355" i="2" s="1"/>
  <c r="AK356" i="2" a="1"/>
  <c r="AK356" i="2"/>
  <c r="AK357" i="2" a="1"/>
  <c r="AK357" i="2" s="1"/>
  <c r="L6" i="32"/>
  <c r="K6" i="32"/>
  <c r="J6" i="32"/>
  <c r="I6" i="32"/>
  <c r="I5" i="32"/>
  <c r="I3" i="32"/>
  <c r="G6" i="32"/>
  <c r="G2" i="32"/>
  <c r="G10" i="25"/>
  <c r="F18" i="25"/>
  <c r="F9" i="25"/>
  <c r="F8" i="25"/>
  <c r="F7" i="25"/>
  <c r="F6" i="25"/>
  <c r="F5" i="25"/>
  <c r="F4" i="25"/>
  <c r="C4" i="25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R357" i="2"/>
  <c r="AR356" i="2"/>
  <c r="AR355" i="2"/>
  <c r="AR354" i="2"/>
  <c r="AR353" i="2"/>
  <c r="AR352" i="2"/>
  <c r="AR351" i="2"/>
  <c r="AR350" i="2"/>
  <c r="AR349" i="2"/>
  <c r="AR348" i="2"/>
  <c r="AR347" i="2"/>
  <c r="AR346" i="2"/>
  <c r="AR345" i="2"/>
  <c r="AR344" i="2"/>
  <c r="AR343" i="2"/>
  <c r="AR342" i="2"/>
  <c r="AR341" i="2"/>
  <c r="AR340" i="2"/>
  <c r="AQ357" i="2" a="1"/>
  <c r="AQ357" i="2" s="1"/>
  <c r="AQ356" i="2" a="1"/>
  <c r="AQ356" i="2" s="1"/>
  <c r="AQ355" i="2" a="1"/>
  <c r="AQ355" i="2" s="1"/>
  <c r="AQ354" i="2" a="1"/>
  <c r="AQ354" i="2" s="1"/>
  <c r="AQ353" i="2" a="1"/>
  <c r="AQ353" i="2" s="1"/>
  <c r="AQ352" i="2" a="1"/>
  <c r="AQ352" i="2" s="1"/>
  <c r="AQ351" i="2" a="1"/>
  <c r="AQ351" i="2" s="1"/>
  <c r="AQ350" i="2" a="1"/>
  <c r="AQ350" i="2" s="1"/>
  <c r="AQ349" i="2" a="1"/>
  <c r="AQ349" i="2" s="1"/>
  <c r="AQ348" i="2" a="1"/>
  <c r="AQ348" i="2" s="1"/>
  <c r="AQ347" i="2" a="1"/>
  <c r="AQ347" i="2" s="1"/>
  <c r="AQ346" i="2" a="1"/>
  <c r="AQ346" i="2" s="1"/>
  <c r="AQ345" i="2" a="1"/>
  <c r="AQ345" i="2" s="1"/>
  <c r="AQ344" i="2" a="1"/>
  <c r="AQ344" i="2" s="1"/>
  <c r="AQ343" i="2" a="1"/>
  <c r="AQ343" i="2" s="1"/>
  <c r="AQ342" i="2" a="1"/>
  <c r="AQ342" i="2" s="1"/>
  <c r="AQ341" i="2" a="1"/>
  <c r="AQ341" i="2" s="1"/>
  <c r="AQ340" i="2" a="1"/>
  <c r="AQ340" i="2" s="1"/>
  <c r="AO357" i="2" a="1"/>
  <c r="AO357" i="2" s="1"/>
  <c r="AO356" i="2" a="1"/>
  <c r="AO356" i="2" s="1"/>
  <c r="AO355" i="2" a="1"/>
  <c r="AO355" i="2" s="1"/>
  <c r="AO354" i="2" a="1"/>
  <c r="AO354" i="2" s="1"/>
  <c r="AO353" i="2" a="1"/>
  <c r="AO353" i="2" s="1"/>
  <c r="AO352" i="2" a="1"/>
  <c r="AO352" i="2" s="1"/>
  <c r="AO351" i="2" a="1"/>
  <c r="AO351" i="2" s="1"/>
  <c r="AO350" i="2" a="1"/>
  <c r="AO350" i="2" s="1"/>
  <c r="AO349" i="2" a="1"/>
  <c r="AO349" i="2" s="1"/>
  <c r="AO348" i="2" a="1"/>
  <c r="AO348" i="2" s="1"/>
  <c r="AO347" i="2" a="1"/>
  <c r="AO347" i="2" s="1"/>
  <c r="AO346" i="2" a="1"/>
  <c r="AO346" i="2" s="1"/>
  <c r="AO345" i="2" a="1"/>
  <c r="AO345" i="2" s="1"/>
  <c r="AO344" i="2" a="1"/>
  <c r="AO344" i="2" s="1"/>
  <c r="AO343" i="2" a="1"/>
  <c r="AO343" i="2" s="1"/>
  <c r="AO342" i="2" a="1"/>
  <c r="AO342" i="2" s="1"/>
  <c r="AO341" i="2" a="1"/>
  <c r="AO341" i="2" s="1"/>
  <c r="AO340" i="2" a="1"/>
  <c r="AO340" i="2" s="1"/>
  <c r="AN357" i="2" a="1"/>
  <c r="AN357" i="2" s="1"/>
  <c r="AN356" i="2" a="1"/>
  <c r="AN356" i="2" s="1"/>
  <c r="AN355" i="2" a="1"/>
  <c r="AN355" i="2" s="1"/>
  <c r="AN354" i="2" a="1"/>
  <c r="AN354" i="2" s="1"/>
  <c r="AN353" i="2" a="1"/>
  <c r="AN353" i="2" s="1"/>
  <c r="AN352" i="2" a="1"/>
  <c r="AN352" i="2" s="1"/>
  <c r="AN351" i="2" a="1"/>
  <c r="AN351" i="2" s="1"/>
  <c r="AN350" i="2" a="1"/>
  <c r="AN350" i="2" s="1"/>
  <c r="AN349" i="2" a="1"/>
  <c r="AN349" i="2" s="1"/>
  <c r="AN348" i="2" a="1"/>
  <c r="AN348" i="2" s="1"/>
  <c r="AN347" i="2" a="1"/>
  <c r="AN347" i="2" s="1"/>
  <c r="AN346" i="2" a="1"/>
  <c r="AN346" i="2" s="1"/>
  <c r="AN345" i="2" a="1"/>
  <c r="AN345" i="2" s="1"/>
  <c r="AN344" i="2" a="1"/>
  <c r="AN344" i="2" s="1"/>
  <c r="AN343" i="2" a="1"/>
  <c r="AN343" i="2" s="1"/>
  <c r="AN342" i="2" a="1"/>
  <c r="AN342" i="2" s="1"/>
  <c r="AN341" i="2" a="1"/>
  <c r="AN341" i="2" s="1"/>
  <c r="AN340" i="2" a="1"/>
  <c r="AN340" i="2" s="1"/>
  <c r="AL357" i="2"/>
  <c r="AM357" i="2" s="1"/>
  <c r="AL356" i="2"/>
  <c r="AM356" i="2" s="1"/>
  <c r="AL355" i="2"/>
  <c r="AM355" i="2" s="1"/>
  <c r="AL354" i="2"/>
  <c r="AM354" i="2" s="1"/>
  <c r="AL353" i="2"/>
  <c r="AM353" i="2" s="1"/>
  <c r="AL352" i="2"/>
  <c r="AM352" i="2" s="1"/>
  <c r="AL351" i="2"/>
  <c r="AM351" i="2" s="1"/>
  <c r="AL350" i="2"/>
  <c r="AM350" i="2" s="1"/>
  <c r="AL349" i="2"/>
  <c r="AM349" i="2" s="1"/>
  <c r="AL348" i="2"/>
  <c r="AM348" i="2" s="1"/>
  <c r="AL347" i="2"/>
  <c r="AM347" i="2" s="1"/>
  <c r="AL346" i="2"/>
  <c r="AM346" i="2" s="1"/>
  <c r="AL345" i="2"/>
  <c r="AM345" i="2" s="1"/>
  <c r="AL344" i="2"/>
  <c r="AM344" i="2" s="1"/>
  <c r="AL343" i="2"/>
  <c r="AM343" i="2" s="1"/>
  <c r="AL342" i="2"/>
  <c r="AM342" i="2" s="1"/>
  <c r="AL341" i="2"/>
  <c r="AM341" i="2" s="1"/>
  <c r="AL340" i="2"/>
  <c r="AM340" i="2" s="1"/>
  <c r="C75" i="28"/>
  <c r="B75" i="28" s="1"/>
  <c r="C74" i="28"/>
  <c r="B74" i="28" s="1"/>
  <c r="C73" i="28"/>
  <c r="B73" i="28" s="1"/>
  <c r="C72" i="28"/>
  <c r="B72" i="28" s="1"/>
  <c r="L5" i="32"/>
  <c r="L3" i="32"/>
  <c r="K3" i="32"/>
  <c r="G4" i="32"/>
  <c r="K5" i="32"/>
  <c r="J5" i="32"/>
  <c r="G5" i="32"/>
  <c r="E10" i="25"/>
  <c r="E9" i="25"/>
  <c r="E7" i="25"/>
  <c r="E5" i="25"/>
  <c r="E6" i="25"/>
  <c r="E4" i="25"/>
  <c r="E18" i="25"/>
  <c r="E17" i="25"/>
  <c r="E16" i="25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Q3" i="2" a="1"/>
  <c r="AQ3" i="2" s="1"/>
  <c r="AQ4" i="2" a="1"/>
  <c r="AQ4" i="2" s="1"/>
  <c r="AQ5" i="2" a="1"/>
  <c r="AQ5" i="2" s="1"/>
  <c r="AQ6" i="2" a="1"/>
  <c r="AQ6" i="2" s="1"/>
  <c r="AQ7" i="2" a="1"/>
  <c r="AQ7" i="2" s="1"/>
  <c r="AQ8" i="2" a="1"/>
  <c r="AQ8" i="2" s="1"/>
  <c r="AQ9" i="2" a="1"/>
  <c r="AQ9" i="2" s="1"/>
  <c r="AQ10" i="2" a="1"/>
  <c r="AQ10" i="2" s="1"/>
  <c r="AQ11" i="2" a="1"/>
  <c r="AQ11" i="2" s="1"/>
  <c r="AQ12" i="2" a="1"/>
  <c r="AQ12" i="2" s="1"/>
  <c r="AQ13" i="2" a="1"/>
  <c r="AQ13" i="2" s="1"/>
  <c r="AQ14" i="2" a="1"/>
  <c r="AQ14" i="2" s="1"/>
  <c r="AQ15" i="2" a="1"/>
  <c r="AQ15" i="2" s="1"/>
  <c r="AQ16" i="2" a="1"/>
  <c r="AQ16" i="2" s="1"/>
  <c r="AQ17" i="2" a="1"/>
  <c r="AQ17" i="2" s="1"/>
  <c r="AQ18" i="2" a="1"/>
  <c r="AQ18" i="2" s="1"/>
  <c r="AQ19" i="2" a="1"/>
  <c r="AQ19" i="2" s="1"/>
  <c r="AQ20" i="2" a="1"/>
  <c r="AQ20" i="2" s="1"/>
  <c r="AQ21" i="2" a="1"/>
  <c r="AQ21" i="2" s="1"/>
  <c r="AQ22" i="2" a="1"/>
  <c r="AQ22" i="2" s="1"/>
  <c r="AQ23" i="2" a="1"/>
  <c r="AQ23" i="2" s="1"/>
  <c r="AQ24" i="2" a="1"/>
  <c r="AQ24" i="2" s="1"/>
  <c r="AQ25" i="2" a="1"/>
  <c r="AQ25" i="2" s="1"/>
  <c r="AQ26" i="2" a="1"/>
  <c r="AQ26" i="2" s="1"/>
  <c r="AQ27" i="2" a="1"/>
  <c r="AQ27" i="2" s="1"/>
  <c r="AQ28" i="2" a="1"/>
  <c r="AQ28" i="2" s="1"/>
  <c r="AQ29" i="2" a="1"/>
  <c r="AQ29" i="2" s="1"/>
  <c r="AQ30" i="2" a="1"/>
  <c r="AQ30" i="2" s="1"/>
  <c r="AQ31" i="2" a="1"/>
  <c r="AQ31" i="2" s="1"/>
  <c r="AQ32" i="2" a="1"/>
  <c r="AQ32" i="2" s="1"/>
  <c r="AQ33" i="2" a="1"/>
  <c r="AQ33" i="2" s="1"/>
  <c r="AQ34" i="2" a="1"/>
  <c r="AQ34" i="2" s="1"/>
  <c r="AQ35" i="2" a="1"/>
  <c r="AQ35" i="2" s="1"/>
  <c r="AQ36" i="2" a="1"/>
  <c r="AQ36" i="2" s="1"/>
  <c r="AQ37" i="2" a="1"/>
  <c r="AQ37" i="2" s="1"/>
  <c r="AQ38" i="2" a="1"/>
  <c r="AQ38" i="2" s="1"/>
  <c r="AQ39" i="2" a="1"/>
  <c r="AQ39" i="2" s="1"/>
  <c r="AQ40" i="2" a="1"/>
  <c r="AQ40" i="2" s="1"/>
  <c r="AQ41" i="2" a="1"/>
  <c r="AQ41" i="2" s="1"/>
  <c r="AQ42" i="2" a="1"/>
  <c r="AQ42" i="2" s="1"/>
  <c r="AQ43" i="2" a="1"/>
  <c r="AQ43" i="2" s="1"/>
  <c r="AQ44" i="2" a="1"/>
  <c r="AQ44" i="2" s="1"/>
  <c r="AQ45" i="2" a="1"/>
  <c r="AQ45" i="2" s="1"/>
  <c r="AQ46" i="2" a="1"/>
  <c r="AQ46" i="2" s="1"/>
  <c r="AQ47" i="2" a="1"/>
  <c r="AQ47" i="2" s="1"/>
  <c r="AQ48" i="2" a="1"/>
  <c r="AQ48" i="2" s="1"/>
  <c r="AQ49" i="2" a="1"/>
  <c r="AQ49" i="2" s="1"/>
  <c r="AQ50" i="2" a="1"/>
  <c r="AQ50" i="2" s="1"/>
  <c r="AQ51" i="2" a="1"/>
  <c r="AQ51" i="2" s="1"/>
  <c r="AQ52" i="2" a="1"/>
  <c r="AQ52" i="2" s="1"/>
  <c r="AQ53" i="2" a="1"/>
  <c r="AQ53" i="2" s="1"/>
  <c r="AQ54" i="2" a="1"/>
  <c r="AQ54" i="2" s="1"/>
  <c r="AQ55" i="2" a="1"/>
  <c r="AQ55" i="2" s="1"/>
  <c r="AQ56" i="2" a="1"/>
  <c r="AQ56" i="2" s="1"/>
  <c r="AQ57" i="2" a="1"/>
  <c r="AQ57" i="2" s="1"/>
  <c r="AQ58" i="2" a="1"/>
  <c r="AQ58" i="2" s="1"/>
  <c r="AQ59" i="2" a="1"/>
  <c r="AQ59" i="2" s="1"/>
  <c r="AQ60" i="2" a="1"/>
  <c r="AQ60" i="2" s="1"/>
  <c r="AQ61" i="2" a="1"/>
  <c r="AQ61" i="2" s="1"/>
  <c r="AQ62" i="2" a="1"/>
  <c r="AQ62" i="2" s="1"/>
  <c r="AQ63" i="2" a="1"/>
  <c r="AQ63" i="2" s="1"/>
  <c r="AQ64" i="2" a="1"/>
  <c r="AQ64" i="2" s="1"/>
  <c r="AQ65" i="2" a="1"/>
  <c r="AQ65" i="2" s="1"/>
  <c r="AQ66" i="2" a="1"/>
  <c r="AQ66" i="2" s="1"/>
  <c r="AQ67" i="2" a="1"/>
  <c r="AQ67" i="2" s="1"/>
  <c r="AQ68" i="2" a="1"/>
  <c r="AQ68" i="2" s="1"/>
  <c r="AQ69" i="2" a="1"/>
  <c r="AQ69" i="2" s="1"/>
  <c r="AQ70" i="2" a="1"/>
  <c r="AQ70" i="2" s="1"/>
  <c r="AQ71" i="2" a="1"/>
  <c r="AQ71" i="2" s="1"/>
  <c r="AQ72" i="2" a="1"/>
  <c r="AQ72" i="2" s="1"/>
  <c r="AQ73" i="2" a="1"/>
  <c r="AQ73" i="2" s="1"/>
  <c r="AQ74" i="2" a="1"/>
  <c r="AQ74" i="2" s="1"/>
  <c r="AQ75" i="2" a="1"/>
  <c r="AQ75" i="2" s="1"/>
  <c r="AQ76" i="2" a="1"/>
  <c r="AQ76" i="2" s="1"/>
  <c r="AQ77" i="2" a="1"/>
  <c r="AQ77" i="2" s="1"/>
  <c r="AQ78" i="2" a="1"/>
  <c r="AQ78" i="2" s="1"/>
  <c r="AQ79" i="2" a="1"/>
  <c r="AQ79" i="2" s="1"/>
  <c r="AQ80" i="2" a="1"/>
  <c r="AQ80" i="2" s="1"/>
  <c r="AQ81" i="2" a="1"/>
  <c r="AQ81" i="2" s="1"/>
  <c r="AQ82" i="2" a="1"/>
  <c r="AQ82" i="2" s="1"/>
  <c r="AQ83" i="2" a="1"/>
  <c r="AQ83" i="2" s="1"/>
  <c r="AQ84" i="2" a="1"/>
  <c r="AQ84" i="2" s="1"/>
  <c r="AQ85" i="2" a="1"/>
  <c r="AQ85" i="2" s="1"/>
  <c r="AQ86" i="2" a="1"/>
  <c r="AQ86" i="2" s="1"/>
  <c r="AQ87" i="2" a="1"/>
  <c r="AQ87" i="2" s="1"/>
  <c r="AQ88" i="2" a="1"/>
  <c r="AQ88" i="2" s="1"/>
  <c r="AQ89" i="2" a="1"/>
  <c r="AQ89" i="2" s="1"/>
  <c r="AQ90" i="2" a="1"/>
  <c r="AQ90" i="2" s="1"/>
  <c r="AQ91" i="2" a="1"/>
  <c r="AQ91" i="2" s="1"/>
  <c r="AQ92" i="2" a="1"/>
  <c r="AQ92" i="2" s="1"/>
  <c r="AQ93" i="2" a="1"/>
  <c r="AQ93" i="2" s="1"/>
  <c r="AQ94" i="2" a="1"/>
  <c r="AQ94" i="2" s="1"/>
  <c r="AQ95" i="2" a="1"/>
  <c r="AQ95" i="2" s="1"/>
  <c r="AQ96" i="2" a="1"/>
  <c r="AQ96" i="2" s="1"/>
  <c r="AQ97" i="2" a="1"/>
  <c r="AQ97" i="2" s="1"/>
  <c r="AQ98" i="2" a="1"/>
  <c r="AQ98" i="2" s="1"/>
  <c r="AQ99" i="2" a="1"/>
  <c r="AQ99" i="2" s="1"/>
  <c r="AQ100" i="2" a="1"/>
  <c r="AQ100" i="2" s="1"/>
  <c r="AQ101" i="2" a="1"/>
  <c r="AQ101" i="2" s="1"/>
  <c r="AQ102" i="2" a="1"/>
  <c r="AQ102" i="2" s="1"/>
  <c r="AQ103" i="2" a="1"/>
  <c r="AQ103" i="2" s="1"/>
  <c r="AQ104" i="2" a="1"/>
  <c r="AQ104" i="2" s="1"/>
  <c r="AQ105" i="2" a="1"/>
  <c r="AQ105" i="2" s="1"/>
  <c r="AQ106" i="2" a="1"/>
  <c r="AQ106" i="2" s="1"/>
  <c r="AQ107" i="2" a="1"/>
  <c r="AQ107" i="2" s="1"/>
  <c r="AQ108" i="2" a="1"/>
  <c r="AQ108" i="2" s="1"/>
  <c r="AQ109" i="2" a="1"/>
  <c r="AQ109" i="2" s="1"/>
  <c r="AQ110" i="2" a="1"/>
  <c r="AQ110" i="2" s="1"/>
  <c r="AQ111" i="2" a="1"/>
  <c r="AQ111" i="2" s="1"/>
  <c r="AQ112" i="2" a="1"/>
  <c r="AQ112" i="2" s="1"/>
  <c r="AQ113" i="2" a="1"/>
  <c r="AQ113" i="2" s="1"/>
  <c r="AQ114" i="2" a="1"/>
  <c r="AQ114" i="2" s="1"/>
  <c r="AQ115" i="2" a="1"/>
  <c r="AQ115" i="2" s="1"/>
  <c r="AQ116" i="2" a="1"/>
  <c r="AQ116" i="2" s="1"/>
  <c r="AQ117" i="2" a="1"/>
  <c r="AQ117" i="2" s="1"/>
  <c r="AQ118" i="2" a="1"/>
  <c r="AQ118" i="2" s="1"/>
  <c r="AQ119" i="2" a="1"/>
  <c r="AQ119" i="2" s="1"/>
  <c r="AQ120" i="2" a="1"/>
  <c r="AQ120" i="2" s="1"/>
  <c r="AQ121" i="2" a="1"/>
  <c r="AQ121" i="2" s="1"/>
  <c r="AQ122" i="2" a="1"/>
  <c r="AQ122" i="2" s="1"/>
  <c r="AQ123" i="2" a="1"/>
  <c r="AQ123" i="2" s="1"/>
  <c r="AQ124" i="2" a="1"/>
  <c r="AQ124" i="2" s="1"/>
  <c r="AQ125" i="2" a="1"/>
  <c r="AQ125" i="2" s="1"/>
  <c r="AQ126" i="2" a="1"/>
  <c r="AQ126" i="2" s="1"/>
  <c r="AQ127" i="2" a="1"/>
  <c r="AQ127" i="2" s="1"/>
  <c r="AQ128" i="2" a="1"/>
  <c r="AQ128" i="2" s="1"/>
  <c r="AQ129" i="2" a="1"/>
  <c r="AQ129" i="2" s="1"/>
  <c r="AQ130" i="2" a="1"/>
  <c r="AQ130" i="2" s="1"/>
  <c r="AQ131" i="2" a="1"/>
  <c r="AQ131" i="2" s="1"/>
  <c r="AQ132" i="2" a="1"/>
  <c r="AQ132" i="2" s="1"/>
  <c r="AQ133" i="2" a="1"/>
  <c r="AQ133" i="2" s="1"/>
  <c r="AQ134" i="2" a="1"/>
  <c r="AQ134" i="2" s="1"/>
  <c r="AQ135" i="2" a="1"/>
  <c r="AQ135" i="2" s="1"/>
  <c r="AQ136" i="2" a="1"/>
  <c r="AQ136" i="2" s="1"/>
  <c r="AQ137" i="2" a="1"/>
  <c r="AQ137" i="2" s="1"/>
  <c r="AQ138" i="2" a="1"/>
  <c r="AQ138" i="2" s="1"/>
  <c r="AQ139" i="2" a="1"/>
  <c r="AQ139" i="2" s="1"/>
  <c r="AQ140" i="2" a="1"/>
  <c r="AQ140" i="2" s="1"/>
  <c r="AQ141" i="2" a="1"/>
  <c r="AQ141" i="2" s="1"/>
  <c r="AQ142" i="2" a="1"/>
  <c r="AQ142" i="2" s="1"/>
  <c r="AQ143" i="2" a="1"/>
  <c r="AQ143" i="2" s="1"/>
  <c r="AQ144" i="2" a="1"/>
  <c r="AQ144" i="2" s="1"/>
  <c r="AQ145" i="2" a="1"/>
  <c r="AQ145" i="2" s="1"/>
  <c r="AQ146" i="2" a="1"/>
  <c r="AQ146" i="2" s="1"/>
  <c r="AQ147" i="2" a="1"/>
  <c r="AQ147" i="2" s="1"/>
  <c r="AQ148" i="2" a="1"/>
  <c r="AQ148" i="2" s="1"/>
  <c r="AQ149" i="2" a="1"/>
  <c r="AQ149" i="2" s="1"/>
  <c r="AQ150" i="2" a="1"/>
  <c r="AQ150" i="2" s="1"/>
  <c r="AQ151" i="2" a="1"/>
  <c r="AQ151" i="2" s="1"/>
  <c r="AQ152" i="2" a="1"/>
  <c r="AQ152" i="2" s="1"/>
  <c r="AQ153" i="2" a="1"/>
  <c r="AQ153" i="2" s="1"/>
  <c r="AQ154" i="2" a="1"/>
  <c r="AQ154" i="2" s="1"/>
  <c r="AQ155" i="2" a="1"/>
  <c r="AQ155" i="2" s="1"/>
  <c r="AQ156" i="2" a="1"/>
  <c r="AQ156" i="2" s="1"/>
  <c r="AQ157" i="2" a="1"/>
  <c r="AQ157" i="2" s="1"/>
  <c r="AQ158" i="2" a="1"/>
  <c r="AQ158" i="2" s="1"/>
  <c r="AQ159" i="2" a="1"/>
  <c r="AQ159" i="2" s="1"/>
  <c r="AQ160" i="2" a="1"/>
  <c r="AQ160" i="2" s="1"/>
  <c r="AQ161" i="2" a="1"/>
  <c r="AQ161" i="2" s="1"/>
  <c r="AQ162" i="2" a="1"/>
  <c r="AQ162" i="2" s="1"/>
  <c r="AQ163" i="2" a="1"/>
  <c r="AQ163" i="2" s="1"/>
  <c r="AQ164" i="2" a="1"/>
  <c r="AQ164" i="2" s="1"/>
  <c r="AQ165" i="2" a="1"/>
  <c r="AQ165" i="2" s="1"/>
  <c r="AQ166" i="2" a="1"/>
  <c r="AQ166" i="2" s="1"/>
  <c r="AQ167" i="2" a="1"/>
  <c r="AQ167" i="2" s="1"/>
  <c r="AQ168" i="2" a="1"/>
  <c r="AQ168" i="2" s="1"/>
  <c r="AQ169" i="2" a="1"/>
  <c r="AQ169" i="2" s="1"/>
  <c r="AQ170" i="2" a="1"/>
  <c r="AQ170" i="2" s="1"/>
  <c r="AQ171" i="2" a="1"/>
  <c r="AQ171" i="2" s="1"/>
  <c r="AQ172" i="2" a="1"/>
  <c r="AQ172" i="2" s="1"/>
  <c r="AQ173" i="2" a="1"/>
  <c r="AQ173" i="2" s="1"/>
  <c r="AQ174" i="2" a="1"/>
  <c r="AQ174" i="2" s="1"/>
  <c r="AQ175" i="2" a="1"/>
  <c r="AQ175" i="2" s="1"/>
  <c r="AQ176" i="2" a="1"/>
  <c r="AQ176" i="2" s="1"/>
  <c r="AQ177" i="2" a="1"/>
  <c r="AQ177" i="2" s="1"/>
  <c r="AQ178" i="2" a="1"/>
  <c r="AQ178" i="2" s="1"/>
  <c r="AQ179" i="2" a="1"/>
  <c r="AQ179" i="2" s="1"/>
  <c r="AQ180" i="2" a="1"/>
  <c r="AQ180" i="2" s="1"/>
  <c r="AQ181" i="2" a="1"/>
  <c r="AQ181" i="2" s="1"/>
  <c r="AQ182" i="2" a="1"/>
  <c r="AQ182" i="2" s="1"/>
  <c r="AQ183" i="2" a="1"/>
  <c r="AQ183" i="2" s="1"/>
  <c r="AQ184" i="2" a="1"/>
  <c r="AQ184" i="2" s="1"/>
  <c r="AQ185" i="2" a="1"/>
  <c r="AQ185" i="2" s="1"/>
  <c r="AQ186" i="2" a="1"/>
  <c r="AQ186" i="2" s="1"/>
  <c r="AQ187" i="2" a="1"/>
  <c r="AQ187" i="2" s="1"/>
  <c r="AQ188" i="2" a="1"/>
  <c r="AQ188" i="2" s="1"/>
  <c r="AQ189" i="2" a="1"/>
  <c r="AQ189" i="2" s="1"/>
  <c r="AQ190" i="2" a="1"/>
  <c r="AQ190" i="2" s="1"/>
  <c r="AQ191" i="2" a="1"/>
  <c r="AQ191" i="2" s="1"/>
  <c r="AQ192" i="2" a="1"/>
  <c r="AQ192" i="2" s="1"/>
  <c r="AQ193" i="2" a="1"/>
  <c r="AQ193" i="2" s="1"/>
  <c r="AQ194" i="2" a="1"/>
  <c r="AQ194" i="2" s="1"/>
  <c r="AQ195" i="2" a="1"/>
  <c r="AQ195" i="2" s="1"/>
  <c r="AQ196" i="2" a="1"/>
  <c r="AQ196" i="2" s="1"/>
  <c r="AQ197" i="2" a="1"/>
  <c r="AQ197" i="2" s="1"/>
  <c r="AQ198" i="2" a="1"/>
  <c r="AQ198" i="2" s="1"/>
  <c r="AQ199" i="2" a="1"/>
  <c r="AQ199" i="2" s="1"/>
  <c r="AQ200" i="2" a="1"/>
  <c r="AQ200" i="2" s="1"/>
  <c r="AQ201" i="2" a="1"/>
  <c r="AQ201" i="2" s="1"/>
  <c r="AQ202" i="2" a="1"/>
  <c r="AQ202" i="2" s="1"/>
  <c r="AQ203" i="2" a="1"/>
  <c r="AQ203" i="2" s="1"/>
  <c r="AQ204" i="2" a="1"/>
  <c r="AQ204" i="2" s="1"/>
  <c r="AQ205" i="2" a="1"/>
  <c r="AQ205" i="2" s="1"/>
  <c r="AQ206" i="2" a="1"/>
  <c r="AQ206" i="2" s="1"/>
  <c r="AQ207" i="2" a="1"/>
  <c r="AQ207" i="2" s="1"/>
  <c r="AQ208" i="2" a="1"/>
  <c r="AQ208" i="2" s="1"/>
  <c r="AQ209" i="2" a="1"/>
  <c r="AQ209" i="2" s="1"/>
  <c r="AQ210" i="2" a="1"/>
  <c r="AQ210" i="2" s="1"/>
  <c r="AQ211" i="2" a="1"/>
  <c r="AQ211" i="2" s="1"/>
  <c r="AQ212" i="2" a="1"/>
  <c r="AQ212" i="2" s="1"/>
  <c r="AQ213" i="2" a="1"/>
  <c r="AQ213" i="2" s="1"/>
  <c r="AQ214" i="2" a="1"/>
  <c r="AQ214" i="2" s="1"/>
  <c r="AQ215" i="2" a="1"/>
  <c r="AQ215" i="2" s="1"/>
  <c r="AQ216" i="2" a="1"/>
  <c r="AQ216" i="2" s="1"/>
  <c r="AQ217" i="2" a="1"/>
  <c r="AQ217" i="2" s="1"/>
  <c r="AQ218" i="2" a="1"/>
  <c r="AQ218" i="2" s="1"/>
  <c r="AQ219" i="2" a="1"/>
  <c r="AQ219" i="2" s="1"/>
  <c r="AQ220" i="2" a="1"/>
  <c r="AQ220" i="2" s="1"/>
  <c r="AQ221" i="2" a="1"/>
  <c r="AQ221" i="2" s="1"/>
  <c r="AQ222" i="2" a="1"/>
  <c r="AQ222" i="2" s="1"/>
  <c r="AQ223" i="2" a="1"/>
  <c r="AQ223" i="2" s="1"/>
  <c r="AQ224" i="2" a="1"/>
  <c r="AQ224" i="2" s="1"/>
  <c r="AQ225" i="2" a="1"/>
  <c r="AQ225" i="2" s="1"/>
  <c r="AQ226" i="2" a="1"/>
  <c r="AQ226" i="2" s="1"/>
  <c r="AQ227" i="2" a="1"/>
  <c r="AQ227" i="2" s="1"/>
  <c r="AQ228" i="2" a="1"/>
  <c r="AQ228" i="2" s="1"/>
  <c r="AQ229" i="2" a="1"/>
  <c r="AQ229" i="2" s="1"/>
  <c r="AQ230" i="2" a="1"/>
  <c r="AQ230" i="2" s="1"/>
  <c r="AQ231" i="2" a="1"/>
  <c r="AQ231" i="2" s="1"/>
  <c r="AQ232" i="2" a="1"/>
  <c r="AQ232" i="2" s="1"/>
  <c r="AQ233" i="2" a="1"/>
  <c r="AQ233" i="2" s="1"/>
  <c r="AQ234" i="2" a="1"/>
  <c r="AQ234" i="2" s="1"/>
  <c r="AQ235" i="2" a="1"/>
  <c r="AQ235" i="2" s="1"/>
  <c r="AQ236" i="2" a="1"/>
  <c r="AQ236" i="2" s="1"/>
  <c r="AQ237" i="2" a="1"/>
  <c r="AQ237" i="2" s="1"/>
  <c r="AQ238" i="2" a="1"/>
  <c r="AQ238" i="2" s="1"/>
  <c r="AQ239" i="2" a="1"/>
  <c r="AQ239" i="2" s="1"/>
  <c r="AQ240" i="2" a="1"/>
  <c r="AQ240" i="2" s="1"/>
  <c r="AQ241" i="2" a="1"/>
  <c r="AQ241" i="2" s="1"/>
  <c r="AQ242" i="2" a="1"/>
  <c r="AQ242" i="2" s="1"/>
  <c r="AQ243" i="2" a="1"/>
  <c r="AQ243" i="2" s="1"/>
  <c r="AQ244" i="2" a="1"/>
  <c r="AQ244" i="2" s="1"/>
  <c r="AQ245" i="2" a="1"/>
  <c r="AQ245" i="2" s="1"/>
  <c r="AQ246" i="2" a="1"/>
  <c r="AQ246" i="2" s="1"/>
  <c r="AQ247" i="2" a="1"/>
  <c r="AQ247" i="2" s="1"/>
  <c r="AQ248" i="2" a="1"/>
  <c r="AQ248" i="2" s="1"/>
  <c r="AQ249" i="2" a="1"/>
  <c r="AQ249" i="2" s="1"/>
  <c r="AQ250" i="2" a="1"/>
  <c r="AQ250" i="2" s="1"/>
  <c r="AQ251" i="2" a="1"/>
  <c r="AQ251" i="2" s="1"/>
  <c r="AQ252" i="2" a="1"/>
  <c r="AQ252" i="2" s="1"/>
  <c r="AQ253" i="2" a="1"/>
  <c r="AQ253" i="2" s="1"/>
  <c r="AQ254" i="2" a="1"/>
  <c r="AQ254" i="2" s="1"/>
  <c r="AQ255" i="2" a="1"/>
  <c r="AQ255" i="2" s="1"/>
  <c r="AQ256" i="2" a="1"/>
  <c r="AQ256" i="2" s="1"/>
  <c r="AQ257" i="2" a="1"/>
  <c r="AQ257" i="2" s="1"/>
  <c r="AQ258" i="2" a="1"/>
  <c r="AQ258" i="2" s="1"/>
  <c r="AQ259" i="2" a="1"/>
  <c r="AQ259" i="2" s="1"/>
  <c r="AQ260" i="2" a="1"/>
  <c r="AQ260" i="2" s="1"/>
  <c r="AQ261" i="2" a="1"/>
  <c r="AQ261" i="2" s="1"/>
  <c r="AQ262" i="2" a="1"/>
  <c r="AQ262" i="2" s="1"/>
  <c r="AQ263" i="2" a="1"/>
  <c r="AQ263" i="2" s="1"/>
  <c r="AQ264" i="2" a="1"/>
  <c r="AQ264" i="2" s="1"/>
  <c r="AQ265" i="2" a="1"/>
  <c r="AQ265" i="2" s="1"/>
  <c r="AQ266" i="2" a="1"/>
  <c r="AQ266" i="2" s="1"/>
  <c r="AQ267" i="2" a="1"/>
  <c r="AQ267" i="2" s="1"/>
  <c r="AQ268" i="2" a="1"/>
  <c r="AQ268" i="2" s="1"/>
  <c r="AQ269" i="2" a="1"/>
  <c r="AQ269" i="2" s="1"/>
  <c r="AQ270" i="2" a="1"/>
  <c r="AQ270" i="2" s="1"/>
  <c r="AQ271" i="2" a="1"/>
  <c r="AQ271" i="2" s="1"/>
  <c r="AQ272" i="2" a="1"/>
  <c r="AQ272" i="2" s="1"/>
  <c r="AQ273" i="2" a="1"/>
  <c r="AQ273" i="2" s="1"/>
  <c r="AQ274" i="2" a="1"/>
  <c r="AQ274" i="2" s="1"/>
  <c r="AQ275" i="2" a="1"/>
  <c r="AQ275" i="2" s="1"/>
  <c r="AQ276" i="2" a="1"/>
  <c r="AQ276" i="2" s="1"/>
  <c r="AQ277" i="2" a="1"/>
  <c r="AQ277" i="2" s="1"/>
  <c r="AQ278" i="2" a="1"/>
  <c r="AQ278" i="2" s="1"/>
  <c r="AQ279" i="2" a="1"/>
  <c r="AQ279" i="2" s="1"/>
  <c r="AQ280" i="2" a="1"/>
  <c r="AQ280" i="2" s="1"/>
  <c r="AQ281" i="2" a="1"/>
  <c r="AQ281" i="2" s="1"/>
  <c r="AQ282" i="2" a="1"/>
  <c r="AQ282" i="2" s="1"/>
  <c r="AQ283" i="2" a="1"/>
  <c r="AQ283" i="2" s="1"/>
  <c r="AQ284" i="2" a="1"/>
  <c r="AQ284" i="2" s="1"/>
  <c r="AQ285" i="2" a="1"/>
  <c r="AQ285" i="2" s="1"/>
  <c r="AQ286" i="2" a="1"/>
  <c r="AQ286" i="2" s="1"/>
  <c r="AQ287" i="2" a="1"/>
  <c r="AQ287" i="2" s="1"/>
  <c r="AQ288" i="2" a="1"/>
  <c r="AQ288" i="2" s="1"/>
  <c r="AQ289" i="2" a="1"/>
  <c r="AQ289" i="2" s="1"/>
  <c r="AQ290" i="2" a="1"/>
  <c r="AQ290" i="2" s="1"/>
  <c r="AQ291" i="2" a="1"/>
  <c r="AQ291" i="2" s="1"/>
  <c r="AQ292" i="2" a="1"/>
  <c r="AQ292" i="2" s="1"/>
  <c r="AQ293" i="2" a="1"/>
  <c r="AQ293" i="2" s="1"/>
  <c r="AQ294" i="2" a="1"/>
  <c r="AQ294" i="2" s="1"/>
  <c r="AQ295" i="2" a="1"/>
  <c r="AQ295" i="2" s="1"/>
  <c r="AQ296" i="2" a="1"/>
  <c r="AQ296" i="2" s="1"/>
  <c r="AQ297" i="2" a="1"/>
  <c r="AQ297" i="2" s="1"/>
  <c r="AQ298" i="2" a="1"/>
  <c r="AQ298" i="2" s="1"/>
  <c r="AQ299" i="2" a="1"/>
  <c r="AQ299" i="2" s="1"/>
  <c r="AQ300" i="2" a="1"/>
  <c r="AQ300" i="2" s="1"/>
  <c r="AQ301" i="2" a="1"/>
  <c r="AQ301" i="2" s="1"/>
  <c r="AQ302" i="2" a="1"/>
  <c r="AQ302" i="2" s="1"/>
  <c r="AQ303" i="2" a="1"/>
  <c r="AQ303" i="2" s="1"/>
  <c r="AQ304" i="2" a="1"/>
  <c r="AQ304" i="2" s="1"/>
  <c r="AQ305" i="2" a="1"/>
  <c r="AQ305" i="2" s="1"/>
  <c r="AQ306" i="2" a="1"/>
  <c r="AQ306" i="2" s="1"/>
  <c r="AQ307" i="2" a="1"/>
  <c r="AQ307" i="2" s="1"/>
  <c r="AQ308" i="2" a="1"/>
  <c r="AQ308" i="2" s="1"/>
  <c r="AQ309" i="2" a="1"/>
  <c r="AQ309" i="2" s="1"/>
  <c r="AQ310" i="2" a="1"/>
  <c r="AQ310" i="2" s="1"/>
  <c r="AQ311" i="2" a="1"/>
  <c r="AQ311" i="2" s="1"/>
  <c r="AQ312" i="2" a="1"/>
  <c r="AQ312" i="2" s="1"/>
  <c r="AQ313" i="2" a="1"/>
  <c r="AQ313" i="2" s="1"/>
  <c r="AQ314" i="2" a="1"/>
  <c r="AQ314" i="2" s="1"/>
  <c r="AQ315" i="2" a="1"/>
  <c r="AQ315" i="2" s="1"/>
  <c r="AQ316" i="2" a="1"/>
  <c r="AQ316" i="2" s="1"/>
  <c r="AQ317" i="2" a="1"/>
  <c r="AQ317" i="2" s="1"/>
  <c r="AQ318" i="2" a="1"/>
  <c r="AQ318" i="2" s="1"/>
  <c r="AQ319" i="2" a="1"/>
  <c r="AQ319" i="2" s="1"/>
  <c r="AQ320" i="2" a="1"/>
  <c r="AQ320" i="2" s="1"/>
  <c r="AQ321" i="2" a="1"/>
  <c r="AQ321" i="2" s="1"/>
  <c r="AQ322" i="2" a="1"/>
  <c r="AQ322" i="2" s="1"/>
  <c r="AQ323" i="2" a="1"/>
  <c r="AQ323" i="2" s="1"/>
  <c r="AQ324" i="2" a="1"/>
  <c r="AQ324" i="2" s="1"/>
  <c r="AQ325" i="2" a="1"/>
  <c r="AQ325" i="2" s="1"/>
  <c r="AQ326" i="2" a="1"/>
  <c r="AQ326" i="2" s="1"/>
  <c r="AQ327" i="2" a="1"/>
  <c r="AQ327" i="2" s="1"/>
  <c r="AQ328" i="2" a="1"/>
  <c r="AQ328" i="2" s="1"/>
  <c r="AQ329" i="2" a="1"/>
  <c r="AQ329" i="2" s="1"/>
  <c r="AQ330" i="2" a="1"/>
  <c r="AQ330" i="2" s="1"/>
  <c r="AQ331" i="2" a="1"/>
  <c r="AQ331" i="2" s="1"/>
  <c r="AQ332" i="2" a="1"/>
  <c r="AQ332" i="2" s="1"/>
  <c r="AQ333" i="2" a="1"/>
  <c r="AQ333" i="2" s="1"/>
  <c r="AQ334" i="2" a="1"/>
  <c r="AQ334" i="2" s="1"/>
  <c r="AQ335" i="2" a="1"/>
  <c r="AQ335" i="2" s="1"/>
  <c r="AQ336" i="2" a="1"/>
  <c r="AQ336" i="2" s="1"/>
  <c r="AQ337" i="2" a="1"/>
  <c r="AQ337" i="2" s="1"/>
  <c r="AQ338" i="2" a="1"/>
  <c r="AQ338" i="2" s="1"/>
  <c r="AQ339" i="2" a="1"/>
  <c r="AQ339" i="2" s="1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O339" i="2" a="1"/>
  <c r="AO339" i="2" s="1"/>
  <c r="AO338" i="2" a="1"/>
  <c r="AO338" i="2" s="1"/>
  <c r="AO337" i="2" a="1"/>
  <c r="AO337" i="2" s="1"/>
  <c r="AO336" i="2" a="1"/>
  <c r="AO336" i="2" s="1"/>
  <c r="AO335" i="2" a="1"/>
  <c r="AO335" i="2" s="1"/>
  <c r="AO334" i="2" a="1"/>
  <c r="AO334" i="2" s="1"/>
  <c r="AO333" i="2" a="1"/>
  <c r="AO333" i="2" s="1"/>
  <c r="AO332" i="2" a="1"/>
  <c r="AO332" i="2" s="1"/>
  <c r="AO331" i="2" a="1"/>
  <c r="AO331" i="2" s="1"/>
  <c r="AO330" i="2" a="1"/>
  <c r="AO330" i="2" s="1"/>
  <c r="AO329" i="2" a="1"/>
  <c r="AO329" i="2" s="1"/>
  <c r="AO328" i="2" a="1"/>
  <c r="AO328" i="2" s="1"/>
  <c r="AO327" i="2" a="1"/>
  <c r="AO327" i="2" s="1"/>
  <c r="AO326" i="2" a="1"/>
  <c r="AO326" i="2" s="1"/>
  <c r="AO325" i="2" a="1"/>
  <c r="AO325" i="2" s="1"/>
  <c r="AO324" i="2" a="1"/>
  <c r="AO324" i="2" s="1"/>
  <c r="AO323" i="2" a="1"/>
  <c r="AO323" i="2" s="1"/>
  <c r="AO322" i="2" a="1"/>
  <c r="AO322" i="2" s="1"/>
  <c r="AO321" i="2" a="1"/>
  <c r="AO321" i="2" s="1"/>
  <c r="AN339" i="2" a="1"/>
  <c r="AN339" i="2" s="1"/>
  <c r="AN338" i="2" a="1"/>
  <c r="AN338" i="2" s="1"/>
  <c r="AN337" i="2" a="1"/>
  <c r="AN337" i="2" s="1"/>
  <c r="AN336" i="2" a="1"/>
  <c r="AN336" i="2" s="1"/>
  <c r="AN335" i="2" a="1"/>
  <c r="AN335" i="2" s="1"/>
  <c r="AN334" i="2" a="1"/>
  <c r="AN334" i="2" s="1"/>
  <c r="AN333" i="2" a="1"/>
  <c r="AN333" i="2" s="1"/>
  <c r="AN332" i="2" a="1"/>
  <c r="AN332" i="2" s="1"/>
  <c r="AN331" i="2" a="1"/>
  <c r="AN331" i="2" s="1"/>
  <c r="AN330" i="2" a="1"/>
  <c r="AN330" i="2" s="1"/>
  <c r="AN329" i="2" a="1"/>
  <c r="AN329" i="2" s="1"/>
  <c r="AN328" i="2" a="1"/>
  <c r="AN328" i="2" s="1"/>
  <c r="AN327" i="2" a="1"/>
  <c r="AN327" i="2" s="1"/>
  <c r="AN326" i="2" a="1"/>
  <c r="AN326" i="2" s="1"/>
  <c r="AN325" i="2" a="1"/>
  <c r="AN325" i="2" s="1"/>
  <c r="AN324" i="2" a="1"/>
  <c r="AN324" i="2" s="1"/>
  <c r="AN323" i="2" a="1"/>
  <c r="AN323" i="2" s="1"/>
  <c r="AN322" i="2" a="1"/>
  <c r="AN322" i="2" s="1"/>
  <c r="AN321" i="2" a="1"/>
  <c r="AN321" i="2" s="1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R2" i="2"/>
  <c r="AM2" i="2"/>
  <c r="AQ2" i="2" a="1"/>
  <c r="AQ2" i="2" s="1"/>
  <c r="L4" i="32"/>
  <c r="K4" i="32"/>
  <c r="J4" i="32"/>
  <c r="J3" i="32"/>
  <c r="I4" i="32"/>
  <c r="K25" i="12"/>
  <c r="C4" i="32"/>
  <c r="C3" i="32"/>
  <c r="C2" i="32"/>
  <c r="G3" i="32"/>
  <c r="E14" i="25"/>
  <c r="E15" i="25"/>
  <c r="E13" i="25"/>
  <c r="E19" i="25" s="1"/>
  <c r="G11" i="25"/>
  <c r="G12" i="25"/>
  <c r="G13" i="25"/>
  <c r="G14" i="25"/>
  <c r="G15" i="25"/>
  <c r="G16" i="25"/>
  <c r="G17" i="25"/>
  <c r="F12" i="25"/>
  <c r="F13" i="25"/>
  <c r="F14" i="25"/>
  <c r="F15" i="25"/>
  <c r="F16" i="25"/>
  <c r="F17" i="25"/>
  <c r="F10" i="25"/>
  <c r="AO320" i="2" a="1"/>
  <c r="AO320" i="2" s="1"/>
  <c r="AN320" i="2" a="1"/>
  <c r="AN320" i="2" s="1"/>
  <c r="AM320" i="2"/>
  <c r="AO13" i="2" a="1"/>
  <c r="AO13" i="2"/>
  <c r="AO319" i="2" a="1"/>
  <c r="AO319" i="2" s="1"/>
  <c r="AO318" i="2" a="1"/>
  <c r="AO318" i="2" s="1"/>
  <c r="AO317" i="2" a="1"/>
  <c r="AO317" i="2" s="1"/>
  <c r="AO316" i="2" a="1"/>
  <c r="AO316" i="2" s="1"/>
  <c r="AO315" i="2" a="1"/>
  <c r="AO315" i="2" s="1"/>
  <c r="AO314" i="2" a="1"/>
  <c r="AO314" i="2" s="1"/>
  <c r="AO313" i="2" a="1"/>
  <c r="AO313" i="2" s="1"/>
  <c r="AO312" i="2" a="1"/>
  <c r="AO312" i="2" s="1"/>
  <c r="AO311" i="2" a="1"/>
  <c r="AO311" i="2" s="1"/>
  <c r="AO310" i="2" a="1"/>
  <c r="AO310" i="2" s="1"/>
  <c r="AO309" i="2" a="1"/>
  <c r="AO309" i="2" s="1"/>
  <c r="AO308" i="2" a="1"/>
  <c r="AO308" i="2" s="1"/>
  <c r="AO307" i="2" a="1"/>
  <c r="AO307" i="2" s="1"/>
  <c r="AO306" i="2" a="1"/>
  <c r="AO306" i="2" s="1"/>
  <c r="AO305" i="2" a="1"/>
  <c r="AO305" i="2" s="1"/>
  <c r="AO304" i="2" a="1"/>
  <c r="AO304" i="2" s="1"/>
  <c r="AO303" i="2" a="1"/>
  <c r="AO303" i="2" s="1"/>
  <c r="AO302" i="2" a="1"/>
  <c r="AO302" i="2" s="1"/>
  <c r="AO301" i="2" a="1"/>
  <c r="AO301" i="2" s="1"/>
  <c r="AO300" i="2" a="1"/>
  <c r="AO300" i="2" s="1"/>
  <c r="AO299" i="2" a="1"/>
  <c r="AO299" i="2" s="1"/>
  <c r="AO298" i="2" a="1"/>
  <c r="AO298" i="2" s="1"/>
  <c r="AN319" i="2" a="1"/>
  <c r="AN319" i="2" s="1"/>
  <c r="AN318" i="2" a="1"/>
  <c r="AN318" i="2" s="1"/>
  <c r="AN317" i="2" a="1"/>
  <c r="AN317" i="2" s="1"/>
  <c r="AN316" i="2" a="1"/>
  <c r="AN316" i="2" s="1"/>
  <c r="AN315" i="2" a="1"/>
  <c r="AN315" i="2" s="1"/>
  <c r="AN314" i="2" a="1"/>
  <c r="AN314" i="2" s="1"/>
  <c r="AN313" i="2" a="1"/>
  <c r="AN313" i="2" s="1"/>
  <c r="AN312" i="2" a="1"/>
  <c r="AN312" i="2" s="1"/>
  <c r="AN311" i="2" a="1"/>
  <c r="AN311" i="2" s="1"/>
  <c r="AN310" i="2" a="1"/>
  <c r="AN310" i="2" s="1"/>
  <c r="AN309" i="2" a="1"/>
  <c r="AN309" i="2" s="1"/>
  <c r="AN308" i="2" a="1"/>
  <c r="AN308" i="2" s="1"/>
  <c r="AN307" i="2" a="1"/>
  <c r="AN307" i="2" s="1"/>
  <c r="AN306" i="2" a="1"/>
  <c r="AN306" i="2" s="1"/>
  <c r="AN305" i="2" a="1"/>
  <c r="AN305" i="2" s="1"/>
  <c r="AN304" i="2" a="1"/>
  <c r="AN304" i="2" s="1"/>
  <c r="AN303" i="2" a="1"/>
  <c r="AN303" i="2" s="1"/>
  <c r="AN302" i="2" a="1"/>
  <c r="AN302" i="2" s="1"/>
  <c r="AN301" i="2" a="1"/>
  <c r="AN301" i="2" s="1"/>
  <c r="AN300" i="2" a="1"/>
  <c r="AN300" i="2" s="1"/>
  <c r="AN299" i="2" a="1"/>
  <c r="AN299" i="2" s="1"/>
  <c r="AN298" i="2" a="1"/>
  <c r="AN298" i="2" s="1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K26" i="12"/>
  <c r="Z4" i="28"/>
  <c r="Z5" i="28"/>
  <c r="F11" i="25"/>
  <c r="C5" i="25"/>
  <c r="H5" i="25" s="1"/>
  <c r="C6" i="25"/>
  <c r="H6" i="25" s="1"/>
  <c r="C7" i="25"/>
  <c r="H7" i="25" s="1"/>
  <c r="C8" i="25"/>
  <c r="H8" i="25" s="1"/>
  <c r="C9" i="25"/>
  <c r="H9" i="25" s="1"/>
  <c r="C10" i="25"/>
  <c r="H10" i="25" s="1"/>
  <c r="C11" i="25"/>
  <c r="H11" i="25" s="1"/>
  <c r="C13" i="25"/>
  <c r="H13" i="25" s="1"/>
  <c r="C14" i="25"/>
  <c r="H14" i="25" s="1"/>
  <c r="C15" i="25"/>
  <c r="H15" i="25" s="1"/>
  <c r="C16" i="25"/>
  <c r="H16" i="25" s="1"/>
  <c r="C17" i="25"/>
  <c r="H17" i="25" s="1"/>
  <c r="C12" i="25"/>
  <c r="H12" i="25" s="1"/>
  <c r="AO297" i="2" a="1"/>
  <c r="AO297" i="2" s="1"/>
  <c r="AO296" i="2" a="1"/>
  <c r="AO296" i="2" s="1"/>
  <c r="AO295" i="2" a="1"/>
  <c r="AO295" i="2" s="1"/>
  <c r="AO294" i="2" a="1"/>
  <c r="AO294" i="2" s="1"/>
  <c r="AO293" i="2" a="1"/>
  <c r="AO293" i="2" s="1"/>
  <c r="AO292" i="2" a="1"/>
  <c r="AO292" i="2" s="1"/>
  <c r="AO291" i="2" a="1"/>
  <c r="AO291" i="2" s="1"/>
  <c r="AO290" i="2" a="1"/>
  <c r="AO290" i="2" s="1"/>
  <c r="AO289" i="2" a="1"/>
  <c r="AO289" i="2" s="1"/>
  <c r="AO288" i="2" a="1"/>
  <c r="AO288" i="2" s="1"/>
  <c r="AO287" i="2" a="1"/>
  <c r="AO287" i="2" s="1"/>
  <c r="AO286" i="2" a="1"/>
  <c r="AO286" i="2" s="1"/>
  <c r="AN297" i="2" a="1"/>
  <c r="AN297" i="2" s="1"/>
  <c r="AN296" i="2" a="1"/>
  <c r="AN296" i="2" s="1"/>
  <c r="AN295" i="2" a="1"/>
  <c r="AN295" i="2" s="1"/>
  <c r="AN294" i="2" a="1"/>
  <c r="AN294" i="2" s="1"/>
  <c r="AN293" i="2" a="1"/>
  <c r="AN293" i="2" s="1"/>
  <c r="AN292" i="2" a="1"/>
  <c r="AN292" i="2" s="1"/>
  <c r="AN291" i="2" a="1"/>
  <c r="AN291" i="2" s="1"/>
  <c r="AN290" i="2" a="1"/>
  <c r="AN290" i="2" s="1"/>
  <c r="AN289" i="2" a="1"/>
  <c r="AN289" i="2" s="1"/>
  <c r="AN288" i="2" a="1"/>
  <c r="AN288" i="2" s="1"/>
  <c r="AN287" i="2" a="1"/>
  <c r="AN287" i="2" s="1"/>
  <c r="AN286" i="2" a="1"/>
  <c r="AN286" i="2" s="1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O2" i="2" a="1"/>
  <c r="AO2" i="2"/>
  <c r="AN2" i="2" a="1"/>
  <c r="AN2" i="2" s="1"/>
  <c r="AN3" i="2" a="1"/>
  <c r="AN3" i="2" s="1"/>
  <c r="AN4" i="2" a="1"/>
  <c r="AN4" i="2" s="1"/>
  <c r="AN5" i="2" a="1"/>
  <c r="AN5" i="2" s="1"/>
  <c r="AN6" i="2" a="1"/>
  <c r="AN6" i="2" s="1"/>
  <c r="AN7" i="2" a="1"/>
  <c r="AN7" i="2" s="1"/>
  <c r="AN8" i="2" a="1"/>
  <c r="AN8" i="2" s="1"/>
  <c r="AN9" i="2" a="1"/>
  <c r="AN9" i="2" s="1"/>
  <c r="AN10" i="2" a="1"/>
  <c r="AN10" i="2" s="1"/>
  <c r="AN11" i="2" a="1"/>
  <c r="AN11" i="2" s="1"/>
  <c r="AN12" i="2" a="1"/>
  <c r="AN12" i="2" s="1"/>
  <c r="AN13" i="2" a="1"/>
  <c r="AN13" i="2" s="1"/>
  <c r="AN14" i="2" a="1"/>
  <c r="AN14" i="2" s="1"/>
  <c r="AN15" i="2" a="1"/>
  <c r="AN15" i="2" s="1"/>
  <c r="AN16" i="2" a="1"/>
  <c r="AN16" i="2" s="1"/>
  <c r="AN17" i="2" a="1"/>
  <c r="AN17" i="2" s="1"/>
  <c r="AN18" i="2" a="1"/>
  <c r="AN18" i="2" s="1"/>
  <c r="AN19" i="2" a="1"/>
  <c r="AN19" i="2" s="1"/>
  <c r="AN20" i="2" a="1"/>
  <c r="AN20" i="2" s="1"/>
  <c r="AN21" i="2" a="1"/>
  <c r="AN21" i="2" s="1"/>
  <c r="AN22" i="2" a="1"/>
  <c r="AN22" i="2" s="1"/>
  <c r="AN23" i="2" a="1"/>
  <c r="AN23" i="2" s="1"/>
  <c r="AN24" i="2" a="1"/>
  <c r="AN24" i="2" s="1"/>
  <c r="AN25" i="2" a="1"/>
  <c r="AN25" i="2" s="1"/>
  <c r="AN26" i="2" a="1"/>
  <c r="AN26" i="2" s="1"/>
  <c r="AN27" i="2" a="1"/>
  <c r="AN27" i="2" s="1"/>
  <c r="AN28" i="2" a="1"/>
  <c r="AN28" i="2" s="1"/>
  <c r="AN29" i="2" a="1"/>
  <c r="AN29" i="2" s="1"/>
  <c r="AN30" i="2" a="1"/>
  <c r="AN30" i="2" s="1"/>
  <c r="AN31" i="2" a="1"/>
  <c r="AN31" i="2" s="1"/>
  <c r="AN32" i="2" a="1"/>
  <c r="AN32" i="2" s="1"/>
  <c r="AN33" i="2" a="1"/>
  <c r="AN33" i="2" s="1"/>
  <c r="AN34" i="2" a="1"/>
  <c r="AN34" i="2" s="1"/>
  <c r="AN35" i="2" a="1"/>
  <c r="AN35" i="2" s="1"/>
  <c r="AN36" i="2" a="1"/>
  <c r="AN36" i="2" s="1"/>
  <c r="AN37" i="2" a="1"/>
  <c r="AN37" i="2" s="1"/>
  <c r="AN38" i="2" a="1"/>
  <c r="AN38" i="2" s="1"/>
  <c r="AN39" i="2" a="1"/>
  <c r="AN39" i="2" s="1"/>
  <c r="AN40" i="2" a="1"/>
  <c r="AN40" i="2" s="1"/>
  <c r="AN41" i="2" a="1"/>
  <c r="AN41" i="2" s="1"/>
  <c r="AN42" i="2" a="1"/>
  <c r="AN42" i="2" s="1"/>
  <c r="AN43" i="2" a="1"/>
  <c r="AN43" i="2" s="1"/>
  <c r="AN44" i="2" a="1"/>
  <c r="AN44" i="2" s="1"/>
  <c r="AN45" i="2" a="1"/>
  <c r="AN45" i="2" s="1"/>
  <c r="AN46" i="2" a="1"/>
  <c r="AN46" i="2" s="1"/>
  <c r="AN47" i="2" a="1"/>
  <c r="AN47" i="2" s="1"/>
  <c r="AN48" i="2" a="1"/>
  <c r="AN48" i="2" s="1"/>
  <c r="AN49" i="2" a="1"/>
  <c r="AN49" i="2" s="1"/>
  <c r="AN50" i="2" a="1"/>
  <c r="AN50" i="2" s="1"/>
  <c r="AN51" i="2" a="1"/>
  <c r="AN51" i="2" s="1"/>
  <c r="AN52" i="2" a="1"/>
  <c r="AN52" i="2" s="1"/>
  <c r="AN53" i="2" a="1"/>
  <c r="AN53" i="2" s="1"/>
  <c r="AN54" i="2" a="1"/>
  <c r="AN54" i="2" s="1"/>
  <c r="AN55" i="2" a="1"/>
  <c r="AN55" i="2" s="1"/>
  <c r="AN56" i="2" a="1"/>
  <c r="AN56" i="2" s="1"/>
  <c r="AN57" i="2" a="1"/>
  <c r="AN57" i="2" s="1"/>
  <c r="AN58" i="2" a="1"/>
  <c r="AN58" i="2" s="1"/>
  <c r="AN59" i="2" a="1"/>
  <c r="AN59" i="2" s="1"/>
  <c r="AN60" i="2" a="1"/>
  <c r="AN60" i="2" s="1"/>
  <c r="AN61" i="2" a="1"/>
  <c r="AN61" i="2" s="1"/>
  <c r="AN62" i="2" a="1"/>
  <c r="AN62" i="2" s="1"/>
  <c r="AN63" i="2" a="1"/>
  <c r="AN63" i="2" s="1"/>
  <c r="AN64" i="2" a="1"/>
  <c r="AN64" i="2" s="1"/>
  <c r="AN65" i="2" a="1"/>
  <c r="AN65" i="2" s="1"/>
  <c r="AN66" i="2" a="1"/>
  <c r="AN66" i="2" s="1"/>
  <c r="AN67" i="2" a="1"/>
  <c r="AN67" i="2" s="1"/>
  <c r="AN68" i="2" a="1"/>
  <c r="AN68" i="2" s="1"/>
  <c r="AN69" i="2" a="1"/>
  <c r="AN69" i="2" s="1"/>
  <c r="AN70" i="2" a="1"/>
  <c r="AN70" i="2" s="1"/>
  <c r="AN71" i="2" a="1"/>
  <c r="AN71" i="2" s="1"/>
  <c r="AN72" i="2" a="1"/>
  <c r="AN72" i="2" s="1"/>
  <c r="AN73" i="2" a="1"/>
  <c r="AN73" i="2" s="1"/>
  <c r="AN74" i="2" a="1"/>
  <c r="AN74" i="2" s="1"/>
  <c r="AN75" i="2" a="1"/>
  <c r="AN75" i="2" s="1"/>
  <c r="AN76" i="2" a="1"/>
  <c r="AN76" i="2" s="1"/>
  <c r="AN77" i="2" a="1"/>
  <c r="AN77" i="2" s="1"/>
  <c r="AN78" i="2" a="1"/>
  <c r="AN78" i="2" s="1"/>
  <c r="AN79" i="2" a="1"/>
  <c r="AN79" i="2" s="1"/>
  <c r="AN80" i="2" a="1"/>
  <c r="AN80" i="2" s="1"/>
  <c r="AN81" i="2" a="1"/>
  <c r="AN81" i="2" s="1"/>
  <c r="AN82" i="2" a="1"/>
  <c r="AN82" i="2" s="1"/>
  <c r="AN83" i="2" a="1"/>
  <c r="AN83" i="2" s="1"/>
  <c r="AN84" i="2" a="1"/>
  <c r="AN84" i="2" s="1"/>
  <c r="AN85" i="2" a="1"/>
  <c r="AN85" i="2" s="1"/>
  <c r="AN86" i="2" a="1"/>
  <c r="AN86" i="2" s="1"/>
  <c r="AN87" i="2" a="1"/>
  <c r="AN87" i="2" s="1"/>
  <c r="AN88" i="2" a="1"/>
  <c r="AN88" i="2" s="1"/>
  <c r="AN89" i="2" a="1"/>
  <c r="AN89" i="2" s="1"/>
  <c r="AN90" i="2" a="1"/>
  <c r="AN90" i="2" s="1"/>
  <c r="AN91" i="2" a="1"/>
  <c r="AN91" i="2" s="1"/>
  <c r="AN92" i="2" a="1"/>
  <c r="AN92" i="2" s="1"/>
  <c r="AN93" i="2" a="1"/>
  <c r="AN93" i="2" s="1"/>
  <c r="AN94" i="2" a="1"/>
  <c r="AN94" i="2" s="1"/>
  <c r="AN95" i="2" a="1"/>
  <c r="AN95" i="2" s="1"/>
  <c r="AN96" i="2" a="1"/>
  <c r="AN96" i="2" s="1"/>
  <c r="AN97" i="2" a="1"/>
  <c r="AN97" i="2" s="1"/>
  <c r="AN98" i="2" a="1"/>
  <c r="AN98" i="2" s="1"/>
  <c r="AN99" i="2" a="1"/>
  <c r="AN99" i="2" s="1"/>
  <c r="AN100" i="2" a="1"/>
  <c r="AN100" i="2" s="1"/>
  <c r="AN101" i="2" a="1"/>
  <c r="AN101" i="2" s="1"/>
  <c r="AN102" i="2" a="1"/>
  <c r="AN102" i="2" s="1"/>
  <c r="AN103" i="2" a="1"/>
  <c r="AN103" i="2" s="1"/>
  <c r="AN104" i="2" a="1"/>
  <c r="AN104" i="2" s="1"/>
  <c r="AN105" i="2" a="1"/>
  <c r="AN105" i="2" s="1"/>
  <c r="AN106" i="2" a="1"/>
  <c r="AN106" i="2" s="1"/>
  <c r="AN107" i="2" a="1"/>
  <c r="AN107" i="2" s="1"/>
  <c r="AN108" i="2" a="1"/>
  <c r="AN108" i="2" s="1"/>
  <c r="AN109" i="2" a="1"/>
  <c r="AN109" i="2" s="1"/>
  <c r="AN110" i="2" a="1"/>
  <c r="AN110" i="2" s="1"/>
  <c r="AN111" i="2" a="1"/>
  <c r="AN111" i="2" s="1"/>
  <c r="AN112" i="2" a="1"/>
  <c r="AN112" i="2" s="1"/>
  <c r="AN113" i="2" a="1"/>
  <c r="AN113" i="2" s="1"/>
  <c r="AN114" i="2" a="1"/>
  <c r="AN114" i="2" s="1"/>
  <c r="AN115" i="2" a="1"/>
  <c r="AN115" i="2" s="1"/>
  <c r="AN116" i="2" a="1"/>
  <c r="AN116" i="2" s="1"/>
  <c r="AN117" i="2" a="1"/>
  <c r="AN117" i="2" s="1"/>
  <c r="AN118" i="2" a="1"/>
  <c r="AN118" i="2" s="1"/>
  <c r="AN119" i="2" a="1"/>
  <c r="AN119" i="2" s="1"/>
  <c r="AN120" i="2" a="1"/>
  <c r="AN120" i="2" s="1"/>
  <c r="AN121" i="2" a="1"/>
  <c r="AN121" i="2" s="1"/>
  <c r="AN122" i="2" a="1"/>
  <c r="AN122" i="2" s="1"/>
  <c r="AN123" i="2" a="1"/>
  <c r="AN123" i="2" s="1"/>
  <c r="AN124" i="2" a="1"/>
  <c r="AN124" i="2" s="1"/>
  <c r="AN125" i="2" a="1"/>
  <c r="AN125" i="2" s="1"/>
  <c r="AN126" i="2" a="1"/>
  <c r="AN126" i="2" s="1"/>
  <c r="AN127" i="2" a="1"/>
  <c r="AN127" i="2" s="1"/>
  <c r="AN128" i="2" a="1"/>
  <c r="AN128" i="2" s="1"/>
  <c r="AN129" i="2" a="1"/>
  <c r="AN129" i="2" s="1"/>
  <c r="AN130" i="2" a="1"/>
  <c r="AN130" i="2" s="1"/>
  <c r="AN131" i="2" a="1"/>
  <c r="AN131" i="2" s="1"/>
  <c r="AN132" i="2" a="1"/>
  <c r="AN132" i="2" s="1"/>
  <c r="AN133" i="2" a="1"/>
  <c r="AN133" i="2" s="1"/>
  <c r="AN134" i="2" a="1"/>
  <c r="AN134" i="2" s="1"/>
  <c r="AN135" i="2" a="1"/>
  <c r="AN135" i="2" s="1"/>
  <c r="AN136" i="2" a="1"/>
  <c r="AN136" i="2" s="1"/>
  <c r="AN137" i="2" a="1"/>
  <c r="AN137" i="2" s="1"/>
  <c r="AN138" i="2" a="1"/>
  <c r="AN138" i="2" s="1"/>
  <c r="AN139" i="2" a="1"/>
  <c r="AN139" i="2" s="1"/>
  <c r="AN140" i="2" a="1"/>
  <c r="AN140" i="2" s="1"/>
  <c r="AN141" i="2" a="1"/>
  <c r="AN141" i="2" s="1"/>
  <c r="AN142" i="2" a="1"/>
  <c r="AN142" i="2" s="1"/>
  <c r="AN143" i="2" a="1"/>
  <c r="AN143" i="2" s="1"/>
  <c r="AN144" i="2" a="1"/>
  <c r="AN144" i="2" s="1"/>
  <c r="AN145" i="2" a="1"/>
  <c r="AN145" i="2" s="1"/>
  <c r="AN146" i="2" a="1"/>
  <c r="AN146" i="2" s="1"/>
  <c r="AN147" i="2" a="1"/>
  <c r="AN147" i="2" s="1"/>
  <c r="AN148" i="2" a="1"/>
  <c r="AN148" i="2" s="1"/>
  <c r="AN149" i="2" a="1"/>
  <c r="AN149" i="2" s="1"/>
  <c r="AN150" i="2" a="1"/>
  <c r="AN150" i="2" s="1"/>
  <c r="AN151" i="2" a="1"/>
  <c r="AN151" i="2" s="1"/>
  <c r="AN152" i="2" a="1"/>
  <c r="AN152" i="2" s="1"/>
  <c r="AN153" i="2" a="1"/>
  <c r="AN153" i="2" s="1"/>
  <c r="AN154" i="2" a="1"/>
  <c r="AN154" i="2" s="1"/>
  <c r="AN155" i="2" a="1"/>
  <c r="AN155" i="2" s="1"/>
  <c r="AN156" i="2" a="1"/>
  <c r="AN156" i="2" s="1"/>
  <c r="AN157" i="2" a="1"/>
  <c r="AN157" i="2" s="1"/>
  <c r="AN158" i="2" a="1"/>
  <c r="AN158" i="2" s="1"/>
  <c r="AN159" i="2" a="1"/>
  <c r="AN159" i="2" s="1"/>
  <c r="AN160" i="2" a="1"/>
  <c r="AN160" i="2" s="1"/>
  <c r="AN161" i="2" a="1"/>
  <c r="AN161" i="2" s="1"/>
  <c r="AN162" i="2" a="1"/>
  <c r="AN162" i="2" s="1"/>
  <c r="AN163" i="2" a="1"/>
  <c r="AN163" i="2" s="1"/>
  <c r="AN164" i="2" a="1"/>
  <c r="AN164" i="2" s="1"/>
  <c r="AN165" i="2" a="1"/>
  <c r="AN165" i="2" s="1"/>
  <c r="AN166" i="2" a="1"/>
  <c r="AN166" i="2" s="1"/>
  <c r="AN167" i="2" a="1"/>
  <c r="AN167" i="2" s="1"/>
  <c r="AN168" i="2" a="1"/>
  <c r="AN168" i="2" s="1"/>
  <c r="AN169" i="2" a="1"/>
  <c r="AN169" i="2" s="1"/>
  <c r="AN170" i="2" a="1"/>
  <c r="AN170" i="2" s="1"/>
  <c r="AN171" i="2" a="1"/>
  <c r="AN171" i="2" s="1"/>
  <c r="AN172" i="2" a="1"/>
  <c r="AN172" i="2" s="1"/>
  <c r="AN173" i="2" a="1"/>
  <c r="AN173" i="2" s="1"/>
  <c r="AN174" i="2" a="1"/>
  <c r="AN174" i="2" s="1"/>
  <c r="AN175" i="2" a="1"/>
  <c r="AN175" i="2" s="1"/>
  <c r="AN176" i="2" a="1"/>
  <c r="AN176" i="2" s="1"/>
  <c r="AN177" i="2" a="1"/>
  <c r="AN177" i="2" s="1"/>
  <c r="AN178" i="2" a="1"/>
  <c r="AN178" i="2" s="1"/>
  <c r="AN179" i="2" a="1"/>
  <c r="AN179" i="2" s="1"/>
  <c r="AN180" i="2" a="1"/>
  <c r="AN180" i="2" s="1"/>
  <c r="AN181" i="2" a="1"/>
  <c r="AN181" i="2" s="1"/>
  <c r="AN182" i="2" a="1"/>
  <c r="AN182" i="2" s="1"/>
  <c r="AN183" i="2" a="1"/>
  <c r="AN183" i="2" s="1"/>
  <c r="AN184" i="2" a="1"/>
  <c r="AN184" i="2" s="1"/>
  <c r="AN185" i="2" a="1"/>
  <c r="AN185" i="2" s="1"/>
  <c r="AN186" i="2" a="1"/>
  <c r="AN186" i="2" s="1"/>
  <c r="AN187" i="2" a="1"/>
  <c r="AN187" i="2" s="1"/>
  <c r="AN188" i="2" a="1"/>
  <c r="AN188" i="2" s="1"/>
  <c r="AN189" i="2" a="1"/>
  <c r="AN189" i="2" s="1"/>
  <c r="AN190" i="2" a="1"/>
  <c r="AN190" i="2" s="1"/>
  <c r="AN191" i="2" a="1"/>
  <c r="AN191" i="2" s="1"/>
  <c r="AN192" i="2" a="1"/>
  <c r="AN192" i="2" s="1"/>
  <c r="AN193" i="2" a="1"/>
  <c r="AN193" i="2" s="1"/>
  <c r="AN194" i="2" a="1"/>
  <c r="AN194" i="2" s="1"/>
  <c r="AN195" i="2" a="1"/>
  <c r="AN195" i="2" s="1"/>
  <c r="AN196" i="2" a="1"/>
  <c r="AN196" i="2" s="1"/>
  <c r="AN197" i="2" a="1"/>
  <c r="AN197" i="2" s="1"/>
  <c r="AN198" i="2" a="1"/>
  <c r="AN198" i="2" s="1"/>
  <c r="AN199" i="2" a="1"/>
  <c r="AN199" i="2" s="1"/>
  <c r="AN200" i="2" a="1"/>
  <c r="AN200" i="2" s="1"/>
  <c r="AN201" i="2" a="1"/>
  <c r="AN201" i="2" s="1"/>
  <c r="AN202" i="2" a="1"/>
  <c r="AN202" i="2" s="1"/>
  <c r="AN203" i="2" a="1"/>
  <c r="AN203" i="2" s="1"/>
  <c r="AN204" i="2" a="1"/>
  <c r="AN204" i="2" s="1"/>
  <c r="AN205" i="2" a="1"/>
  <c r="AN205" i="2" s="1"/>
  <c r="AN206" i="2" a="1"/>
  <c r="AN206" i="2" s="1"/>
  <c r="AN207" i="2" a="1"/>
  <c r="AN207" i="2" s="1"/>
  <c r="AN208" i="2" a="1"/>
  <c r="AN208" i="2" s="1"/>
  <c r="AN209" i="2" a="1"/>
  <c r="AN209" i="2" s="1"/>
  <c r="AN210" i="2" a="1"/>
  <c r="AN210" i="2" s="1"/>
  <c r="AN211" i="2" a="1"/>
  <c r="AN211" i="2" s="1"/>
  <c r="AN212" i="2" a="1"/>
  <c r="AN212" i="2" s="1"/>
  <c r="AN213" i="2" a="1"/>
  <c r="AN213" i="2" s="1"/>
  <c r="AN214" i="2" a="1"/>
  <c r="AN214" i="2" s="1"/>
  <c r="AN215" i="2" a="1"/>
  <c r="AN215" i="2" s="1"/>
  <c r="AN216" i="2" a="1"/>
  <c r="AN216" i="2" s="1"/>
  <c r="AN217" i="2" a="1"/>
  <c r="AN217" i="2" s="1"/>
  <c r="AN218" i="2" a="1"/>
  <c r="AN218" i="2" s="1"/>
  <c r="AN219" i="2" a="1"/>
  <c r="AN219" i="2" s="1"/>
  <c r="AN220" i="2" a="1"/>
  <c r="AN220" i="2" s="1"/>
  <c r="AN221" i="2" a="1"/>
  <c r="AN221" i="2" s="1"/>
  <c r="AN222" i="2" a="1"/>
  <c r="AN222" i="2" s="1"/>
  <c r="AN223" i="2" a="1"/>
  <c r="AN223" i="2" s="1"/>
  <c r="AN224" i="2" a="1"/>
  <c r="AN224" i="2" s="1"/>
  <c r="AN225" i="2" a="1"/>
  <c r="AN225" i="2" s="1"/>
  <c r="AN226" i="2" a="1"/>
  <c r="AN226" i="2" s="1"/>
  <c r="AN227" i="2" a="1"/>
  <c r="AN227" i="2" s="1"/>
  <c r="AN228" i="2" a="1"/>
  <c r="AN228" i="2" s="1"/>
  <c r="AN229" i="2" a="1"/>
  <c r="AN229" i="2" s="1"/>
  <c r="AN230" i="2" a="1"/>
  <c r="AN230" i="2" s="1"/>
  <c r="AN231" i="2" a="1"/>
  <c r="AN231" i="2" s="1"/>
  <c r="AN232" i="2" a="1"/>
  <c r="AN232" i="2" s="1"/>
  <c r="AN233" i="2" a="1"/>
  <c r="AN233" i="2" s="1"/>
  <c r="AN234" i="2" a="1"/>
  <c r="AN234" i="2" s="1"/>
  <c r="AN235" i="2" a="1"/>
  <c r="AN235" i="2" s="1"/>
  <c r="AN236" i="2" a="1"/>
  <c r="AN236" i="2" s="1"/>
  <c r="AN237" i="2" a="1"/>
  <c r="AN237" i="2" s="1"/>
  <c r="AN238" i="2" a="1"/>
  <c r="AN238" i="2" s="1"/>
  <c r="AN239" i="2" a="1"/>
  <c r="AN239" i="2" s="1"/>
  <c r="AN240" i="2" a="1"/>
  <c r="AN240" i="2" s="1"/>
  <c r="AN241" i="2" a="1"/>
  <c r="AN241" i="2" s="1"/>
  <c r="AN242" i="2" a="1"/>
  <c r="AN242" i="2" s="1"/>
  <c r="AN243" i="2" a="1"/>
  <c r="AN243" i="2" s="1"/>
  <c r="AN244" i="2" a="1"/>
  <c r="AN244" i="2" s="1"/>
  <c r="AN245" i="2" a="1"/>
  <c r="AN245" i="2" s="1"/>
  <c r="AN246" i="2" a="1"/>
  <c r="AN246" i="2" s="1"/>
  <c r="AN247" i="2" a="1"/>
  <c r="AN247" i="2" s="1"/>
  <c r="AN248" i="2" a="1"/>
  <c r="AN248" i="2" s="1"/>
  <c r="AN249" i="2" a="1"/>
  <c r="AN249" i="2" s="1"/>
  <c r="AN250" i="2" a="1"/>
  <c r="AN250" i="2" s="1"/>
  <c r="AN251" i="2" a="1"/>
  <c r="AN251" i="2" s="1"/>
  <c r="AN252" i="2" a="1"/>
  <c r="AN252" i="2" s="1"/>
  <c r="AN253" i="2" a="1"/>
  <c r="AN253" i="2" s="1"/>
  <c r="AN254" i="2" a="1"/>
  <c r="AN254" i="2" s="1"/>
  <c r="AN255" i="2" a="1"/>
  <c r="AN255" i="2" s="1"/>
  <c r="AN256" i="2" a="1"/>
  <c r="AN256" i="2" s="1"/>
  <c r="AN257" i="2" a="1"/>
  <c r="AN257" i="2" s="1"/>
  <c r="AN258" i="2" a="1"/>
  <c r="AN258" i="2" s="1"/>
  <c r="AN259" i="2" a="1"/>
  <c r="AN259" i="2" s="1"/>
  <c r="AN260" i="2" a="1"/>
  <c r="AN260" i="2" s="1"/>
  <c r="AN261" i="2" a="1"/>
  <c r="AN261" i="2" s="1"/>
  <c r="AN262" i="2" a="1"/>
  <c r="AN262" i="2" s="1"/>
  <c r="AN263" i="2" a="1"/>
  <c r="AN263" i="2" s="1"/>
  <c r="AN264" i="2" a="1"/>
  <c r="AN264" i="2" s="1"/>
  <c r="AN265" i="2" a="1"/>
  <c r="AN265" i="2" s="1"/>
  <c r="AN266" i="2" a="1"/>
  <c r="AN266" i="2" s="1"/>
  <c r="AN267" i="2" a="1"/>
  <c r="AN267" i="2" s="1"/>
  <c r="AN268" i="2" a="1"/>
  <c r="AN268" i="2" s="1"/>
  <c r="AN269" i="2" a="1"/>
  <c r="AN269" i="2" s="1"/>
  <c r="AN270" i="2" a="1"/>
  <c r="AN270" i="2" s="1"/>
  <c r="AN271" i="2" a="1"/>
  <c r="AN271" i="2" s="1"/>
  <c r="AN272" i="2" a="1"/>
  <c r="AN272" i="2" s="1"/>
  <c r="AN273" i="2" a="1"/>
  <c r="AN273" i="2" s="1"/>
  <c r="AN274" i="2" a="1"/>
  <c r="AN274" i="2" s="1"/>
  <c r="AN275" i="2" a="1"/>
  <c r="AN275" i="2" s="1"/>
  <c r="AN276" i="2" a="1"/>
  <c r="AN276" i="2" s="1"/>
  <c r="AN277" i="2" a="1"/>
  <c r="AN277" i="2" s="1"/>
  <c r="AN278" i="2" a="1"/>
  <c r="AN278" i="2" s="1"/>
  <c r="AN279" i="2" a="1"/>
  <c r="AN279" i="2" s="1"/>
  <c r="AN280" i="2" a="1"/>
  <c r="AN280" i="2" s="1"/>
  <c r="AN281" i="2" a="1"/>
  <c r="AN281" i="2" s="1"/>
  <c r="AN282" i="2" a="1"/>
  <c r="AN282" i="2" s="1"/>
  <c r="AN283" i="2" a="1"/>
  <c r="AN283" i="2" s="1"/>
  <c r="AN284" i="2" a="1"/>
  <c r="AN284" i="2" s="1"/>
  <c r="AN285" i="2" a="1"/>
  <c r="AN285" i="2" s="1"/>
  <c r="AM31" i="2"/>
  <c r="AM32" i="2"/>
  <c r="AM34" i="2"/>
  <c r="AM37" i="2"/>
  <c r="AM40" i="2"/>
  <c r="AM41" i="2"/>
  <c r="AM43" i="2"/>
  <c r="AM46" i="2"/>
  <c r="AM49" i="2"/>
  <c r="AM52" i="2"/>
  <c r="AM55" i="2"/>
  <c r="AM58" i="2"/>
  <c r="AM61" i="2"/>
  <c r="AM64" i="2"/>
  <c r="AM67" i="2"/>
  <c r="AM70" i="2"/>
  <c r="AM73" i="2"/>
  <c r="AM76" i="2"/>
  <c r="AM79" i="2"/>
  <c r="AM82" i="2"/>
  <c r="AM85" i="2"/>
  <c r="AM88" i="2"/>
  <c r="AM91" i="2"/>
  <c r="AM94" i="2"/>
  <c r="AM97" i="2"/>
  <c r="AM100" i="2"/>
  <c r="AM103" i="2"/>
  <c r="AM106" i="2"/>
  <c r="AM109" i="2"/>
  <c r="AM112" i="2"/>
  <c r="AM115" i="2"/>
  <c r="AM118" i="2"/>
  <c r="AM121" i="2"/>
  <c r="AM124" i="2"/>
  <c r="AM127" i="2"/>
  <c r="AM130" i="2"/>
  <c r="AM133" i="2"/>
  <c r="AM136" i="2"/>
  <c r="AM139" i="2"/>
  <c r="AM142" i="2"/>
  <c r="AM145" i="2"/>
  <c r="AM148" i="2"/>
  <c r="AM151" i="2"/>
  <c r="AM154" i="2"/>
  <c r="AM157" i="2"/>
  <c r="AM160" i="2"/>
  <c r="AM163" i="2"/>
  <c r="AM166" i="2"/>
  <c r="AM169" i="2"/>
  <c r="AM172" i="2"/>
  <c r="AM175" i="2"/>
  <c r="AM178" i="2"/>
  <c r="AM181" i="2"/>
  <c r="AM184" i="2"/>
  <c r="AM187" i="2"/>
  <c r="AM190" i="2"/>
  <c r="AM193" i="2"/>
  <c r="AM196" i="2"/>
  <c r="AM199" i="2"/>
  <c r="AM202" i="2"/>
  <c r="AM205" i="2"/>
  <c r="AM208" i="2"/>
  <c r="AM211" i="2"/>
  <c r="AM214" i="2"/>
  <c r="AM217" i="2"/>
  <c r="AM220" i="2"/>
  <c r="AM223" i="2"/>
  <c r="AM226" i="2"/>
  <c r="AM229" i="2"/>
  <c r="AM232" i="2"/>
  <c r="AM235" i="2"/>
  <c r="AM238" i="2"/>
  <c r="AM241" i="2"/>
  <c r="AM244" i="2"/>
  <c r="AM247" i="2"/>
  <c r="AM250" i="2"/>
  <c r="AM253" i="2"/>
  <c r="AM256" i="2"/>
  <c r="AM259" i="2"/>
  <c r="AM262" i="2"/>
  <c r="AM265" i="2"/>
  <c r="AM268" i="2"/>
  <c r="AM271" i="2"/>
  <c r="AM274" i="2"/>
  <c r="AM277" i="2"/>
  <c r="AM280" i="2"/>
  <c r="AM282" i="2"/>
  <c r="AM283" i="2"/>
  <c r="AM284" i="2"/>
  <c r="AM285" i="2"/>
  <c r="AO285" i="2" a="1"/>
  <c r="AO285" i="2" s="1"/>
  <c r="AO284" i="2" a="1"/>
  <c r="AO284" i="2" s="1"/>
  <c r="AO283" i="2" a="1"/>
  <c r="AO283" i="2" s="1"/>
  <c r="AO282" i="2" a="1"/>
  <c r="AO282" i="2" s="1"/>
  <c r="G4" i="8"/>
  <c r="E4" i="8"/>
  <c r="D14" i="25"/>
  <c r="D10" i="25"/>
  <c r="D9" i="25"/>
  <c r="D7" i="25"/>
  <c r="D4" i="25"/>
  <c r="I9" i="8"/>
  <c r="I10" i="8"/>
  <c r="I11" i="8"/>
  <c r="I12" i="8"/>
  <c r="I5" i="8"/>
  <c r="I6" i="8"/>
  <c r="I7" i="8"/>
  <c r="I8" i="8"/>
  <c r="I4" i="8"/>
  <c r="H9" i="8"/>
  <c r="H10" i="8"/>
  <c r="H11" i="8"/>
  <c r="H12" i="8"/>
  <c r="H5" i="8"/>
  <c r="H6" i="8"/>
  <c r="H7" i="8"/>
  <c r="H8" i="8"/>
  <c r="H4" i="8"/>
  <c r="G9" i="8"/>
  <c r="G10" i="8"/>
  <c r="G11" i="8"/>
  <c r="G5" i="8"/>
  <c r="G6" i="8"/>
  <c r="G7" i="8"/>
  <c r="G8" i="8"/>
  <c r="F4" i="8"/>
  <c r="E12" i="8"/>
  <c r="E11" i="8"/>
  <c r="E10" i="8"/>
  <c r="E8" i="8"/>
  <c r="E9" i="8"/>
  <c r="E7" i="8"/>
  <c r="E6" i="8"/>
  <c r="E5" i="8"/>
  <c r="AM281" i="2"/>
  <c r="AM20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1" i="2"/>
  <c r="AM22" i="2"/>
  <c r="AM23" i="2"/>
  <c r="AM24" i="2"/>
  <c r="AM25" i="2"/>
  <c r="AM26" i="2"/>
  <c r="AM27" i="2"/>
  <c r="AM28" i="2"/>
  <c r="AM29" i="2"/>
  <c r="AM30" i="2"/>
  <c r="AM33" i="2"/>
  <c r="AM35" i="2"/>
  <c r="AM36" i="2"/>
  <c r="AM38" i="2"/>
  <c r="AM39" i="2"/>
  <c r="AM42" i="2"/>
  <c r="AM44" i="2"/>
  <c r="AM45" i="2"/>
  <c r="AM47" i="2"/>
  <c r="AM48" i="2"/>
  <c r="AM50" i="2"/>
  <c r="AM51" i="2"/>
  <c r="AM53" i="2"/>
  <c r="AM54" i="2"/>
  <c r="AM56" i="2"/>
  <c r="AM57" i="2"/>
  <c r="AM59" i="2"/>
  <c r="AM60" i="2"/>
  <c r="AM62" i="2"/>
  <c r="AM63" i="2"/>
  <c r="AM65" i="2"/>
  <c r="AM66" i="2"/>
  <c r="AM68" i="2"/>
  <c r="AM69" i="2"/>
  <c r="AM71" i="2"/>
  <c r="AM72" i="2"/>
  <c r="AM74" i="2"/>
  <c r="AM75" i="2"/>
  <c r="AM77" i="2"/>
  <c r="AM78" i="2"/>
  <c r="AM80" i="2"/>
  <c r="AM81" i="2"/>
  <c r="AM83" i="2"/>
  <c r="AM84" i="2"/>
  <c r="AM86" i="2"/>
  <c r="AM87" i="2"/>
  <c r="AM89" i="2"/>
  <c r="AM90" i="2"/>
  <c r="AM92" i="2"/>
  <c r="AM93" i="2"/>
  <c r="AM95" i="2"/>
  <c r="AM96" i="2"/>
  <c r="AM98" i="2"/>
  <c r="AM99" i="2"/>
  <c r="AM101" i="2"/>
  <c r="AM102" i="2"/>
  <c r="AM104" i="2"/>
  <c r="AM105" i="2"/>
  <c r="AM107" i="2"/>
  <c r="AM108" i="2"/>
  <c r="AM110" i="2"/>
  <c r="AM111" i="2"/>
  <c r="AM113" i="2"/>
  <c r="AM114" i="2"/>
  <c r="AM116" i="2"/>
  <c r="AM117" i="2"/>
  <c r="AM119" i="2"/>
  <c r="AM120" i="2"/>
  <c r="AM122" i="2"/>
  <c r="AM123" i="2"/>
  <c r="AM125" i="2"/>
  <c r="AM126" i="2"/>
  <c r="AM128" i="2"/>
  <c r="AM129" i="2"/>
  <c r="AM131" i="2"/>
  <c r="AM132" i="2"/>
  <c r="AM134" i="2"/>
  <c r="AM135" i="2"/>
  <c r="AM137" i="2"/>
  <c r="AM138" i="2"/>
  <c r="AM140" i="2"/>
  <c r="AM141" i="2"/>
  <c r="AM143" i="2"/>
  <c r="AM144" i="2"/>
  <c r="AM146" i="2"/>
  <c r="AM147" i="2"/>
  <c r="AM149" i="2"/>
  <c r="AM150" i="2"/>
  <c r="AM152" i="2"/>
  <c r="AM153" i="2"/>
  <c r="AM155" i="2"/>
  <c r="AM156" i="2"/>
  <c r="AM158" i="2"/>
  <c r="AM159" i="2"/>
  <c r="AM161" i="2"/>
  <c r="AM162" i="2"/>
  <c r="AM164" i="2"/>
  <c r="AM165" i="2"/>
  <c r="AM167" i="2"/>
  <c r="AM168" i="2"/>
  <c r="AM170" i="2"/>
  <c r="AM171" i="2"/>
  <c r="AM173" i="2"/>
  <c r="AM174" i="2"/>
  <c r="AM176" i="2"/>
  <c r="AM177" i="2"/>
  <c r="AM179" i="2"/>
  <c r="AM180" i="2"/>
  <c r="AM182" i="2"/>
  <c r="AM183" i="2"/>
  <c r="AM185" i="2"/>
  <c r="AM186" i="2"/>
  <c r="AM188" i="2"/>
  <c r="AM189" i="2"/>
  <c r="AM191" i="2"/>
  <c r="AM192" i="2"/>
  <c r="AM194" i="2"/>
  <c r="AM195" i="2"/>
  <c r="AM197" i="2"/>
  <c r="AM198" i="2"/>
  <c r="AM200" i="2"/>
  <c r="AM201" i="2"/>
  <c r="AM203" i="2"/>
  <c r="AM204" i="2"/>
  <c r="AM206" i="2"/>
  <c r="AM207" i="2"/>
  <c r="AM209" i="2"/>
  <c r="AM210" i="2"/>
  <c r="AM212" i="2"/>
  <c r="AM213" i="2"/>
  <c r="AM215" i="2"/>
  <c r="AM216" i="2"/>
  <c r="AM218" i="2"/>
  <c r="AM219" i="2"/>
  <c r="AM221" i="2"/>
  <c r="AM222" i="2"/>
  <c r="AM224" i="2"/>
  <c r="AM225" i="2"/>
  <c r="AM227" i="2"/>
  <c r="AM228" i="2"/>
  <c r="AM230" i="2"/>
  <c r="AM231" i="2"/>
  <c r="AM233" i="2"/>
  <c r="AM234" i="2"/>
  <c r="AM236" i="2"/>
  <c r="AM237" i="2"/>
  <c r="AM239" i="2"/>
  <c r="AM240" i="2"/>
  <c r="AM242" i="2"/>
  <c r="AM243" i="2"/>
  <c r="AM245" i="2"/>
  <c r="AM246" i="2"/>
  <c r="AM248" i="2"/>
  <c r="AM249" i="2"/>
  <c r="AM251" i="2"/>
  <c r="AM252" i="2"/>
  <c r="AM254" i="2"/>
  <c r="AM255" i="2"/>
  <c r="AM257" i="2"/>
  <c r="AM258" i="2"/>
  <c r="AM260" i="2"/>
  <c r="AM261" i="2"/>
  <c r="AM263" i="2"/>
  <c r="AM264" i="2"/>
  <c r="AM266" i="2"/>
  <c r="AM267" i="2"/>
  <c r="AM269" i="2"/>
  <c r="AM270" i="2"/>
  <c r="AM272" i="2"/>
  <c r="AM273" i="2"/>
  <c r="AM275" i="2"/>
  <c r="AM276" i="2"/>
  <c r="AM278" i="2"/>
  <c r="AM279" i="2"/>
  <c r="AO3" i="2" a="1"/>
  <c r="AO3" i="2" s="1"/>
  <c r="AO4" i="2" a="1"/>
  <c r="AO4" i="2" s="1"/>
  <c r="AO5" i="2" a="1"/>
  <c r="AO5" i="2" s="1"/>
  <c r="AO6" i="2" a="1"/>
  <c r="AO6" i="2" s="1"/>
  <c r="AO7" i="2" a="1"/>
  <c r="AO7" i="2" s="1"/>
  <c r="AO8" i="2" a="1"/>
  <c r="AO8" i="2" s="1"/>
  <c r="AO9" i="2" a="1"/>
  <c r="AO9" i="2" s="1"/>
  <c r="AO10" i="2" a="1"/>
  <c r="AO10" i="2"/>
  <c r="AO11" i="2" a="1"/>
  <c r="AO11" i="2" s="1"/>
  <c r="AO12" i="2" a="1"/>
  <c r="AO12" i="2" s="1"/>
  <c r="AO14" i="2" a="1"/>
  <c r="AO14" i="2" s="1"/>
  <c r="AO15" i="2" a="1"/>
  <c r="AO15" i="2" s="1"/>
  <c r="AO16" i="2" a="1"/>
  <c r="AO16" i="2" s="1"/>
  <c r="AO17" i="2" a="1"/>
  <c r="AO17" i="2" s="1"/>
  <c r="AO18" i="2" a="1"/>
  <c r="AO18" i="2" s="1"/>
  <c r="AO19" i="2" a="1"/>
  <c r="AO19" i="2" s="1"/>
  <c r="AO20" i="2" a="1"/>
  <c r="AO20" i="2" s="1"/>
  <c r="AO21" i="2" a="1"/>
  <c r="AO21" i="2" s="1"/>
  <c r="AO22" i="2" a="1"/>
  <c r="AO22" i="2" s="1"/>
  <c r="AO23" i="2" a="1"/>
  <c r="AO23" i="2" s="1"/>
  <c r="AO24" i="2" a="1"/>
  <c r="AO24" i="2" s="1"/>
  <c r="AO25" i="2" a="1"/>
  <c r="AO25" i="2" s="1"/>
  <c r="AO26" i="2" a="1"/>
  <c r="AO26" i="2" s="1"/>
  <c r="AO27" i="2" a="1"/>
  <c r="AO27" i="2" s="1"/>
  <c r="AO28" i="2" a="1"/>
  <c r="AO28" i="2" s="1"/>
  <c r="AO29" i="2" a="1"/>
  <c r="AO29" i="2" s="1"/>
  <c r="AO30" i="2" a="1"/>
  <c r="AO30" i="2" s="1"/>
  <c r="AO31" i="2" a="1"/>
  <c r="AO31" i="2"/>
  <c r="AO32" i="2" a="1"/>
  <c r="AO32" i="2" s="1"/>
  <c r="AO33" i="2" a="1"/>
  <c r="AO33" i="2" s="1"/>
  <c r="AO34" i="2" a="1"/>
  <c r="AO34" i="2" s="1"/>
  <c r="AO35" i="2" a="1"/>
  <c r="AO35" i="2" s="1"/>
  <c r="AO36" i="2" a="1"/>
  <c r="AO36" i="2" s="1"/>
  <c r="AO37" i="2" a="1"/>
  <c r="AO37" i="2" s="1"/>
  <c r="AO38" i="2" a="1"/>
  <c r="AO38" i="2" s="1"/>
  <c r="AO39" i="2" a="1"/>
  <c r="AO39" i="2" s="1"/>
  <c r="AO40" i="2" a="1"/>
  <c r="AO40" i="2" s="1"/>
  <c r="AO41" i="2" a="1"/>
  <c r="AO41" i="2" s="1"/>
  <c r="AO42" i="2" a="1"/>
  <c r="AO42" i="2" s="1"/>
  <c r="AO43" i="2" a="1"/>
  <c r="AO43" i="2" s="1"/>
  <c r="AO44" i="2" a="1"/>
  <c r="AO44" i="2" s="1"/>
  <c r="AO45" i="2" a="1"/>
  <c r="AO45" i="2" s="1"/>
  <c r="AO46" i="2" a="1"/>
  <c r="AO46" i="2" s="1"/>
  <c r="AO47" i="2" a="1"/>
  <c r="AO47" i="2" s="1"/>
  <c r="AO48" i="2" a="1"/>
  <c r="AO48" i="2" s="1"/>
  <c r="AO49" i="2" a="1"/>
  <c r="AO49" i="2" s="1"/>
  <c r="AO50" i="2" a="1"/>
  <c r="AO50" i="2" s="1"/>
  <c r="AO51" i="2" a="1"/>
  <c r="AO51" i="2" s="1"/>
  <c r="AO52" i="2" a="1"/>
  <c r="AO52" i="2" s="1"/>
  <c r="AO53" i="2" a="1"/>
  <c r="AO53" i="2" s="1"/>
  <c r="AO54" i="2" a="1"/>
  <c r="AO54" i="2" s="1"/>
  <c r="AO55" i="2" a="1"/>
  <c r="AO55" i="2" s="1"/>
  <c r="AO56" i="2" a="1"/>
  <c r="AO56" i="2" s="1"/>
  <c r="AO57" i="2" a="1"/>
  <c r="AO57" i="2" s="1"/>
  <c r="AO58" i="2" a="1"/>
  <c r="AO58" i="2" s="1"/>
  <c r="AO59" i="2" a="1"/>
  <c r="AO59" i="2" s="1"/>
  <c r="AO60" i="2" a="1"/>
  <c r="AO60" i="2" s="1"/>
  <c r="AO61" i="2" a="1"/>
  <c r="AO61" i="2" s="1"/>
  <c r="AO62" i="2" a="1"/>
  <c r="AO62" i="2" s="1"/>
  <c r="AO63" i="2" a="1"/>
  <c r="AO63" i="2" s="1"/>
  <c r="AO64" i="2" a="1"/>
  <c r="AO64" i="2" s="1"/>
  <c r="AO65" i="2" a="1"/>
  <c r="AO65" i="2" s="1"/>
  <c r="AO66" i="2" a="1"/>
  <c r="AO66" i="2" s="1"/>
  <c r="AO67" i="2" a="1"/>
  <c r="AO67" i="2" s="1"/>
  <c r="AO68" i="2" a="1"/>
  <c r="AO68" i="2" s="1"/>
  <c r="AO69" i="2" a="1"/>
  <c r="AO69" i="2" s="1"/>
  <c r="AO70" i="2" a="1"/>
  <c r="AO70" i="2" s="1"/>
  <c r="AO71" i="2" a="1"/>
  <c r="AO71" i="2" s="1"/>
  <c r="AO72" i="2" a="1"/>
  <c r="AO72" i="2" s="1"/>
  <c r="AO73" i="2" a="1"/>
  <c r="AO73" i="2" s="1"/>
  <c r="AO74" i="2" a="1"/>
  <c r="AO74" i="2" s="1"/>
  <c r="AO75" i="2" a="1"/>
  <c r="AO75" i="2" s="1"/>
  <c r="AO76" i="2" a="1"/>
  <c r="AO76" i="2" s="1"/>
  <c r="AO77" i="2" a="1"/>
  <c r="AO77" i="2" s="1"/>
  <c r="AO78" i="2" a="1"/>
  <c r="AO78" i="2" s="1"/>
  <c r="AO79" i="2" a="1"/>
  <c r="AO79" i="2" s="1"/>
  <c r="AO80" i="2" a="1"/>
  <c r="AO80" i="2" s="1"/>
  <c r="AO81" i="2" a="1"/>
  <c r="AO81" i="2" s="1"/>
  <c r="AO82" i="2" a="1"/>
  <c r="AO82" i="2" s="1"/>
  <c r="AO83" i="2" a="1"/>
  <c r="AO83" i="2" s="1"/>
  <c r="AO84" i="2" a="1"/>
  <c r="AO84" i="2" s="1"/>
  <c r="AO85" i="2" a="1"/>
  <c r="AO85" i="2" s="1"/>
  <c r="AO86" i="2" a="1"/>
  <c r="AO86" i="2" s="1"/>
  <c r="AO87" i="2" a="1"/>
  <c r="AO87" i="2" s="1"/>
  <c r="AO88" i="2" a="1"/>
  <c r="AO88" i="2" s="1"/>
  <c r="AO89" i="2" a="1"/>
  <c r="AO89" i="2" s="1"/>
  <c r="AO90" i="2" a="1"/>
  <c r="AO90" i="2" s="1"/>
  <c r="AO91" i="2" a="1"/>
  <c r="AO91" i="2" s="1"/>
  <c r="AO92" i="2" a="1"/>
  <c r="AO92" i="2" s="1"/>
  <c r="AO93" i="2" a="1"/>
  <c r="AO93" i="2" s="1"/>
  <c r="AO94" i="2" a="1"/>
  <c r="AO94" i="2" s="1"/>
  <c r="AO95" i="2" a="1"/>
  <c r="AO95" i="2" s="1"/>
  <c r="AO96" i="2" a="1"/>
  <c r="AO96" i="2" s="1"/>
  <c r="AO97" i="2" a="1"/>
  <c r="AO97" i="2" s="1"/>
  <c r="AO98" i="2" a="1"/>
  <c r="AO98" i="2" s="1"/>
  <c r="AO99" i="2" a="1"/>
  <c r="AO99" i="2" s="1"/>
  <c r="AO100" i="2" a="1"/>
  <c r="AO100" i="2" s="1"/>
  <c r="AO101" i="2" a="1"/>
  <c r="AO101" i="2" s="1"/>
  <c r="AO102" i="2" a="1"/>
  <c r="AO102" i="2" s="1"/>
  <c r="AO103" i="2" a="1"/>
  <c r="AO103" i="2" s="1"/>
  <c r="AO104" i="2" a="1"/>
  <c r="AO104" i="2" s="1"/>
  <c r="AO105" i="2" a="1"/>
  <c r="AO105" i="2" s="1"/>
  <c r="AO106" i="2" a="1"/>
  <c r="AO106" i="2" s="1"/>
  <c r="AO107" i="2" a="1"/>
  <c r="AO107" i="2" s="1"/>
  <c r="AO108" i="2" a="1"/>
  <c r="AO108" i="2" s="1"/>
  <c r="AO109" i="2" a="1"/>
  <c r="AO109" i="2" s="1"/>
  <c r="AO110" i="2" a="1"/>
  <c r="AO110" i="2" s="1"/>
  <c r="AO111" i="2" a="1"/>
  <c r="AO111" i="2" s="1"/>
  <c r="AO112" i="2" a="1"/>
  <c r="AO112" i="2" s="1"/>
  <c r="AO113" i="2" a="1"/>
  <c r="AO113" i="2" s="1"/>
  <c r="AO114" i="2" a="1"/>
  <c r="AO114" i="2" s="1"/>
  <c r="AO115" i="2" a="1"/>
  <c r="AO115" i="2" s="1"/>
  <c r="AO116" i="2" a="1"/>
  <c r="AO116" i="2" s="1"/>
  <c r="AO117" i="2" a="1"/>
  <c r="AO117" i="2" s="1"/>
  <c r="AO118" i="2" a="1"/>
  <c r="AO118" i="2" s="1"/>
  <c r="AO119" i="2" a="1"/>
  <c r="AO119" i="2" s="1"/>
  <c r="AO120" i="2" a="1"/>
  <c r="AO120" i="2" s="1"/>
  <c r="AO121" i="2" a="1"/>
  <c r="AO121" i="2" s="1"/>
  <c r="AO122" i="2" a="1"/>
  <c r="AO122" i="2" s="1"/>
  <c r="AO123" i="2" a="1"/>
  <c r="AO123" i="2" s="1"/>
  <c r="AO124" i="2" a="1"/>
  <c r="AO124" i="2" s="1"/>
  <c r="AO125" i="2" a="1"/>
  <c r="AO125" i="2" s="1"/>
  <c r="AO126" i="2" a="1"/>
  <c r="AO126" i="2" s="1"/>
  <c r="AO127" i="2" a="1"/>
  <c r="AO127" i="2" s="1"/>
  <c r="AO128" i="2" a="1"/>
  <c r="AO128" i="2" s="1"/>
  <c r="AO129" i="2" a="1"/>
  <c r="AO129" i="2" s="1"/>
  <c r="AO130" i="2" a="1"/>
  <c r="AO130" i="2" s="1"/>
  <c r="AO131" i="2" a="1"/>
  <c r="AO131" i="2" s="1"/>
  <c r="AO132" i="2" a="1"/>
  <c r="AO132" i="2" s="1"/>
  <c r="AO133" i="2" a="1"/>
  <c r="AO133" i="2" s="1"/>
  <c r="AO134" i="2" a="1"/>
  <c r="AO134" i="2" s="1"/>
  <c r="AO135" i="2" a="1"/>
  <c r="AO135" i="2" s="1"/>
  <c r="AO136" i="2" a="1"/>
  <c r="AO136" i="2" s="1"/>
  <c r="AO137" i="2" a="1"/>
  <c r="AO137" i="2" s="1"/>
  <c r="AO138" i="2" a="1"/>
  <c r="AO138" i="2" s="1"/>
  <c r="AO139" i="2" a="1"/>
  <c r="AO139" i="2" s="1"/>
  <c r="AO140" i="2" a="1"/>
  <c r="AO140" i="2" s="1"/>
  <c r="AO141" i="2" a="1"/>
  <c r="AO141" i="2" s="1"/>
  <c r="AO142" i="2" a="1"/>
  <c r="AO142" i="2" s="1"/>
  <c r="AO143" i="2" a="1"/>
  <c r="AO143" i="2" s="1"/>
  <c r="AO144" i="2" a="1"/>
  <c r="AO144" i="2" s="1"/>
  <c r="AO145" i="2" a="1"/>
  <c r="AO145" i="2" s="1"/>
  <c r="AO146" i="2" a="1"/>
  <c r="AO146" i="2" s="1"/>
  <c r="AO147" i="2" a="1"/>
  <c r="AO147" i="2" s="1"/>
  <c r="AO148" i="2" a="1"/>
  <c r="AO148" i="2" s="1"/>
  <c r="AO149" i="2" a="1"/>
  <c r="AO149" i="2" s="1"/>
  <c r="AO150" i="2" a="1"/>
  <c r="AO150" i="2" s="1"/>
  <c r="AO151" i="2" a="1"/>
  <c r="AO151" i="2" s="1"/>
  <c r="AO152" i="2" a="1"/>
  <c r="AO152" i="2" s="1"/>
  <c r="AO153" i="2" a="1"/>
  <c r="AO153" i="2" s="1"/>
  <c r="AO154" i="2" a="1"/>
  <c r="AO154" i="2" s="1"/>
  <c r="AO155" i="2" a="1"/>
  <c r="AO155" i="2" s="1"/>
  <c r="AO156" i="2" a="1"/>
  <c r="AO156" i="2" s="1"/>
  <c r="AO157" i="2" a="1"/>
  <c r="AO157" i="2" s="1"/>
  <c r="AO158" i="2" a="1"/>
  <c r="AO158" i="2" s="1"/>
  <c r="AO159" i="2" a="1"/>
  <c r="AO159" i="2" s="1"/>
  <c r="AO160" i="2" a="1"/>
  <c r="AO160" i="2" s="1"/>
  <c r="AO161" i="2" a="1"/>
  <c r="AO161" i="2" s="1"/>
  <c r="AO162" i="2" a="1"/>
  <c r="AO162" i="2" s="1"/>
  <c r="AO163" i="2" a="1"/>
  <c r="AO163" i="2" s="1"/>
  <c r="AO164" i="2" a="1"/>
  <c r="AO164" i="2" s="1"/>
  <c r="AO165" i="2" a="1"/>
  <c r="AO165" i="2" s="1"/>
  <c r="AO166" i="2" a="1"/>
  <c r="AO166" i="2" s="1"/>
  <c r="AO167" i="2" a="1"/>
  <c r="AO167" i="2" s="1"/>
  <c r="AO168" i="2" a="1"/>
  <c r="AO168" i="2" s="1"/>
  <c r="AO169" i="2" a="1"/>
  <c r="AO169" i="2" s="1"/>
  <c r="AO170" i="2" a="1"/>
  <c r="AO170" i="2" s="1"/>
  <c r="AO171" i="2" a="1"/>
  <c r="AO171" i="2" s="1"/>
  <c r="AO172" i="2" a="1"/>
  <c r="AO172" i="2" s="1"/>
  <c r="AO173" i="2" a="1"/>
  <c r="AO173" i="2" s="1"/>
  <c r="AO174" i="2" a="1"/>
  <c r="AO174" i="2" s="1"/>
  <c r="AO175" i="2" a="1"/>
  <c r="AO175" i="2" s="1"/>
  <c r="AO176" i="2" a="1"/>
  <c r="AO176" i="2" s="1"/>
  <c r="AO177" i="2" a="1"/>
  <c r="AO177" i="2" s="1"/>
  <c r="AO178" i="2" a="1"/>
  <c r="AO178" i="2" s="1"/>
  <c r="AO179" i="2" a="1"/>
  <c r="AO179" i="2" s="1"/>
  <c r="AO180" i="2" a="1"/>
  <c r="AO180" i="2" s="1"/>
  <c r="AO181" i="2" a="1"/>
  <c r="AO181" i="2" s="1"/>
  <c r="AO182" i="2" a="1"/>
  <c r="AO182" i="2" s="1"/>
  <c r="AO183" i="2" a="1"/>
  <c r="AO183" i="2" s="1"/>
  <c r="AO184" i="2" a="1"/>
  <c r="AO184" i="2" s="1"/>
  <c r="AO185" i="2" a="1"/>
  <c r="AO185" i="2" s="1"/>
  <c r="AO186" i="2" a="1"/>
  <c r="AO186" i="2" s="1"/>
  <c r="AO187" i="2" a="1"/>
  <c r="AO187" i="2" s="1"/>
  <c r="AO188" i="2" a="1"/>
  <c r="AO188" i="2" s="1"/>
  <c r="AO189" i="2" a="1"/>
  <c r="AO189" i="2" s="1"/>
  <c r="AO190" i="2" a="1"/>
  <c r="AO190" i="2" s="1"/>
  <c r="AO191" i="2" a="1"/>
  <c r="AO191" i="2" s="1"/>
  <c r="AO192" i="2" a="1"/>
  <c r="AO192" i="2" s="1"/>
  <c r="AO193" i="2" a="1"/>
  <c r="AO193" i="2" s="1"/>
  <c r="AO194" i="2" a="1"/>
  <c r="AO194" i="2" s="1"/>
  <c r="AO195" i="2" a="1"/>
  <c r="AO195" i="2" s="1"/>
  <c r="AO196" i="2" a="1"/>
  <c r="AO196" i="2" s="1"/>
  <c r="AO197" i="2" a="1"/>
  <c r="AO197" i="2" s="1"/>
  <c r="AO198" i="2" a="1"/>
  <c r="AO198" i="2" s="1"/>
  <c r="AO199" i="2" a="1"/>
  <c r="AO199" i="2" s="1"/>
  <c r="AO200" i="2" a="1"/>
  <c r="AO200" i="2" s="1"/>
  <c r="AO201" i="2" a="1"/>
  <c r="AO201" i="2" s="1"/>
  <c r="AO202" i="2" a="1"/>
  <c r="AO202" i="2" s="1"/>
  <c r="AO203" i="2" a="1"/>
  <c r="AO203" i="2" s="1"/>
  <c r="AO204" i="2" a="1"/>
  <c r="AO204" i="2" s="1"/>
  <c r="AO205" i="2" a="1"/>
  <c r="AO205" i="2" s="1"/>
  <c r="AO206" i="2" a="1"/>
  <c r="AO206" i="2" s="1"/>
  <c r="AO207" i="2" a="1"/>
  <c r="AO207" i="2" s="1"/>
  <c r="AO208" i="2" a="1"/>
  <c r="AO208" i="2" s="1"/>
  <c r="AO209" i="2" a="1"/>
  <c r="AO209" i="2" s="1"/>
  <c r="AO210" i="2" a="1"/>
  <c r="AO210" i="2" s="1"/>
  <c r="AO211" i="2" a="1"/>
  <c r="AO211" i="2" s="1"/>
  <c r="AO212" i="2" a="1"/>
  <c r="AO212" i="2" s="1"/>
  <c r="AO213" i="2" a="1"/>
  <c r="AO213" i="2" s="1"/>
  <c r="AO214" i="2" a="1"/>
  <c r="AO214" i="2" s="1"/>
  <c r="AO215" i="2" a="1"/>
  <c r="AO215" i="2" s="1"/>
  <c r="AO216" i="2" a="1"/>
  <c r="AO216" i="2" s="1"/>
  <c r="AO217" i="2" a="1"/>
  <c r="AO217" i="2" s="1"/>
  <c r="AO218" i="2" a="1"/>
  <c r="AO218" i="2" s="1"/>
  <c r="AO219" i="2" a="1"/>
  <c r="AO219" i="2" s="1"/>
  <c r="AO220" i="2" a="1"/>
  <c r="AO220" i="2" s="1"/>
  <c r="AO221" i="2" a="1"/>
  <c r="AO221" i="2" s="1"/>
  <c r="AO222" i="2" a="1"/>
  <c r="AO222" i="2" s="1"/>
  <c r="AO223" i="2" a="1"/>
  <c r="AO223" i="2" s="1"/>
  <c r="AO224" i="2" a="1"/>
  <c r="AO224" i="2" s="1"/>
  <c r="AO225" i="2" a="1"/>
  <c r="AO225" i="2" s="1"/>
  <c r="AO226" i="2" a="1"/>
  <c r="AO226" i="2" s="1"/>
  <c r="AO227" i="2" a="1"/>
  <c r="AO227" i="2" s="1"/>
  <c r="AO228" i="2" a="1"/>
  <c r="AO228" i="2" s="1"/>
  <c r="AO229" i="2" a="1"/>
  <c r="AO229" i="2" s="1"/>
  <c r="AO230" i="2" a="1"/>
  <c r="AO230" i="2" s="1"/>
  <c r="AO231" i="2" a="1"/>
  <c r="AO231" i="2" s="1"/>
  <c r="AO232" i="2" a="1"/>
  <c r="AO232" i="2" s="1"/>
  <c r="AO233" i="2" a="1"/>
  <c r="AO233" i="2" s="1"/>
  <c r="AO234" i="2" a="1"/>
  <c r="AO234" i="2" s="1"/>
  <c r="AO235" i="2" a="1"/>
  <c r="AO235" i="2" s="1"/>
  <c r="AO236" i="2" a="1"/>
  <c r="AO236" i="2" s="1"/>
  <c r="AO237" i="2" a="1"/>
  <c r="AO237" i="2" s="1"/>
  <c r="AO238" i="2" a="1"/>
  <c r="AO238" i="2" s="1"/>
  <c r="AO239" i="2" a="1"/>
  <c r="AO239" i="2" s="1"/>
  <c r="AO240" i="2" a="1"/>
  <c r="AO240" i="2" s="1"/>
  <c r="AO241" i="2" a="1"/>
  <c r="AO241" i="2" s="1"/>
  <c r="AO242" i="2" a="1"/>
  <c r="AO242" i="2" s="1"/>
  <c r="AO243" i="2" a="1"/>
  <c r="AO243" i="2" s="1"/>
  <c r="AO244" i="2" a="1"/>
  <c r="AO244" i="2" s="1"/>
  <c r="AO245" i="2" a="1"/>
  <c r="AO245" i="2" s="1"/>
  <c r="AO246" i="2" a="1"/>
  <c r="AO246" i="2" s="1"/>
  <c r="AO247" i="2" a="1"/>
  <c r="AO247" i="2" s="1"/>
  <c r="AO248" i="2" a="1"/>
  <c r="AO248" i="2" s="1"/>
  <c r="AO249" i="2" a="1"/>
  <c r="AO249" i="2" s="1"/>
  <c r="AO250" i="2" a="1"/>
  <c r="AO250" i="2" s="1"/>
  <c r="AO251" i="2" a="1"/>
  <c r="AO251" i="2" s="1"/>
  <c r="AO252" i="2" a="1"/>
  <c r="AO252" i="2" s="1"/>
  <c r="AO253" i="2" a="1"/>
  <c r="AO253" i="2" s="1"/>
  <c r="AO254" i="2" a="1"/>
  <c r="AO254" i="2" s="1"/>
  <c r="AO255" i="2" a="1"/>
  <c r="AO255" i="2" s="1"/>
  <c r="AO256" i="2" a="1"/>
  <c r="AO256" i="2" s="1"/>
  <c r="AO257" i="2" a="1"/>
  <c r="AO257" i="2" s="1"/>
  <c r="AO258" i="2" a="1"/>
  <c r="AO258" i="2" s="1"/>
  <c r="AO259" i="2" a="1"/>
  <c r="AO259" i="2" s="1"/>
  <c r="AO260" i="2" a="1"/>
  <c r="AO260" i="2" s="1"/>
  <c r="AO261" i="2" a="1"/>
  <c r="AO261" i="2" s="1"/>
  <c r="AO262" i="2" a="1"/>
  <c r="AO262" i="2" s="1"/>
  <c r="AO263" i="2" a="1"/>
  <c r="AO263" i="2" s="1"/>
  <c r="AO264" i="2" a="1"/>
  <c r="AO264" i="2" s="1"/>
  <c r="AO265" i="2" a="1"/>
  <c r="AO265" i="2" s="1"/>
  <c r="AO266" i="2" a="1"/>
  <c r="AO266" i="2" s="1"/>
  <c r="AO267" i="2" a="1"/>
  <c r="AO267" i="2" s="1"/>
  <c r="AO268" i="2" a="1"/>
  <c r="AO268" i="2" s="1"/>
  <c r="AO269" i="2" a="1"/>
  <c r="AO269" i="2" s="1"/>
  <c r="AO270" i="2" a="1"/>
  <c r="AO270" i="2" s="1"/>
  <c r="AO271" i="2" a="1"/>
  <c r="AO271" i="2" s="1"/>
  <c r="AO272" i="2" a="1"/>
  <c r="AO272" i="2" s="1"/>
  <c r="AO273" i="2" a="1"/>
  <c r="AO273" i="2" s="1"/>
  <c r="AO274" i="2" a="1"/>
  <c r="AO274" i="2" s="1"/>
  <c r="AO275" i="2" a="1"/>
  <c r="AO275" i="2" s="1"/>
  <c r="AO276" i="2" a="1"/>
  <c r="AO276" i="2" s="1"/>
  <c r="AO277" i="2" a="1"/>
  <c r="AO277" i="2" s="1"/>
  <c r="AO278" i="2" a="1"/>
  <c r="AO278" i="2" s="1"/>
  <c r="AO279" i="2" a="1"/>
  <c r="AO279" i="2" s="1"/>
  <c r="AO280" i="2" a="1"/>
  <c r="AO280" i="2" s="1"/>
  <c r="AO281" i="2" a="1"/>
  <c r="AO281" i="2" s="1"/>
  <c r="AH139" i="18" a="1"/>
  <c r="AH139" i="18" s="1"/>
  <c r="AF139" i="18"/>
  <c r="AG139" i="18" s="1" a="1"/>
  <c r="AG139" i="18" s="1"/>
  <c r="AE139" i="18" a="1"/>
  <c r="AE139" i="18" s="1"/>
  <c r="AB139" i="18"/>
  <c r="AH138" i="18" a="1"/>
  <c r="AH138" i="18" s="1"/>
  <c r="AF138" i="18"/>
  <c r="AG138" i="18" s="1" a="1"/>
  <c r="AG138" i="18" s="1"/>
  <c r="AE138" i="18" a="1"/>
  <c r="AE138" i="18" s="1"/>
  <c r="AB138" i="18"/>
  <c r="AH137" i="18" a="1"/>
  <c r="AH137" i="18" s="1"/>
  <c r="AF137" i="18"/>
  <c r="AG137" i="18" s="1" a="1"/>
  <c r="AG137" i="18" s="1"/>
  <c r="AE137" i="18" a="1"/>
  <c r="AE137" i="18" s="1"/>
  <c r="AB137" i="18"/>
  <c r="AH136" i="18" a="1"/>
  <c r="AH136" i="18" s="1"/>
  <c r="AF136" i="18"/>
  <c r="AG136" i="18" s="1" a="1"/>
  <c r="AG136" i="18" s="1"/>
  <c r="AE136" i="18" a="1"/>
  <c r="AE136" i="18" s="1"/>
  <c r="AB136" i="18"/>
  <c r="AH135" i="18" a="1"/>
  <c r="AH135" i="18" s="1"/>
  <c r="AF135" i="18"/>
  <c r="AG135" i="18" s="1" a="1"/>
  <c r="AG135" i="18" s="1"/>
  <c r="AE135" i="18" a="1"/>
  <c r="AE135" i="18" s="1"/>
  <c r="AB135" i="18"/>
  <c r="AH134" i="18" a="1"/>
  <c r="AH134" i="18" s="1"/>
  <c r="AF134" i="18"/>
  <c r="AG134" i="18" s="1" a="1"/>
  <c r="AG134" i="18" s="1"/>
  <c r="AE134" i="18" a="1"/>
  <c r="AE134" i="18" s="1"/>
  <c r="AB134" i="18"/>
  <c r="AH133" i="18" a="1"/>
  <c r="AH133" i="18" s="1"/>
  <c r="AF133" i="18"/>
  <c r="AG133" i="18" s="1" a="1"/>
  <c r="AG133" i="18" s="1"/>
  <c r="AE133" i="18" a="1"/>
  <c r="AE133" i="18" s="1"/>
  <c r="AB133" i="18"/>
  <c r="AH132" i="18" a="1"/>
  <c r="AH132" i="18" s="1"/>
  <c r="AF132" i="18"/>
  <c r="AG132" i="18" s="1" a="1"/>
  <c r="AG132" i="18" s="1"/>
  <c r="AE132" i="18" a="1"/>
  <c r="AE132" i="18" s="1"/>
  <c r="AB132" i="18"/>
  <c r="AH131" i="18" a="1"/>
  <c r="AH131" i="18" s="1"/>
  <c r="AF131" i="18"/>
  <c r="AG131" i="18" s="1" a="1"/>
  <c r="AG131" i="18" s="1"/>
  <c r="AE131" i="18" a="1"/>
  <c r="AE131" i="18" s="1"/>
  <c r="AB131" i="18"/>
  <c r="AH130" i="18" a="1"/>
  <c r="AH130" i="18" s="1"/>
  <c r="AF130" i="18"/>
  <c r="AG130" i="18" s="1" a="1"/>
  <c r="AG130" i="18" s="1"/>
  <c r="AE130" i="18" a="1"/>
  <c r="AE130" i="18" s="1"/>
  <c r="AB130" i="18"/>
  <c r="AH129" i="18" a="1"/>
  <c r="AH129" i="18" s="1"/>
  <c r="AF129" i="18"/>
  <c r="AG129" i="18" s="1" a="1"/>
  <c r="AG129" i="18" s="1"/>
  <c r="AE129" i="18" a="1"/>
  <c r="AE129" i="18" s="1"/>
  <c r="AB129" i="18"/>
  <c r="AH128" i="18" a="1"/>
  <c r="AH128" i="18" s="1"/>
  <c r="AF128" i="18"/>
  <c r="AG128" i="18" s="1" a="1"/>
  <c r="AG128" i="18" s="1"/>
  <c r="AE128" i="18" a="1"/>
  <c r="AE128" i="18" s="1"/>
  <c r="AB128" i="18"/>
  <c r="AH127" i="18" a="1"/>
  <c r="AH127" i="18" s="1"/>
  <c r="AF127" i="18"/>
  <c r="AG127" i="18" s="1" a="1"/>
  <c r="AG127" i="18" s="1"/>
  <c r="AE127" i="18" a="1"/>
  <c r="AE127" i="18" s="1"/>
  <c r="AB127" i="18"/>
  <c r="AH126" i="18" a="1"/>
  <c r="AH126" i="18" s="1"/>
  <c r="AF126" i="18"/>
  <c r="AG126" i="18" s="1" a="1"/>
  <c r="AG126" i="18" s="1"/>
  <c r="AE126" i="18" a="1"/>
  <c r="AE126" i="18" s="1"/>
  <c r="AB126" i="18"/>
  <c r="AH125" i="18" a="1"/>
  <c r="AH125" i="18" s="1"/>
  <c r="AF125" i="18"/>
  <c r="AG125" i="18" s="1" a="1"/>
  <c r="AG125" i="18" s="1"/>
  <c r="AE125" i="18" a="1"/>
  <c r="AE125" i="18" s="1"/>
  <c r="AB125" i="18"/>
  <c r="AH124" i="18" a="1"/>
  <c r="AH124" i="18" s="1"/>
  <c r="AF124" i="18"/>
  <c r="AG124" i="18" s="1" a="1"/>
  <c r="AG124" i="18" s="1"/>
  <c r="AE124" i="18" a="1"/>
  <c r="AE124" i="18" s="1"/>
  <c r="AB124" i="18"/>
  <c r="AH123" i="18" a="1"/>
  <c r="AH123" i="18" s="1"/>
  <c r="AF123" i="18"/>
  <c r="AG123" i="18" s="1" a="1"/>
  <c r="AG123" i="18" s="1"/>
  <c r="AE123" i="18" a="1"/>
  <c r="AE123" i="18" s="1"/>
  <c r="AB123" i="18"/>
  <c r="AH122" i="18" a="1"/>
  <c r="AH122" i="18" s="1"/>
  <c r="AF122" i="18"/>
  <c r="AG122" i="18" s="1" a="1"/>
  <c r="AG122" i="18" s="1"/>
  <c r="AE122" i="18" a="1"/>
  <c r="AE122" i="18" s="1"/>
  <c r="AB122" i="18"/>
  <c r="AH121" i="18" a="1"/>
  <c r="AH121" i="18" s="1"/>
  <c r="AF121" i="18"/>
  <c r="AG121" i="18" s="1" a="1"/>
  <c r="AG121" i="18" s="1"/>
  <c r="AE121" i="18" a="1"/>
  <c r="AE121" i="18" s="1"/>
  <c r="AB121" i="18"/>
  <c r="AH120" i="18" a="1"/>
  <c r="AH120" i="18" s="1"/>
  <c r="AF120" i="18"/>
  <c r="AG120" i="18" s="1" a="1"/>
  <c r="AG120" i="18" s="1"/>
  <c r="AE120" i="18" a="1"/>
  <c r="AE120" i="18" s="1"/>
  <c r="AB120" i="18"/>
  <c r="AH119" i="18" a="1"/>
  <c r="AH119" i="18" s="1"/>
  <c r="AF119" i="18"/>
  <c r="AG119" i="18" s="1" a="1"/>
  <c r="AG119" i="18" s="1"/>
  <c r="AE119" i="18" a="1"/>
  <c r="AE119" i="18" s="1"/>
  <c r="AB119" i="18"/>
  <c r="AH118" i="18" a="1"/>
  <c r="AH118" i="18" s="1"/>
  <c r="AF118" i="18"/>
  <c r="AG118" i="18" s="1" a="1"/>
  <c r="AG118" i="18" s="1"/>
  <c r="AE118" i="18" a="1"/>
  <c r="AE118" i="18" s="1"/>
  <c r="AB118" i="18"/>
  <c r="AH117" i="18" a="1"/>
  <c r="AH117" i="18" s="1"/>
  <c r="AF117" i="18"/>
  <c r="AG117" i="18" s="1" a="1"/>
  <c r="AG117" i="18" s="1"/>
  <c r="AE117" i="18" a="1"/>
  <c r="AE117" i="18" s="1"/>
  <c r="AB117" i="18"/>
  <c r="AH116" i="18" a="1"/>
  <c r="AH116" i="18" s="1"/>
  <c r="AF116" i="18"/>
  <c r="AG116" i="18" s="1" a="1"/>
  <c r="AG116" i="18" s="1"/>
  <c r="AE116" i="18" a="1"/>
  <c r="AE116" i="18" s="1"/>
  <c r="AB116" i="18"/>
  <c r="AH115" i="18" a="1"/>
  <c r="AH115" i="18" s="1"/>
  <c r="AF115" i="18"/>
  <c r="AG115" i="18" s="1" a="1"/>
  <c r="AG115" i="18" s="1"/>
  <c r="AE115" i="18" a="1"/>
  <c r="AE115" i="18" s="1"/>
  <c r="AB115" i="18"/>
  <c r="AH114" i="18" a="1"/>
  <c r="AH114" i="18" s="1"/>
  <c r="AF114" i="18"/>
  <c r="AG114" i="18" s="1" a="1"/>
  <c r="AG114" i="18" s="1"/>
  <c r="AE114" i="18" a="1"/>
  <c r="AE114" i="18" s="1"/>
  <c r="AB114" i="18"/>
  <c r="AH113" i="18" a="1"/>
  <c r="AH113" i="18" s="1"/>
  <c r="AF113" i="18"/>
  <c r="AG113" i="18" s="1" a="1"/>
  <c r="AG113" i="18" s="1"/>
  <c r="AE113" i="18" a="1"/>
  <c r="AE113" i="18" s="1"/>
  <c r="AB113" i="18"/>
  <c r="AH112" i="18" a="1"/>
  <c r="AH112" i="18" s="1"/>
  <c r="AF112" i="18"/>
  <c r="AG112" i="18" s="1" a="1"/>
  <c r="AG112" i="18" s="1"/>
  <c r="AE112" i="18" a="1"/>
  <c r="AE112" i="18" s="1"/>
  <c r="AB112" i="18"/>
  <c r="AH111" i="18" a="1"/>
  <c r="AH111" i="18" s="1"/>
  <c r="AF111" i="18"/>
  <c r="AG111" i="18" s="1" a="1"/>
  <c r="AG111" i="18" s="1"/>
  <c r="AE111" i="18" a="1"/>
  <c r="AE111" i="18" s="1"/>
  <c r="AB111" i="18"/>
  <c r="AH110" i="18" a="1"/>
  <c r="AH110" i="18" s="1"/>
  <c r="AF110" i="18"/>
  <c r="AG110" i="18" s="1" a="1"/>
  <c r="AG110" i="18" s="1"/>
  <c r="AE110" i="18" a="1"/>
  <c r="AE110" i="18" s="1"/>
  <c r="AB110" i="18"/>
  <c r="AH109" i="18" a="1"/>
  <c r="AH109" i="18" s="1"/>
  <c r="AF109" i="18"/>
  <c r="AG109" i="18" s="1" a="1"/>
  <c r="AG109" i="18" s="1"/>
  <c r="AE109" i="18" a="1"/>
  <c r="AE109" i="18" s="1"/>
  <c r="AB109" i="18"/>
  <c r="AH108" i="18" a="1"/>
  <c r="AH108" i="18" s="1"/>
  <c r="AF108" i="18"/>
  <c r="AG108" i="18" s="1" a="1"/>
  <c r="AG108" i="18" s="1"/>
  <c r="AE108" i="18" a="1"/>
  <c r="AE108" i="18" s="1"/>
  <c r="AB108" i="18"/>
  <c r="AH107" i="18" a="1"/>
  <c r="AH107" i="18" s="1"/>
  <c r="AF107" i="18"/>
  <c r="AG107" i="18" s="1" a="1"/>
  <c r="AG107" i="18" s="1"/>
  <c r="AE107" i="18" a="1"/>
  <c r="AE107" i="18" s="1"/>
  <c r="AB107" i="18"/>
  <c r="AH106" i="18" a="1"/>
  <c r="AH106" i="18" s="1"/>
  <c r="AF106" i="18"/>
  <c r="AG106" i="18" s="1" a="1"/>
  <c r="AG106" i="18" s="1"/>
  <c r="AE106" i="18" a="1"/>
  <c r="AE106" i="18" s="1"/>
  <c r="AB106" i="18"/>
  <c r="AH105" i="18" a="1"/>
  <c r="AH105" i="18" s="1"/>
  <c r="AF105" i="18"/>
  <c r="AG105" i="18" s="1" a="1"/>
  <c r="AG105" i="18" s="1"/>
  <c r="AE105" i="18" a="1"/>
  <c r="AE105" i="18" s="1"/>
  <c r="AB105" i="18"/>
  <c r="AH104" i="18" a="1"/>
  <c r="AH104" i="18" s="1"/>
  <c r="AF104" i="18"/>
  <c r="AG104" i="18" s="1" a="1"/>
  <c r="AG104" i="18" s="1"/>
  <c r="AE104" i="18" a="1"/>
  <c r="AE104" i="18" s="1"/>
  <c r="AB104" i="18"/>
  <c r="AH103" i="18" a="1"/>
  <c r="AH103" i="18" s="1"/>
  <c r="AF103" i="18"/>
  <c r="AG103" i="18" s="1" a="1"/>
  <c r="AG103" i="18" s="1"/>
  <c r="AE103" i="18" a="1"/>
  <c r="AE103" i="18" s="1"/>
  <c r="AB103" i="18"/>
  <c r="AH102" i="18" a="1"/>
  <c r="AH102" i="18" s="1"/>
  <c r="AF102" i="18"/>
  <c r="AG102" i="18" s="1" a="1"/>
  <c r="AG102" i="18" s="1"/>
  <c r="AE102" i="18" a="1"/>
  <c r="AE102" i="18" s="1"/>
  <c r="AB102" i="18"/>
  <c r="AH101" i="18" a="1"/>
  <c r="AH101" i="18" s="1"/>
  <c r="AF101" i="18"/>
  <c r="AG101" i="18" s="1" a="1"/>
  <c r="AG101" i="18" s="1"/>
  <c r="AE101" i="18" a="1"/>
  <c r="AE101" i="18" s="1"/>
  <c r="AB101" i="18"/>
  <c r="AH100" i="18" a="1"/>
  <c r="AH100" i="18" s="1"/>
  <c r="AF100" i="18"/>
  <c r="AG100" i="18" s="1" a="1"/>
  <c r="AG100" i="18" s="1"/>
  <c r="AE100" i="18" a="1"/>
  <c r="AE100" i="18" s="1"/>
  <c r="AB100" i="18"/>
  <c r="AH99" i="18" a="1"/>
  <c r="AH99" i="18" s="1"/>
  <c r="AF99" i="18"/>
  <c r="AG99" i="18" s="1" a="1"/>
  <c r="AG99" i="18" s="1"/>
  <c r="AE99" i="18" a="1"/>
  <c r="AE99" i="18" s="1"/>
  <c r="AB99" i="18"/>
  <c r="AH98" i="18" a="1"/>
  <c r="AH98" i="18" s="1"/>
  <c r="AF98" i="18"/>
  <c r="AG98" i="18" s="1" a="1"/>
  <c r="AG98" i="18" s="1"/>
  <c r="AE98" i="18" a="1"/>
  <c r="AE98" i="18" s="1"/>
  <c r="AB98" i="18"/>
  <c r="AH97" i="18" a="1"/>
  <c r="AH97" i="18" s="1"/>
  <c r="AF97" i="18"/>
  <c r="AG97" i="18" s="1" a="1"/>
  <c r="AG97" i="18" s="1"/>
  <c r="AE97" i="18" a="1"/>
  <c r="AE97" i="18" s="1"/>
  <c r="AB97" i="18"/>
  <c r="AH96" i="18" a="1"/>
  <c r="AH96" i="18" s="1"/>
  <c r="AF96" i="18"/>
  <c r="AG96" i="18" s="1" a="1"/>
  <c r="AG96" i="18" s="1"/>
  <c r="AE96" i="18" a="1"/>
  <c r="AE96" i="18" s="1"/>
  <c r="AB96" i="18"/>
  <c r="AH95" i="18" a="1"/>
  <c r="AH95" i="18" s="1"/>
  <c r="AF95" i="18"/>
  <c r="AG95" i="18" s="1" a="1"/>
  <c r="AG95" i="18" s="1"/>
  <c r="AE95" i="18" a="1"/>
  <c r="AE95" i="18" s="1"/>
  <c r="AB95" i="18"/>
  <c r="AH94" i="18" a="1"/>
  <c r="AH94" i="18" s="1"/>
  <c r="AF94" i="18"/>
  <c r="AG94" i="18" s="1" a="1"/>
  <c r="AG94" i="18" s="1"/>
  <c r="AE94" i="18" a="1"/>
  <c r="AE94" i="18" s="1"/>
  <c r="AB94" i="18"/>
  <c r="AH93" i="18" a="1"/>
  <c r="AH93" i="18" s="1"/>
  <c r="AF93" i="18"/>
  <c r="AG93" i="18" s="1" a="1"/>
  <c r="AG93" i="18" s="1"/>
  <c r="AE93" i="18" a="1"/>
  <c r="AE93" i="18" s="1"/>
  <c r="AB93" i="18"/>
  <c r="AH92" i="18" a="1"/>
  <c r="AH92" i="18" s="1"/>
  <c r="AF92" i="18"/>
  <c r="AG92" i="18" s="1" a="1"/>
  <c r="AG92" i="18" s="1"/>
  <c r="AE92" i="18" a="1"/>
  <c r="AE92" i="18" s="1"/>
  <c r="AB92" i="18"/>
  <c r="AH91" i="18" a="1"/>
  <c r="AH91" i="18" s="1"/>
  <c r="AF91" i="18"/>
  <c r="AG91" i="18" s="1" a="1"/>
  <c r="AG91" i="18" s="1"/>
  <c r="AE91" i="18" a="1"/>
  <c r="AE91" i="18" s="1"/>
  <c r="AB91" i="18"/>
  <c r="AH90" i="18" a="1"/>
  <c r="AH90" i="18" s="1"/>
  <c r="AF90" i="18"/>
  <c r="AG90" i="18" s="1" a="1"/>
  <c r="AG90" i="18" s="1"/>
  <c r="AE90" i="18" a="1"/>
  <c r="AE90" i="18" s="1"/>
  <c r="AB90" i="18"/>
  <c r="AH89" i="18" a="1"/>
  <c r="AH89" i="18" s="1"/>
  <c r="AE89" i="18" a="1"/>
  <c r="AE89" i="18" s="1"/>
  <c r="AB89" i="18"/>
  <c r="AH88" i="18" a="1"/>
  <c r="AH88" i="18" s="1"/>
  <c r="AF88" i="18"/>
  <c r="AG88" i="18" s="1" a="1"/>
  <c r="AG88" i="18" s="1"/>
  <c r="AE88" i="18" a="1"/>
  <c r="AE88" i="18" s="1"/>
  <c r="AB88" i="18"/>
  <c r="AH87" i="18" a="1"/>
  <c r="AH87" i="18" s="1"/>
  <c r="AF87" i="18"/>
  <c r="AG87" i="18" s="1" a="1"/>
  <c r="AG87" i="18" s="1"/>
  <c r="AE87" i="18" a="1"/>
  <c r="AE87" i="18" s="1"/>
  <c r="AB87" i="18"/>
  <c r="AH86" i="18" a="1"/>
  <c r="AH86" i="18" s="1"/>
  <c r="AF86" i="18"/>
  <c r="AG86" i="18" s="1" a="1"/>
  <c r="AG86" i="18" s="1"/>
  <c r="AE86" i="18" a="1"/>
  <c r="AE86" i="18" s="1"/>
  <c r="AB86" i="18"/>
  <c r="AH85" i="18" a="1"/>
  <c r="AH85" i="18" s="1"/>
  <c r="AF85" i="18"/>
  <c r="AG85" i="18" s="1" a="1"/>
  <c r="AG85" i="18" s="1"/>
  <c r="AE85" i="18" a="1"/>
  <c r="AE85" i="18" s="1"/>
  <c r="AB85" i="18"/>
  <c r="AH84" i="18" a="1"/>
  <c r="AH84" i="18" s="1"/>
  <c r="AF84" i="18"/>
  <c r="AG84" i="18" s="1" a="1"/>
  <c r="AG84" i="18" s="1"/>
  <c r="AE84" i="18" a="1"/>
  <c r="AE84" i="18" s="1"/>
  <c r="AB84" i="18"/>
  <c r="AH83" i="18" a="1"/>
  <c r="AH83" i="18" s="1"/>
  <c r="AF83" i="18"/>
  <c r="AG83" i="18" s="1" a="1"/>
  <c r="AG83" i="18" s="1"/>
  <c r="AE83" i="18" a="1"/>
  <c r="AE83" i="18" s="1"/>
  <c r="AB83" i="18"/>
  <c r="AH82" i="18" a="1"/>
  <c r="AH82" i="18" s="1"/>
  <c r="AF82" i="18"/>
  <c r="AG82" i="18" s="1" a="1"/>
  <c r="AG82" i="18" s="1"/>
  <c r="AE82" i="18" a="1"/>
  <c r="AE82" i="18" s="1"/>
  <c r="AB82" i="18"/>
  <c r="AH81" i="18" a="1"/>
  <c r="AH81" i="18" s="1"/>
  <c r="AF81" i="18"/>
  <c r="AG81" i="18" s="1" a="1"/>
  <c r="AG81" i="18" s="1"/>
  <c r="AE81" i="18" a="1"/>
  <c r="AE81" i="18" s="1"/>
  <c r="AB81" i="18"/>
  <c r="AH80" i="18" a="1"/>
  <c r="AH80" i="18" s="1"/>
  <c r="AF80" i="18"/>
  <c r="AG80" i="18" s="1" a="1"/>
  <c r="AG80" i="18" s="1"/>
  <c r="AE80" i="18" a="1"/>
  <c r="AE80" i="18" s="1"/>
  <c r="AB80" i="18"/>
  <c r="AH79" i="18" a="1"/>
  <c r="AH79" i="18" s="1"/>
  <c r="AF79" i="18"/>
  <c r="AG79" i="18" s="1" a="1"/>
  <c r="AG79" i="18" s="1"/>
  <c r="AE79" i="18" a="1"/>
  <c r="AE79" i="18" s="1"/>
  <c r="AB79" i="18"/>
  <c r="AH78" i="18" a="1"/>
  <c r="AH78" i="18" s="1"/>
  <c r="AF78" i="18"/>
  <c r="AG78" i="18" s="1" a="1"/>
  <c r="AG78" i="18" s="1"/>
  <c r="AE78" i="18" a="1"/>
  <c r="AE78" i="18" s="1"/>
  <c r="AB78" i="18"/>
  <c r="AH77" i="18" a="1"/>
  <c r="AH77" i="18" s="1"/>
  <c r="AF77" i="18"/>
  <c r="AG77" i="18" s="1" a="1"/>
  <c r="AG77" i="18" s="1"/>
  <c r="AE77" i="18" a="1"/>
  <c r="AE77" i="18" s="1"/>
  <c r="AB77" i="18"/>
  <c r="AH76" i="18" a="1"/>
  <c r="AH76" i="18" s="1"/>
  <c r="AF76" i="18"/>
  <c r="AG76" i="18" s="1" a="1"/>
  <c r="AG76" i="18" s="1"/>
  <c r="AE76" i="18" a="1"/>
  <c r="AE76" i="18" s="1"/>
  <c r="AB76" i="18"/>
  <c r="AH75" i="18" a="1"/>
  <c r="AH75" i="18" s="1"/>
  <c r="AF75" i="18"/>
  <c r="AG75" i="18" s="1" a="1"/>
  <c r="AG75" i="18" s="1"/>
  <c r="AE75" i="18" a="1"/>
  <c r="AE75" i="18" s="1"/>
  <c r="AB75" i="18"/>
  <c r="AH74" i="18" a="1"/>
  <c r="AH74" i="18" s="1"/>
  <c r="AF74" i="18"/>
  <c r="AG74" i="18" s="1" a="1"/>
  <c r="AG74" i="18" s="1"/>
  <c r="AE74" i="18" a="1"/>
  <c r="AE74" i="18" s="1"/>
  <c r="AB74" i="18"/>
  <c r="AH73" i="18" a="1"/>
  <c r="AH73" i="18" s="1"/>
  <c r="AF73" i="18"/>
  <c r="AG73" i="18" s="1" a="1"/>
  <c r="AG73" i="18" s="1"/>
  <c r="AE73" i="18" a="1"/>
  <c r="AE73" i="18" s="1"/>
  <c r="AB73" i="18"/>
  <c r="AH72" i="18" a="1"/>
  <c r="AH72" i="18" s="1"/>
  <c r="AE72" i="18" a="1"/>
  <c r="AE72" i="18" s="1"/>
  <c r="AB72" i="18"/>
  <c r="AH71" i="18" a="1"/>
  <c r="AH71" i="18" s="1"/>
  <c r="AF71" i="18"/>
  <c r="AG71" i="18" s="1" a="1"/>
  <c r="AG71" i="18" s="1"/>
  <c r="AE71" i="18" a="1"/>
  <c r="AE71" i="18" s="1"/>
  <c r="AB71" i="18"/>
  <c r="AH70" i="18" a="1"/>
  <c r="AH70" i="18" s="1"/>
  <c r="AF70" i="18"/>
  <c r="AG70" i="18" s="1" a="1"/>
  <c r="AG70" i="18" s="1"/>
  <c r="AE70" i="18" a="1"/>
  <c r="AE70" i="18" s="1"/>
  <c r="AB70" i="18"/>
  <c r="AH69" i="18" a="1"/>
  <c r="AH69" i="18" s="1"/>
  <c r="AE69" i="18" a="1"/>
  <c r="AE69" i="18" s="1"/>
  <c r="AB69" i="18"/>
  <c r="AH68" i="18" a="1"/>
  <c r="AH68" i="18" s="1"/>
  <c r="AF68" i="18"/>
  <c r="AG68" i="18" s="1" a="1"/>
  <c r="AG68" i="18" s="1"/>
  <c r="AE68" i="18" a="1"/>
  <c r="AE68" i="18" s="1"/>
  <c r="AB68" i="18"/>
  <c r="AH67" i="18" a="1"/>
  <c r="AH67" i="18" s="1"/>
  <c r="AF67" i="18"/>
  <c r="AG67" i="18" s="1" a="1"/>
  <c r="AG67" i="18" s="1"/>
  <c r="AE67" i="18" a="1"/>
  <c r="AE67" i="18" s="1"/>
  <c r="AB67" i="18"/>
  <c r="AH66" i="18" a="1"/>
  <c r="AH66" i="18" s="1"/>
  <c r="AF66" i="18"/>
  <c r="AG66" i="18" s="1" a="1"/>
  <c r="AG66" i="18" s="1"/>
  <c r="AE66" i="18" a="1"/>
  <c r="AE66" i="18" s="1"/>
  <c r="AB66" i="18"/>
  <c r="AH65" i="18" a="1"/>
  <c r="AH65" i="18" s="1"/>
  <c r="AF65" i="18"/>
  <c r="AG65" i="18" s="1" a="1"/>
  <c r="AG65" i="18" s="1"/>
  <c r="AE65" i="18" a="1"/>
  <c r="AE65" i="18" s="1"/>
  <c r="AB65" i="18"/>
  <c r="AH64" i="18" a="1"/>
  <c r="AH64" i="18" s="1"/>
  <c r="AF64" i="18"/>
  <c r="AG64" i="18" s="1" a="1"/>
  <c r="AG64" i="18" s="1"/>
  <c r="AE64" i="18" a="1"/>
  <c r="AE64" i="18" s="1"/>
  <c r="AB64" i="18"/>
  <c r="AH63" i="18" a="1"/>
  <c r="AH63" i="18" s="1"/>
  <c r="AF63" i="18"/>
  <c r="AG63" i="18" s="1" a="1"/>
  <c r="AG63" i="18" s="1"/>
  <c r="AE63" i="18" a="1"/>
  <c r="AE63" i="18" s="1"/>
  <c r="AB63" i="18"/>
  <c r="AH62" i="18" a="1"/>
  <c r="AH62" i="18" s="1"/>
  <c r="AF62" i="18"/>
  <c r="AG62" i="18" s="1" a="1"/>
  <c r="AG62" i="18" s="1"/>
  <c r="AE62" i="18" a="1"/>
  <c r="AE62" i="18" s="1"/>
  <c r="AB62" i="18"/>
  <c r="AH61" i="18" a="1"/>
  <c r="AH61" i="18" s="1"/>
  <c r="AF61" i="18"/>
  <c r="AG61" i="18" s="1" a="1"/>
  <c r="AG61" i="18" s="1"/>
  <c r="AE61" i="18" a="1"/>
  <c r="AE61" i="18" s="1"/>
  <c r="AB61" i="18"/>
  <c r="AH60" i="18" a="1"/>
  <c r="AH60" i="18" s="1"/>
  <c r="AF60" i="18"/>
  <c r="AG60" i="18" s="1" a="1"/>
  <c r="AG60" i="18" s="1"/>
  <c r="AE60" i="18" a="1"/>
  <c r="AE60" i="18" s="1"/>
  <c r="AB60" i="18"/>
  <c r="AH59" i="18" a="1"/>
  <c r="AH59" i="18" s="1"/>
  <c r="AF59" i="18"/>
  <c r="AG59" i="18" s="1" a="1"/>
  <c r="AG59" i="18" s="1"/>
  <c r="AE59" i="18" a="1"/>
  <c r="AE59" i="18" s="1"/>
  <c r="AB59" i="18"/>
  <c r="AH58" i="18" a="1"/>
  <c r="AH58" i="18" s="1"/>
  <c r="AF58" i="18"/>
  <c r="AG58" i="18" s="1" a="1"/>
  <c r="AG58" i="18" s="1"/>
  <c r="AE58" i="18" a="1"/>
  <c r="AE58" i="18" s="1"/>
  <c r="AB58" i="18"/>
  <c r="AH57" i="18" a="1"/>
  <c r="AH57" i="18" s="1"/>
  <c r="AF57" i="18"/>
  <c r="AG57" i="18" s="1" a="1"/>
  <c r="AG57" i="18" s="1"/>
  <c r="AE57" i="18" a="1"/>
  <c r="AE57" i="18" s="1"/>
  <c r="AB57" i="18"/>
  <c r="AH56" i="18" a="1"/>
  <c r="AH56" i="18" s="1"/>
  <c r="AF56" i="18"/>
  <c r="AG56" i="18" s="1" a="1"/>
  <c r="AG56" i="18" s="1"/>
  <c r="AE56" i="18" a="1"/>
  <c r="AE56" i="18" s="1"/>
  <c r="AB56" i="18"/>
  <c r="AH55" i="18" a="1"/>
  <c r="AH55" i="18" s="1"/>
  <c r="AF55" i="18"/>
  <c r="AG55" i="18" s="1" a="1"/>
  <c r="AG55" i="18" s="1"/>
  <c r="AE55" i="18" a="1"/>
  <c r="AE55" i="18" s="1"/>
  <c r="AB55" i="18"/>
  <c r="AH54" i="18" a="1"/>
  <c r="AH54" i="18" s="1"/>
  <c r="AF54" i="18"/>
  <c r="AG54" i="18" s="1" a="1"/>
  <c r="AG54" i="18" s="1"/>
  <c r="AE54" i="18" a="1"/>
  <c r="AE54" i="18" s="1"/>
  <c r="AB54" i="18"/>
  <c r="AH53" i="18" a="1"/>
  <c r="AH53" i="18" s="1"/>
  <c r="AF53" i="18"/>
  <c r="AG53" i="18" s="1" a="1"/>
  <c r="AG53" i="18" s="1"/>
  <c r="AE53" i="18" a="1"/>
  <c r="AE53" i="18" s="1"/>
  <c r="AB53" i="18"/>
  <c r="AH52" i="18" a="1"/>
  <c r="AH52" i="18" s="1"/>
  <c r="AF52" i="18"/>
  <c r="AG52" i="18" s="1" a="1"/>
  <c r="AG52" i="18" s="1"/>
  <c r="AE52" i="18" a="1"/>
  <c r="AE52" i="18" s="1"/>
  <c r="AB52" i="18"/>
  <c r="AH51" i="18" a="1"/>
  <c r="AH51" i="18" s="1"/>
  <c r="AF51" i="18"/>
  <c r="AG51" i="18" s="1" a="1"/>
  <c r="AG51" i="18" s="1"/>
  <c r="AE51" i="18" a="1"/>
  <c r="AE51" i="18" s="1"/>
  <c r="AB51" i="18"/>
  <c r="AH50" i="18" a="1"/>
  <c r="AH50" i="18" s="1"/>
  <c r="AF50" i="18"/>
  <c r="AG50" i="18" s="1" a="1"/>
  <c r="AG50" i="18" s="1"/>
  <c r="AE50" i="18" a="1"/>
  <c r="AE50" i="18" s="1"/>
  <c r="AB50" i="18"/>
  <c r="AH49" i="18" a="1"/>
  <c r="AH49" i="18" s="1"/>
  <c r="AF49" i="18"/>
  <c r="AG49" i="18" s="1" a="1"/>
  <c r="AG49" i="18" s="1"/>
  <c r="AE49" i="18" a="1"/>
  <c r="AE49" i="18" s="1"/>
  <c r="AB49" i="18"/>
  <c r="AH48" i="18" a="1"/>
  <c r="AH48" i="18" s="1"/>
  <c r="AF48" i="18"/>
  <c r="AG48" i="18" s="1" a="1"/>
  <c r="AG48" i="18" s="1"/>
  <c r="AE48" i="18" a="1"/>
  <c r="AE48" i="18" s="1"/>
  <c r="AB48" i="18"/>
  <c r="AH47" i="18" a="1"/>
  <c r="AH47" i="18" s="1"/>
  <c r="AF47" i="18"/>
  <c r="AG47" i="18" s="1" a="1"/>
  <c r="AG47" i="18" s="1"/>
  <c r="AE47" i="18" a="1"/>
  <c r="AE47" i="18" s="1"/>
  <c r="AB47" i="18"/>
  <c r="AH46" i="18" a="1"/>
  <c r="AH46" i="18" s="1"/>
  <c r="AF46" i="18"/>
  <c r="AG46" i="18" s="1" a="1"/>
  <c r="AG46" i="18" s="1"/>
  <c r="AE46" i="18" a="1"/>
  <c r="AE46" i="18" s="1"/>
  <c r="AB46" i="18"/>
  <c r="AH45" i="18" a="1"/>
  <c r="AH45" i="18" s="1"/>
  <c r="AF45" i="18"/>
  <c r="AG45" i="18" s="1" a="1"/>
  <c r="AG45" i="18" s="1"/>
  <c r="AE45" i="18" a="1"/>
  <c r="AE45" i="18" s="1"/>
  <c r="AB45" i="18"/>
  <c r="AH44" i="18" a="1"/>
  <c r="AH44" i="18" s="1"/>
  <c r="AF44" i="18"/>
  <c r="AG44" i="18" s="1" a="1"/>
  <c r="AG44" i="18" s="1"/>
  <c r="AE44" i="18" a="1"/>
  <c r="AE44" i="18" s="1"/>
  <c r="AB44" i="18"/>
  <c r="AH43" i="18" a="1"/>
  <c r="AH43" i="18" s="1"/>
  <c r="AF43" i="18"/>
  <c r="AG43" i="18" s="1" a="1"/>
  <c r="AG43" i="18" s="1"/>
  <c r="AE43" i="18" a="1"/>
  <c r="AE43" i="18" s="1"/>
  <c r="AB43" i="18"/>
  <c r="AH42" i="18" a="1"/>
  <c r="AH42" i="18" s="1"/>
  <c r="AF42" i="18"/>
  <c r="AG42" i="18" s="1" a="1"/>
  <c r="AG42" i="18" s="1"/>
  <c r="AE42" i="18" a="1"/>
  <c r="AE42" i="18" s="1"/>
  <c r="AB42" i="18"/>
  <c r="AH41" i="18" a="1"/>
  <c r="AH41" i="18" s="1"/>
  <c r="AF41" i="18"/>
  <c r="AG41" i="18" s="1" a="1"/>
  <c r="AG41" i="18" s="1"/>
  <c r="AE41" i="18" a="1"/>
  <c r="AE41" i="18" s="1"/>
  <c r="AB41" i="18"/>
  <c r="AH40" i="18" a="1"/>
  <c r="AH40" i="18" s="1"/>
  <c r="AF40" i="18"/>
  <c r="AG40" i="18" s="1" a="1"/>
  <c r="AG40" i="18" s="1"/>
  <c r="AE40" i="18" a="1"/>
  <c r="AE40" i="18" s="1"/>
  <c r="AB40" i="18"/>
  <c r="AH39" i="18" a="1"/>
  <c r="AH39" i="18" s="1"/>
  <c r="AF39" i="18"/>
  <c r="AG39" i="18" s="1" a="1"/>
  <c r="AG39" i="18" s="1"/>
  <c r="AE39" i="18" a="1"/>
  <c r="AE39" i="18" s="1"/>
  <c r="AB39" i="18"/>
  <c r="AH38" i="18" a="1"/>
  <c r="AH38" i="18" s="1"/>
  <c r="AF38" i="18"/>
  <c r="AG38" i="18" s="1" a="1"/>
  <c r="AG38" i="18" s="1"/>
  <c r="AE38" i="18" a="1"/>
  <c r="AE38" i="18" s="1"/>
  <c r="AB38" i="18"/>
  <c r="AH37" i="18" a="1"/>
  <c r="AH37" i="18" s="1"/>
  <c r="AF37" i="18"/>
  <c r="AG37" i="18" s="1" a="1"/>
  <c r="AG37" i="18" s="1"/>
  <c r="AE37" i="18" a="1"/>
  <c r="AE37" i="18" s="1"/>
  <c r="AB37" i="18"/>
  <c r="AH36" i="18" a="1"/>
  <c r="AH36" i="18" s="1"/>
  <c r="AF36" i="18"/>
  <c r="AG36" i="18" s="1" a="1"/>
  <c r="AG36" i="18" s="1"/>
  <c r="AE36" i="18" a="1"/>
  <c r="AE36" i="18" s="1"/>
  <c r="AB36" i="18"/>
  <c r="AH35" i="18" a="1"/>
  <c r="AH35" i="18" s="1"/>
  <c r="AF35" i="18"/>
  <c r="AG35" i="18" s="1" a="1"/>
  <c r="AG35" i="18" s="1"/>
  <c r="AE35" i="18" a="1"/>
  <c r="AE35" i="18" s="1"/>
  <c r="AB35" i="18"/>
  <c r="AH34" i="18" a="1"/>
  <c r="AH34" i="18" s="1"/>
  <c r="AF34" i="18"/>
  <c r="AG34" i="18" s="1" a="1"/>
  <c r="AG34" i="18" s="1"/>
  <c r="AE34" i="18" a="1"/>
  <c r="AE34" i="18" s="1"/>
  <c r="AB34" i="18"/>
  <c r="AH33" i="18" a="1"/>
  <c r="AH33" i="18" s="1"/>
  <c r="AF33" i="18"/>
  <c r="AG33" i="18" s="1" a="1"/>
  <c r="AG33" i="18" s="1"/>
  <c r="AE33" i="18" a="1"/>
  <c r="AE33" i="18" s="1"/>
  <c r="AB33" i="18"/>
  <c r="AH32" i="18" a="1"/>
  <c r="AH32" i="18" s="1"/>
  <c r="AF32" i="18"/>
  <c r="AG32" i="18" s="1" a="1"/>
  <c r="AG32" i="18" s="1"/>
  <c r="AE32" i="18" a="1"/>
  <c r="AE32" i="18" s="1"/>
  <c r="AB32" i="18"/>
  <c r="AH31" i="18" a="1"/>
  <c r="AH31" i="18" s="1"/>
  <c r="AF31" i="18"/>
  <c r="AG31" i="18" s="1" a="1"/>
  <c r="AG31" i="18" s="1"/>
  <c r="AE31" i="18" a="1"/>
  <c r="AE31" i="18" s="1"/>
  <c r="AB31" i="18"/>
  <c r="AH30" i="18" a="1"/>
  <c r="AH30" i="18" s="1"/>
  <c r="AF30" i="18"/>
  <c r="AG30" i="18" s="1" a="1"/>
  <c r="AG30" i="18" s="1"/>
  <c r="AE30" i="18" a="1"/>
  <c r="AE30" i="18" s="1"/>
  <c r="AB30" i="18"/>
  <c r="AH29" i="18" a="1"/>
  <c r="AH29" i="18" s="1"/>
  <c r="AF29" i="18"/>
  <c r="AG29" i="18" s="1" a="1"/>
  <c r="AG29" i="18" s="1"/>
  <c r="AE29" i="18" a="1"/>
  <c r="AE29" i="18" s="1"/>
  <c r="AB29" i="18"/>
  <c r="AH28" i="18" a="1"/>
  <c r="AH28" i="18" s="1"/>
  <c r="AF28" i="18"/>
  <c r="AG28" i="18" s="1" a="1"/>
  <c r="AG28" i="18" s="1"/>
  <c r="AE28" i="18" a="1"/>
  <c r="AE28" i="18" s="1"/>
  <c r="AB28" i="18"/>
  <c r="AH27" i="18" a="1"/>
  <c r="AH27" i="18" s="1"/>
  <c r="AF27" i="18"/>
  <c r="AG27" i="18" s="1" a="1"/>
  <c r="AG27" i="18" s="1"/>
  <c r="AE27" i="18" a="1"/>
  <c r="AE27" i="18" s="1"/>
  <c r="AB27" i="18"/>
  <c r="AH26" i="18" a="1"/>
  <c r="AH26" i="18" s="1"/>
  <c r="AF26" i="18"/>
  <c r="AG26" i="18" s="1" a="1"/>
  <c r="AG26" i="18" s="1"/>
  <c r="AE26" i="18" a="1"/>
  <c r="AE26" i="18" s="1"/>
  <c r="AB26" i="18"/>
  <c r="AH25" i="18" a="1"/>
  <c r="AH25" i="18" s="1"/>
  <c r="AF25" i="18"/>
  <c r="AG25" i="18" s="1" a="1"/>
  <c r="AG25" i="18" s="1"/>
  <c r="AE25" i="18" a="1"/>
  <c r="AE25" i="18" s="1"/>
  <c r="AB25" i="18"/>
  <c r="AH24" i="18" a="1"/>
  <c r="AH24" i="18" s="1"/>
  <c r="AF24" i="18"/>
  <c r="AG24" i="18" s="1" a="1"/>
  <c r="AG24" i="18" s="1"/>
  <c r="AE24" i="18" a="1"/>
  <c r="AE24" i="18" s="1"/>
  <c r="AB24" i="18"/>
  <c r="AH23" i="18" a="1"/>
  <c r="AH23" i="18" s="1"/>
  <c r="AF23" i="18"/>
  <c r="AG23" i="18" s="1" a="1"/>
  <c r="AG23" i="18" s="1"/>
  <c r="AE23" i="18" a="1"/>
  <c r="AE23" i="18" s="1"/>
  <c r="AB23" i="18"/>
  <c r="AH22" i="18" a="1"/>
  <c r="AH22" i="18" s="1"/>
  <c r="AF22" i="18"/>
  <c r="AG22" i="18" s="1" a="1"/>
  <c r="AG22" i="18" s="1"/>
  <c r="AE22" i="18" a="1"/>
  <c r="AE22" i="18" s="1"/>
  <c r="AB22" i="18"/>
  <c r="AH21" i="18" a="1"/>
  <c r="AH21" i="18" s="1"/>
  <c r="AF21" i="18"/>
  <c r="AG21" i="18" s="1" a="1"/>
  <c r="AG21" i="18" s="1"/>
  <c r="AE21" i="18" a="1"/>
  <c r="AE21" i="18" s="1"/>
  <c r="AB21" i="18"/>
  <c r="AH20" i="18" a="1"/>
  <c r="AH20" i="18" s="1"/>
  <c r="AF20" i="18"/>
  <c r="AG20" i="18" s="1" a="1"/>
  <c r="AG20" i="18" s="1"/>
  <c r="AE20" i="18" a="1"/>
  <c r="AE20" i="18" s="1"/>
  <c r="AB20" i="18"/>
  <c r="AH19" i="18" a="1"/>
  <c r="AH19" i="18" s="1"/>
  <c r="AF19" i="18"/>
  <c r="AG19" i="18" s="1" a="1"/>
  <c r="AG19" i="18" s="1"/>
  <c r="AE19" i="18" a="1"/>
  <c r="AE19" i="18" s="1"/>
  <c r="AB19" i="18"/>
  <c r="AH18" i="18" a="1"/>
  <c r="AH18" i="18" s="1"/>
  <c r="AF18" i="18"/>
  <c r="AG18" i="18" s="1" a="1"/>
  <c r="AG18" i="18" s="1"/>
  <c r="AE18" i="18" a="1"/>
  <c r="AE18" i="18" s="1"/>
  <c r="AB18" i="18"/>
  <c r="AH17" i="18" a="1"/>
  <c r="AH17" i="18" s="1"/>
  <c r="AF17" i="18"/>
  <c r="AG17" i="18" s="1" a="1"/>
  <c r="AG17" i="18" s="1"/>
  <c r="AE17" i="18" a="1"/>
  <c r="AE17" i="18" s="1"/>
  <c r="AB17" i="18"/>
  <c r="AH16" i="18" a="1"/>
  <c r="AH16" i="18" s="1"/>
  <c r="AF16" i="18"/>
  <c r="AG16" i="18" s="1" a="1"/>
  <c r="AG16" i="18" s="1"/>
  <c r="AE16" i="18" a="1"/>
  <c r="AE16" i="18" s="1"/>
  <c r="AB16" i="18"/>
  <c r="AH15" i="18" a="1"/>
  <c r="AH15" i="18" s="1"/>
  <c r="AF15" i="18"/>
  <c r="AG15" i="18" s="1" a="1"/>
  <c r="AG15" i="18" s="1"/>
  <c r="AE15" i="18" a="1"/>
  <c r="AE15" i="18" s="1"/>
  <c r="AB15" i="18"/>
  <c r="AH14" i="18" a="1"/>
  <c r="AH14" i="18" s="1"/>
  <c r="AF14" i="18"/>
  <c r="AG14" i="18" s="1" a="1"/>
  <c r="AG14" i="18" s="1"/>
  <c r="AE14" i="18" a="1"/>
  <c r="AE14" i="18" s="1"/>
  <c r="AB14" i="18"/>
  <c r="AH13" i="18" a="1"/>
  <c r="AH13" i="18" s="1"/>
  <c r="AF13" i="18"/>
  <c r="AG13" i="18" s="1" a="1"/>
  <c r="AG13" i="18" s="1"/>
  <c r="AE13" i="18" a="1"/>
  <c r="AE13" i="18" s="1"/>
  <c r="AB13" i="18"/>
  <c r="AH12" i="18" a="1"/>
  <c r="AH12" i="18" s="1"/>
  <c r="AF12" i="18"/>
  <c r="AG12" i="18" s="1" a="1"/>
  <c r="AG12" i="18" s="1"/>
  <c r="AE12" i="18" a="1"/>
  <c r="AE12" i="18" s="1"/>
  <c r="AB12" i="18"/>
  <c r="AH11" i="18" a="1"/>
  <c r="AH11" i="18" s="1"/>
  <c r="AF11" i="18"/>
  <c r="AG11" i="18" s="1" a="1"/>
  <c r="AG11" i="18" s="1"/>
  <c r="AE11" i="18" a="1"/>
  <c r="AE11" i="18" s="1"/>
  <c r="AB11" i="18"/>
  <c r="AH10" i="18" a="1"/>
  <c r="AH10" i="18" s="1"/>
  <c r="AF10" i="18"/>
  <c r="AG10" i="18" s="1" a="1"/>
  <c r="AG10" i="18" s="1"/>
  <c r="AE10" i="18" a="1"/>
  <c r="AE10" i="18" s="1"/>
  <c r="AB10" i="18"/>
  <c r="AH9" i="18" a="1"/>
  <c r="AH9" i="18" s="1"/>
  <c r="AF9" i="18"/>
  <c r="AG9" i="18" s="1" a="1"/>
  <c r="AG9" i="18" s="1"/>
  <c r="AE9" i="18" a="1"/>
  <c r="AE9" i="18" s="1"/>
  <c r="AB9" i="18"/>
  <c r="AH8" i="18" a="1"/>
  <c r="AH8" i="18" s="1"/>
  <c r="AF8" i="18"/>
  <c r="AG8" i="18" s="1" a="1"/>
  <c r="AG8" i="18" s="1"/>
  <c r="AE8" i="18" a="1"/>
  <c r="AE8" i="18" s="1"/>
  <c r="AB8" i="18"/>
  <c r="AH7" i="18" a="1"/>
  <c r="AH7" i="18" s="1"/>
  <c r="AF7" i="18"/>
  <c r="AG7" i="18" s="1" a="1"/>
  <c r="AG7" i="18" s="1"/>
  <c r="AE7" i="18" a="1"/>
  <c r="AE7" i="18" s="1"/>
  <c r="AB7" i="18"/>
  <c r="AH6" i="18" a="1"/>
  <c r="AH6" i="18" s="1"/>
  <c r="AF6" i="18"/>
  <c r="AG6" i="18" s="1" a="1"/>
  <c r="AG6" i="18" s="1"/>
  <c r="AE6" i="18" a="1"/>
  <c r="AE6" i="18" s="1"/>
  <c r="AB6" i="18"/>
  <c r="AH5" i="18" a="1"/>
  <c r="AH5" i="18" s="1"/>
  <c r="AF5" i="18"/>
  <c r="AG5" i="18" s="1" a="1"/>
  <c r="AG5" i="18" s="1"/>
  <c r="AE5" i="18" a="1"/>
  <c r="AE5" i="18" s="1"/>
  <c r="AB5" i="18"/>
  <c r="AH4" i="18" a="1"/>
  <c r="AH4" i="18" s="1"/>
  <c r="AF4" i="18"/>
  <c r="AG4" i="18" s="1" a="1"/>
  <c r="AG4" i="18" s="1"/>
  <c r="AE4" i="18" a="1"/>
  <c r="AE4" i="18" s="1"/>
  <c r="AB4" i="18"/>
  <c r="AH3" i="18" a="1"/>
  <c r="AH3" i="18" s="1"/>
  <c r="AF3" i="18"/>
  <c r="AG3" i="18" s="1" a="1"/>
  <c r="AG3" i="18" s="1"/>
  <c r="AE3" i="18" a="1"/>
  <c r="AE3" i="18" s="1"/>
  <c r="AB3" i="18"/>
  <c r="AH2" i="18" a="1"/>
  <c r="AH2" i="18" s="1"/>
  <c r="AF2" i="18"/>
  <c r="AG2" i="18" s="1" a="1"/>
  <c r="AG2" i="18" s="1"/>
  <c r="AE2" i="18" a="1"/>
  <c r="AE2" i="18" s="1"/>
  <c r="AB2" i="18"/>
  <c r="F5" i="16"/>
  <c r="C13" i="8"/>
  <c r="F8" i="8"/>
  <c r="F7" i="8"/>
  <c r="F6" i="8"/>
  <c r="F5" i="8"/>
  <c r="C19" i="25" l="1"/>
  <c r="E13" i="8"/>
  <c r="I13" i="8"/>
  <c r="D19" i="25"/>
  <c r="F19" i="25"/>
  <c r="H18" i="25"/>
  <c r="H4" i="25"/>
  <c r="D5" i="25"/>
  <c r="J4" i="8"/>
  <c r="J8" i="8"/>
  <c r="J7" i="8"/>
  <c r="J6" i="8"/>
  <c r="J5" i="8"/>
  <c r="J12" i="8"/>
  <c r="J11" i="8"/>
  <c r="J10" i="8"/>
  <c r="J9" i="8"/>
  <c r="G13" i="8"/>
  <c r="F12" i="8"/>
  <c r="F13" i="8"/>
  <c r="H19" i="25" l="1"/>
  <c r="H13" i="8"/>
  <c r="J1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6609D-C2FE-457F-A5F2-3E9CEC2C7F49}" keepAlive="1" name="Consulta - Jira (32)" description="Conexión a la consulta 'Jira (32)' en el libro." type="5" refreshedVersion="8" background="1" saveData="1">
    <dbPr connection="Provider=Microsoft.Mashup.OleDb.1;Data Source=$Workbook$;Location=&quot;Jira (32)&quot;;Extended Properties=&quot;&quot;" command="SELECT * FROM [Jira (32)]"/>
  </connection>
  <connection id="2" xr16:uid="{F42C47AB-EBFD-429B-80DB-14DF4342E77F}" name="WorksheetConnection_Reporte_Gral_V2.xlsx!Jira__32" type="102" refreshedVersion="8" minRefreshableVersion="5">
    <extLst>
      <ext xmlns:x15="http://schemas.microsoft.com/office/spreadsheetml/2010/11/main" uri="{DE250136-89BD-433C-8126-D09CA5730AF9}">
        <x15:connection id="Jira__32" autoDelete="1">
          <x15:rangePr sourceName="_xlcn.WorksheetConnection_Reporte_Gral_V2.xlsxJira__3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<sst xmlns="http://schemas.openxmlformats.org/spreadsheetml/2006/main" count="8531" uniqueCount="1153">
  <si>
    <t>Fecha</t>
  </si>
  <si>
    <t>Bugs Totales</t>
  </si>
  <si>
    <t>Bugs Cancelados</t>
  </si>
  <si>
    <t>Bugs Solucionados</t>
  </si>
  <si>
    <t>Bugs Pendientes</t>
  </si>
  <si>
    <t>Incidentes UAT</t>
  </si>
  <si>
    <t>%Fuga</t>
  </si>
  <si>
    <t>Bugs Nuevos</t>
  </si>
  <si>
    <t>BUGS UAT</t>
  </si>
  <si>
    <t>% Fuga por prioridad</t>
  </si>
  <si>
    <t>Highest</t>
  </si>
  <si>
    <t>High</t>
  </si>
  <si>
    <t>Medium</t>
  </si>
  <si>
    <t>Low</t>
  </si>
  <si>
    <t>Fue encontrado durante UAT?</t>
  </si>
  <si>
    <t>SI</t>
  </si>
  <si>
    <t>BUGS TOTALES</t>
  </si>
  <si>
    <t>Recuento de Fue encontrado durante UAT?</t>
  </si>
  <si>
    <t>Estado</t>
  </si>
  <si>
    <t>VERSIÓN</t>
  </si>
  <si>
    <t>%FUGA</t>
  </si>
  <si>
    <t>En que versión de UAT fue encontrado?</t>
  </si>
  <si>
    <t>Prioridad</t>
  </si>
  <si>
    <t>Blocked</t>
  </si>
  <si>
    <t>Cancelado</t>
  </si>
  <si>
    <t>READY FOR TESTING</t>
  </si>
  <si>
    <t>READY FOR UAT</t>
  </si>
  <si>
    <t>Tareas por hacer</t>
  </si>
  <si>
    <t>TO BE DEPLOYED-SIT</t>
  </si>
  <si>
    <t>Total general</t>
  </si>
  <si>
    <t>0.14 S1</t>
  </si>
  <si>
    <t>UAT_V0.12</t>
  </si>
  <si>
    <t>0.14 S2</t>
  </si>
  <si>
    <t>UAT_V0.13</t>
  </si>
  <si>
    <t>UAT_V0.14</t>
  </si>
  <si>
    <t>UAT_V0.15</t>
  </si>
  <si>
    <t>Alta</t>
  </si>
  <si>
    <t>Medio</t>
  </si>
  <si>
    <t>UAT_V0.15 Total</t>
  </si>
  <si>
    <t>Recuento de Prioridad</t>
  </si>
  <si>
    <t>Baja</t>
  </si>
  <si>
    <t>Más alta</t>
  </si>
  <si>
    <t>Versión</t>
  </si>
  <si>
    <t>Bugs Encontrados</t>
  </si>
  <si>
    <t>% Casos de Prueba Fallidos</t>
  </si>
  <si>
    <t>BUGS Cancelados</t>
  </si>
  <si>
    <t>BUGS Pendientes por Resolver</t>
  </si>
  <si>
    <t>% Bugs Pendientes por resolver</t>
  </si>
  <si>
    <t>0.5.1</t>
  </si>
  <si>
    <t>0.6.1</t>
  </si>
  <si>
    <t>0.10.1</t>
  </si>
  <si>
    <t>En curso</t>
  </si>
  <si>
    <t>(Todas)</t>
  </si>
  <si>
    <t>¿En qué versión fue encontrado?</t>
  </si>
  <si>
    <t>Recuento de Estado</t>
  </si>
  <si>
    <t>0.10</t>
  </si>
  <si>
    <t>0.11</t>
  </si>
  <si>
    <t>0.12</t>
  </si>
  <si>
    <t>0.13</t>
  </si>
  <si>
    <t>0.14</t>
  </si>
  <si>
    <t>0.4</t>
  </si>
  <si>
    <t>0.5</t>
  </si>
  <si>
    <t>0.6</t>
  </si>
  <si>
    <t>0.7</t>
  </si>
  <si>
    <t>0.8</t>
  </si>
  <si>
    <t>0.9</t>
  </si>
  <si>
    <t>V0.15</t>
  </si>
  <si>
    <t>Recuento de ¿En qué versión fue encontrado?</t>
  </si>
  <si>
    <t>V0.9</t>
  </si>
  <si>
    <t>V0.8</t>
  </si>
  <si>
    <t>V0.7</t>
  </si>
  <si>
    <t>V0.6.1</t>
  </si>
  <si>
    <t>V0.6</t>
  </si>
  <si>
    <t>V0.5.1</t>
  </si>
  <si>
    <t>V0.5</t>
  </si>
  <si>
    <t>V0.4</t>
  </si>
  <si>
    <t>V0.14</t>
  </si>
  <si>
    <t>V0.13</t>
  </si>
  <si>
    <t>V0.12</t>
  </si>
  <si>
    <t>V0.11</t>
  </si>
  <si>
    <t>V0.10.1</t>
  </si>
  <si>
    <t>V0.10</t>
  </si>
  <si>
    <t>BUGS CANCELADOS</t>
  </si>
  <si>
    <t>Cómo colocar lo que este en la columna B de la hoja  Bugs x Versión si E  de la hoja tendenciaXVersionen de un archivo coincide con A de la hoja Bugs x Versión</t>
  </si>
  <si>
    <t>BUGS FINALIZADO</t>
  </si>
  <si>
    <t>Pendientes por resolver</t>
  </si>
  <si>
    <t>(Varios elementos)</t>
  </si>
  <si>
    <t>Pendientes por resolver X Prioridad</t>
  </si>
  <si>
    <t>Tipo de Incidencia</t>
  </si>
  <si>
    <t>Clave de incidencia</t>
  </si>
  <si>
    <t>ID de la incidencia</t>
  </si>
  <si>
    <t>Resumen</t>
  </si>
  <si>
    <t>Sprint</t>
  </si>
  <si>
    <t>Sprint2</t>
  </si>
  <si>
    <t>Sprint3</t>
  </si>
  <si>
    <t>Sprint4</t>
  </si>
  <si>
    <t>Sprint5</t>
  </si>
  <si>
    <t>Sprint6</t>
  </si>
  <si>
    <t>Sprint7</t>
  </si>
  <si>
    <t>Sprint8</t>
  </si>
  <si>
    <t>Sprint9</t>
  </si>
  <si>
    <t>Sprint10</t>
  </si>
  <si>
    <t>Sprint11</t>
  </si>
  <si>
    <t>Etiquetas</t>
  </si>
  <si>
    <t>Etiquetas10</t>
  </si>
  <si>
    <t>Etiquetas11</t>
  </si>
  <si>
    <t>Etiquetas12</t>
  </si>
  <si>
    <t>Etiquetas13</t>
  </si>
  <si>
    <t>Etiquetas14</t>
  </si>
  <si>
    <t>Etiquetas15</t>
  </si>
  <si>
    <t>Etiquetas16</t>
  </si>
  <si>
    <t>Etiquetas17</t>
  </si>
  <si>
    <t>Informador</t>
  </si>
  <si>
    <t>Creada</t>
  </si>
  <si>
    <t>Versiones corregidas</t>
  </si>
  <si>
    <t>Versiones corregidas19</t>
  </si>
  <si>
    <t>Versiones corregidas20</t>
  </si>
  <si>
    <t>Versiones corregidas21</t>
  </si>
  <si>
    <t>Módulo</t>
  </si>
  <si>
    <t>Desarrollador</t>
  </si>
  <si>
    <t>Desarrollador_Bug_Cancelado</t>
  </si>
  <si>
    <t>¿En que Sprint fue encontrado?</t>
  </si>
  <si>
    <t>¿En qué versión fue corregido?</t>
  </si>
  <si>
    <t>¿En que Sprint fue corregido?</t>
  </si>
  <si>
    <t>Categoría</t>
  </si>
  <si>
    <t>Funcionalidad</t>
  </si>
  <si>
    <t>Fue devuelto?</t>
  </si>
  <si>
    <t>Cuántas veces fue devuelto?</t>
  </si>
  <si>
    <t>Error</t>
  </si>
  <si>
    <t>T20-3755</t>
  </si>
  <si>
    <t>POS - En menú BBB la opción “Abrir cajón” se muestra sin tilde</t>
  </si>
  <si>
    <t>Controlar-Gaveta</t>
  </si>
  <si>
    <t>Look&amp;Feel</t>
  </si>
  <si>
    <t>QA-IntegraciónV0.15</t>
  </si>
  <si>
    <t>Yubisleinys Mora Vega</t>
  </si>
  <si>
    <t>POS</t>
  </si>
  <si>
    <t>Andres Vergara</t>
  </si>
  <si>
    <t>T20-3752</t>
  </si>
  <si>
    <t>POS – Realizar una venta crea copias del producto en el tablero y provoca cálculo incorrecto en unidades vendidas en el panel Ventas</t>
  </si>
  <si>
    <t>Funcional</t>
  </si>
  <si>
    <t>Iniciar-Venta</t>
  </si>
  <si>
    <t>BOT</t>
  </si>
  <si>
    <t>Ludovic Hern</t>
  </si>
  <si>
    <t>T20-3751</t>
  </si>
  <si>
    <t>POS - Se genera mensaje de alivio independiente y el cierre de turno muestra importes incorrectos</t>
  </si>
  <si>
    <t>Cierre-De-Turno</t>
  </si>
  <si>
    <t>T20-3749</t>
  </si>
  <si>
    <t>BOT – Al aceptar mensaje entrante de “Recibir Mercancía” con productos de la misma clave, se cierra el BOT y el mensaje queda en el tablero</t>
  </si>
  <si>
    <t>Recibir-Mercancía-Almacén-Tienda</t>
  </si>
  <si>
    <t>T20-3746</t>
  </si>
  <si>
    <t>BOT - Impresora de carátula no imprime</t>
  </si>
  <si>
    <t>T20 Sprint 26 2025</t>
  </si>
  <si>
    <t>Registrar-Merma</t>
  </si>
  <si>
    <t>T3B20_Kotlin</t>
  </si>
  <si>
    <t>Tienda2.0</t>
  </si>
  <si>
    <t>v0.16</t>
  </si>
  <si>
    <t>T20-3742</t>
  </si>
  <si>
    <t>POS - Alivio - Espacio en blanco adicional en tickets de alivio</t>
  </si>
  <si>
    <t>Alivios</t>
  </si>
  <si>
    <t>Juan Munoz</t>
  </si>
  <si>
    <t>T20-3741</t>
  </si>
  <si>
    <t>BOT - Cambio de precio - Error al guardar configuración de producto obliga al cierre del BOT (intermitente)</t>
  </si>
  <si>
    <t>Imprimir-Cambios-De-Precio</t>
  </si>
  <si>
    <t>PENDIENTES</t>
  </si>
  <si>
    <t>T20-3739</t>
  </si>
  <si>
    <t>POS - Alivio automático para Tómbola imprime solo un ticket</t>
  </si>
  <si>
    <t>T20-3738</t>
  </si>
  <si>
    <t>POS - Ticket de Tiempo de Aire no muestra el cambio al cliente</t>
  </si>
  <si>
    <t>Pago-De-Tiempo-Aire</t>
  </si>
  <si>
    <t>T20-3737</t>
  </si>
  <si>
    <t>POS - Ticket de Alivio para Tómbola muestra concepto incorrecto en la impresión</t>
  </si>
  <si>
    <t>T20-3735</t>
  </si>
  <si>
    <t>POS - Servicios - Error en modal Cambio al cliente</t>
  </si>
  <si>
    <t>Pago-De-Servicios-Con-Catálogo</t>
  </si>
  <si>
    <t>v0.15</t>
  </si>
  <si>
    <t>T20-3734</t>
  </si>
  <si>
    <t>POS - El sistema permite realizar un alivio por una cantidad mayor al efectivo disponible</t>
  </si>
  <si>
    <t>T20-3733</t>
  </si>
  <si>
    <t>BOT - Registro de merma - El sistema permite realizar merma sobre pagos de servicios y recargas</t>
  </si>
  <si>
    <t>T20-3702</t>
  </si>
  <si>
    <t>BOT - Pedido eficiente - El resumen del pedido muestra todos los productos en lugar de solo los solicitados</t>
  </si>
  <si>
    <t>Realizar-Pedido-Eficiente</t>
  </si>
  <si>
    <t>T20-3701</t>
  </si>
  <si>
    <t>BOT - Cambio de precio - Es necesario realizar dos clics para que el tipo de señalización “Tachado” funcione correctamente</t>
  </si>
  <si>
    <t>CANCELADO</t>
  </si>
  <si>
    <t>T20-3692</t>
  </si>
  <si>
    <t>POS - No existe tope al multiplicar cantidades, generando valores negativos</t>
  </si>
  <si>
    <t>Multiplicar-Producto</t>
  </si>
  <si>
    <t>UAT</t>
  </si>
  <si>
    <t>T20-3691</t>
  </si>
  <si>
    <t>BOT - Desaparición de números en alivios agregados</t>
  </si>
  <si>
    <t>Entrega-de-Valores</t>
  </si>
  <si>
    <t>T20-3690</t>
  </si>
  <si>
    <t>POS - Pago de Servicio - El último valor agregado no se elimina en el comprobante de servicio</t>
  </si>
  <si>
    <t>Revisado</t>
  </si>
  <si>
    <t>T20-3685</t>
  </si>
  <si>
    <t>POS - Ticket de cobro con CODI no muestra folio ni número de transacción</t>
  </si>
  <si>
    <t>Pago-Codi</t>
  </si>
  <si>
    <t>T20-3684</t>
  </si>
  <si>
    <t>POS - Pago de Servicio - No funcionan los atajos de teclado para aceptar Pago de Servicios en el POS</t>
  </si>
  <si>
    <t>T20-3683</t>
  </si>
  <si>
    <t>POS - Pago de Servicio - No se visualiza el monto de la comisión en el ticket</t>
  </si>
  <si>
    <t>T20-3681</t>
  </si>
  <si>
    <t>BOT - El sistema permite realizar una entrega de valores aun cuando no hay dinero disponible, generando saldos negativos.</t>
  </si>
  <si>
    <t>T3B20_BOT</t>
  </si>
  <si>
    <t>T20-3670</t>
  </si>
  <si>
    <t>BOT/POS - Cancelación de productos genera descuento incorrecto de stock y unidades vendidas erróneas en Dashboard de ventas</t>
  </si>
  <si>
    <t>Eliminar-Artículo-De-Venta</t>
  </si>
  <si>
    <t>T20-3669</t>
  </si>
  <si>
    <t>BOT - Modal Transferir mercancía no muestra botón para minimizar</t>
  </si>
  <si>
    <t>Realizar-Transferencia</t>
  </si>
  <si>
    <t>Revisar_Diseño</t>
  </si>
  <si>
    <t>T20-3668</t>
  </si>
  <si>
    <t>BOT - Modal Recibir mercancía no se visualiza botón para minimizar</t>
  </si>
  <si>
    <t>T20-3667</t>
  </si>
  <si>
    <t>BOT - No se muestra botón [-] minimizar en panel "Configuración de Etiquetas"</t>
  </si>
  <si>
    <t>configuracion-de-etiquetas</t>
  </si>
  <si>
    <t>Daniela Soto</t>
  </si>
  <si>
    <t>Sergio Ordaz Romero</t>
  </si>
  <si>
    <t>T20-3664</t>
  </si>
  <si>
    <t>BOT - Errores en modal "Recibir mercancía"</t>
  </si>
  <si>
    <t>Juan Camilo Collantes Tovar</t>
  </si>
  <si>
    <t>T20-3663</t>
  </si>
  <si>
    <t>POS - No se visualizan los atajos de los pagos electrónico (D - C - I)</t>
  </si>
  <si>
    <t>T20 Sprint 25 2025</t>
  </si>
  <si>
    <t>Pago-Con-Tarjeta</t>
  </si>
  <si>
    <t>T3B20_POS</t>
  </si>
  <si>
    <t>T20-3662</t>
  </si>
  <si>
    <t>BOT - Cambio de precio - No se visualiza el modal  Edición de impresión por producto</t>
  </si>
  <si>
    <t>Configuración</t>
  </si>
  <si>
    <t>T20-3661</t>
  </si>
  <si>
    <t>BOT - Error en flechas de cenefas  - Impresión por productos</t>
  </si>
  <si>
    <t>T20-3636</t>
  </si>
  <si>
    <t>POS – Permite finalizar la venta de productos con stock cero y deja la existencia en negativa</t>
  </si>
  <si>
    <t>Dashboard-Productos</t>
  </si>
  <si>
    <t>T20-3632</t>
  </si>
  <si>
    <t>BOT - Cierre de turno con diferencia faltante mantiene saldo en Total efectivo y lo suma al turno siguiente</t>
  </si>
  <si>
    <t>Main-Dashboard</t>
  </si>
  <si>
    <t>T20-3631</t>
  </si>
  <si>
    <t>BOT - Al cerrar el turno con diferencia sobrante, el POS mantiene este valor en negativo en “Total efectivo”</t>
  </si>
  <si>
    <t>T20-3630</t>
  </si>
  <si>
    <t>POS - Al seleccionar un botón del menú lateral del POS, este queda "griseado" al terminar o cerrar el modal</t>
  </si>
  <si>
    <t>IN SIT</t>
  </si>
  <si>
    <t>Bugs-En-Inputs</t>
  </si>
  <si>
    <t>T20-3629</t>
  </si>
  <si>
    <t>POS - Campo de búsqueda en Pago de "Servicios" no trae resultados</t>
  </si>
  <si>
    <t>Code Review</t>
  </si>
  <si>
    <t>T20-3628</t>
  </si>
  <si>
    <t>POS - Filtro de búsqueda en "Tiempo Aire"no trae resultados correctamente</t>
  </si>
  <si>
    <t>T20-3581</t>
  </si>
  <si>
    <t>POS - Pago de Servicio está imprimiendo dos Ticket</t>
  </si>
  <si>
    <t>T20-3579</t>
  </si>
  <si>
    <t>POS - Modal “Cerrar venta” muestra nombre incorrecto “Pago mix”</t>
  </si>
  <si>
    <t>T20-3578</t>
  </si>
  <si>
    <t>POS - Servicios - Pago de servicio permite completar el flujo sin número de referencia</t>
  </si>
  <si>
    <t>T20-3577</t>
  </si>
  <si>
    <t>POS - Servicios - Campo “Total a pagar” en blanco muestra monto entregado como cambio</t>
  </si>
  <si>
    <t>T20-3576</t>
  </si>
  <si>
    <t>T20-3574</t>
  </si>
  <si>
    <t>BOT no debe de ejecutar Shortcuts desde la ventana de "Shortcuts"</t>
  </si>
  <si>
    <t>Atajos-Teclado-BOT</t>
  </si>
  <si>
    <t>Carolina Rodríguez Soriano</t>
  </si>
  <si>
    <t>T20-3566</t>
  </si>
  <si>
    <t>BOT - Entrega de valores emite folio XXX</t>
  </si>
  <si>
    <t>Entrega-De-Valores</t>
  </si>
  <si>
    <t>T20-3565</t>
  </si>
  <si>
    <t>BOT - Múltiples errores en la cuarta pantalla "Resumen" de "Entrega de valores"</t>
  </si>
  <si>
    <t>T20-3564</t>
  </si>
  <si>
    <t>BOT - Múltiples errores en la tercera pantalla "Envases y sellos" de "Entrega de valores"</t>
  </si>
  <si>
    <t>T20-3563</t>
  </si>
  <si>
    <t>BOT - Múltiples errores en la segunda pantalla "Llenado de campo" de Entrega de valores</t>
  </si>
  <si>
    <t>T20-3562</t>
  </si>
  <si>
    <t xml:space="preserve">BOT - Múltiples errores en la primera pantalla de Resumen "Entrega de valores" </t>
  </si>
  <si>
    <t>Bug_Devuelto_v0.15</t>
  </si>
  <si>
    <t>T20-3528</t>
  </si>
  <si>
    <t>BOT - Al finalizar el inventario la pantalla se queda en blanco y no retorna a la pantalla principal del BOT</t>
  </si>
  <si>
    <t>Reporte-De-Inventario</t>
  </si>
  <si>
    <t>T20-3527</t>
  </si>
  <si>
    <t>BOT - Inventario - El botón “Descargar para reconteo” no se visualiza al finalizar el inventario</t>
  </si>
  <si>
    <t>T20-3526</t>
  </si>
  <si>
    <t>BOT - Dashboard Productos - Header Stockout y Sobrestock no se actualizan</t>
  </si>
  <si>
    <t>QA-IntegraciónV0.14</t>
  </si>
  <si>
    <t>T20-3523</t>
  </si>
  <si>
    <t>Corrección de gama de colores y visualización de tablas dentro del POS y BOT</t>
  </si>
  <si>
    <t>Dashboard-Ventas</t>
  </si>
  <si>
    <t>T20-3522</t>
  </si>
  <si>
    <t>BOT - El evento BOT_TRANSFER_ITEMS_OUT no cumple con la estructura definida en la documentación (diferencias en user y product_key)</t>
  </si>
  <si>
    <t>Eventos_iOT</t>
  </si>
  <si>
    <t>T20-3521</t>
  </si>
  <si>
    <t>Se bloquea el POS al cerrar modal o cancelar operación de autenticación.</t>
  </si>
  <si>
    <t>T20-3516</t>
  </si>
  <si>
    <t>POS - lista de "Atajos del teclado" dice mal escrito "Cerrat venta"</t>
  </si>
  <si>
    <t>Atajos-Teclado</t>
  </si>
  <si>
    <t>T20-3513</t>
  </si>
  <si>
    <t>BOT - Previsualización de Precios – No permite cambiar de página</t>
  </si>
  <si>
    <t>T20-3512</t>
  </si>
  <si>
    <t>POS - Arqueo no está abriendo el cajón del POS</t>
  </si>
  <si>
    <t>Arqueo</t>
  </si>
  <si>
    <t>T20-3510</t>
  </si>
  <si>
    <t>BOT - Pantalla en blanco después de aplicar Regla 13</t>
  </si>
  <si>
    <t>T20-3507</t>
  </si>
  <si>
    <t>POS - Faltan símbolos en la pantalla modal devolución</t>
  </si>
  <si>
    <t>Devoluciones</t>
  </si>
  <si>
    <t>T20-3506</t>
  </si>
  <si>
    <t>Se borra toda la información del panel de Ventas (BOT) después de realizar una devolución</t>
  </si>
  <si>
    <t>T20-3294</t>
  </si>
  <si>
    <t>POS - Al ingresar caracteres en un campo de texto, el curso hace un "salto atrás" y dificulta escribir.</t>
  </si>
  <si>
    <t>T20 Sprint 24 2025</t>
  </si>
  <si>
    <t>T20-3293</t>
  </si>
  <si>
    <t>BOT - El botón Cancelar del modal de autenticación no cierra la ventana en flujo de Pedido Eficiente</t>
  </si>
  <si>
    <t>T20-3286</t>
  </si>
  <si>
    <t xml:space="preserve">POS - Ctrl U no funciona correctamente, se cierra la pantalla </t>
  </si>
  <si>
    <t>Consulta-Última-Transacción-Santander</t>
  </si>
  <si>
    <t>T20-3284</t>
  </si>
  <si>
    <t>BOT - Pedido eficiente - La pantalla queda en gris al confirmar Pedido Eficiente</t>
  </si>
  <si>
    <t>T20-3283</t>
  </si>
  <si>
    <t>BOT - No se visualiza la sección “Movimientos” con las operaciones diarias en el panel de Efectivo</t>
  </si>
  <si>
    <t>Dashboard-Efectivo</t>
  </si>
  <si>
    <t>T20-3282</t>
  </si>
  <si>
    <t>BOT - No se visualizan los botones en algunos modales</t>
  </si>
  <si>
    <t>Emiliano Fraile</t>
  </si>
  <si>
    <t>T20-3278</t>
  </si>
  <si>
    <t>En pantalla de registro de gastos aunque no se ponga el comentario obligatorio se registra el gasto infinidad de veces y no aparece una notificacion de que ya se realizo el registro del mismo</t>
  </si>
  <si>
    <t>Registro-de-Gastos</t>
  </si>
  <si>
    <t>Maria Pilar Albacete Occhi</t>
  </si>
  <si>
    <t>T20-3277</t>
  </si>
  <si>
    <t>Algunos shortcuts no funcionan al instante, se necesita cambiar de Tablero para que ejecuten la actividad.</t>
  </si>
  <si>
    <t>T20-3276</t>
  </si>
  <si>
    <t>En pedido eficiente al seleccionar 20 o 50 articulos a mostrar por pagina se desctiva la opcion, ya no permite regresar.</t>
  </si>
  <si>
    <t>v0.14</t>
  </si>
  <si>
    <t>T20-3275</t>
  </si>
  <si>
    <t>En una cancelación de producto de peso variable los gramos los cuentan como cantidad de productos y este se ve reflejado en el tablero de ventas.</t>
  </si>
  <si>
    <t>Cobro-De-Productos-Peso-Variable</t>
  </si>
  <si>
    <t>T20-3274</t>
  </si>
  <si>
    <t>EL PANEL DE AJUSTE DE INVENTARIO NO SE ACTUALIZA DESPUES DE REALIZAR EL AJUSTE</t>
  </si>
  <si>
    <t>Realizar-Inventario</t>
  </si>
  <si>
    <t>T20-3273</t>
  </si>
  <si>
    <t>NO SE ACTUALIZAN LOS PRODUCTOS (Panel de productos) QUE SE ESTAN VENDIDO DURANTE EL PROCESO DE INVENTARIO.</t>
  </si>
  <si>
    <t>T20-3272</t>
  </si>
  <si>
    <t>No se visualiza la opcion "adicionar ó reemplazar" despues de generar el primer conteo de inventario.</t>
  </si>
  <si>
    <t>Pendiente_Desarrollo</t>
  </si>
  <si>
    <t>T20-3271</t>
  </si>
  <si>
    <t>POS - La cantidad se visualiza doble al realizar cobro con CODI</t>
  </si>
  <si>
    <t>T20-3270</t>
  </si>
  <si>
    <t>POS - No se visualiza el usuario correcto en la pantalla de POS al iniciar y cerrar turno</t>
  </si>
  <si>
    <t>Inicio-De-Turno</t>
  </si>
  <si>
    <t>T20-3269</t>
  </si>
  <si>
    <t>POS: Corrección de filtro para generar el arqueo</t>
  </si>
  <si>
    <t>Ludo</t>
  </si>
  <si>
    <t>T20-3268</t>
  </si>
  <si>
    <t>BOT - En el evento BOT_START_STORY_DAY viene siempre como user: Maria Elena Vargas Lozano</t>
  </si>
  <si>
    <t>Inicio-De-Día</t>
  </si>
  <si>
    <t>T20-3254</t>
  </si>
  <si>
    <t>BOT - Cambio de precio - No imprime correctamente</t>
  </si>
  <si>
    <t>T20-3213</t>
  </si>
  <si>
    <t>BOT - Cambio de precio - Modal de configuración de impresión: botón “Guardar” activo y diseño inconsistente</t>
  </si>
  <si>
    <t>QA-IntegraciónV0.13</t>
  </si>
  <si>
    <t>T20-3212</t>
  </si>
  <si>
    <t>BOT - Cambio de precio - Errores en impresión</t>
  </si>
  <si>
    <t>T20-3210</t>
  </si>
  <si>
    <t>POS - Realizar arqueo - Inconsistencia en dato de vendedor en ticket impreso</t>
  </si>
  <si>
    <t>T20-3179</t>
  </si>
  <si>
    <t>BOT - Pie de camión - Botones incorrectos en modales</t>
  </si>
  <si>
    <t>Recibir-Mercancía-Pie-de-Camión</t>
  </si>
  <si>
    <t>T20-3177</t>
  </si>
  <si>
    <t>BOT - Pie de camión - No muestra productos después de ingresar número de factura</t>
  </si>
  <si>
    <t>Recibir-Mercancía-Pie-De-Camión</t>
  </si>
  <si>
    <t>T20-3173</t>
  </si>
  <si>
    <t>BOT - Recibir mercancía - Alineación incorrecta de botones en el modal de selección de folio</t>
  </si>
  <si>
    <t>T20-3172</t>
  </si>
  <si>
    <t>POS - Con turno cerrado - No se muestra F11 ni la opción "Salir/Cerrar sesión"</t>
  </si>
  <si>
    <t>Grooming_S25</t>
  </si>
  <si>
    <t>T20-3169</t>
  </si>
  <si>
    <t>BOT - Registro de merma - No se muestra al intentar realizar un registro de merma el modal de Autenticación.</t>
  </si>
  <si>
    <t>T20-3165</t>
  </si>
  <si>
    <t>BOT - Distribución incorrecta mostrada en Desglose al confirmar cierre de turno en BOT</t>
  </si>
  <si>
    <t>Confirmar-Cierre-De-Turno</t>
  </si>
  <si>
    <t>T20-3163</t>
  </si>
  <si>
    <t>BOT - Atajo teclado F9 - no abre modal Ubicación de familias</t>
  </si>
  <si>
    <t>T20-3162</t>
  </si>
  <si>
    <t>BOT - Atajo teclado F8 - no abre modal Consulta de folios</t>
  </si>
  <si>
    <t>T20-3161</t>
  </si>
  <si>
    <t>BOT - Atajo teclado F7 - no abre modal Entrega de valores</t>
  </si>
  <si>
    <t>T20-3160</t>
  </si>
  <si>
    <t>BOT - Atajo teclado F6 - no abre modal Registrar gastos</t>
  </si>
  <si>
    <t>T20-3159</t>
  </si>
  <si>
    <t>BOT - Atajo teclado Ctrl + Alt + M no abre el Reproductor de música</t>
  </si>
  <si>
    <t>T20-3158</t>
  </si>
  <si>
    <t>BOT - Atajo teclado Ctrl + M no abre el modal de Merma</t>
  </si>
  <si>
    <t>T20-3155</t>
  </si>
  <si>
    <t>BOT - Atajo teclado Ctrl + T no abre el modal de Transferencias</t>
  </si>
  <si>
    <t>T20-3098</t>
  </si>
  <si>
    <t>POS - Pago de tiempo Aire no está imprimiendo Ticket</t>
  </si>
  <si>
    <t>T20-3097</t>
  </si>
  <si>
    <t>POS - No se muestra modal Procesando Pago en Pago de tiempo aire</t>
  </si>
  <si>
    <t>Pago-tiempo-de-aire</t>
  </si>
  <si>
    <t>T20-3096</t>
  </si>
  <si>
    <t>POS - Errores en modal "Pago de tiempo aire"</t>
  </si>
  <si>
    <t>T20-3066</t>
  </si>
  <si>
    <t>BOT - Pedido eficiente - Se regresa automáticamente a la página 1 al editar la cantidad de un producto en páginas posteriores.</t>
  </si>
  <si>
    <t>T20-3062</t>
  </si>
  <si>
    <t>BOT - Errores en modal "Pedido eficiente"</t>
  </si>
  <si>
    <t>T20-3057</t>
  </si>
  <si>
    <t>POS: Peso y precio incorrecto en buscador para productos de peso variable</t>
  </si>
  <si>
    <t>T20-3048</t>
  </si>
  <si>
    <t>BOT - Cambio de precio - Errores en el modal “Previsualizar configuración”</t>
  </si>
  <si>
    <t>T20-3047</t>
  </si>
  <si>
    <t>BOT - Configuración de etiquetas - Errores en el modal “Previsualizar configuración”</t>
  </si>
  <si>
    <t>T20-3046</t>
  </si>
  <si>
    <t>BOT - Configuración de etiquetas - Filtros muestran opciones distintas a las especificadas en Figma.</t>
  </si>
  <si>
    <t>T20-3045</t>
  </si>
  <si>
    <t>BOT - Múltiples errores en modal "Configuración de etiquetas"</t>
  </si>
  <si>
    <t>T20-3044</t>
  </si>
  <si>
    <t>BOT - Eventos - "Recibir mercancía Pie de Camión" llega con nombres inconsistentes entre m_event_type y payload.event_type en IoT Hub y en Fabric</t>
  </si>
  <si>
    <t>Eventos</t>
  </si>
  <si>
    <t>Eventos_Iothub</t>
  </si>
  <si>
    <t>T20-3039</t>
  </si>
  <si>
    <t>BOT - Cambio de precio - Clic fuera del modal y "Previsualizar", cierran modal. (Pantalla gris)</t>
  </si>
  <si>
    <t>T20-3038</t>
  </si>
  <si>
    <t xml:space="preserve">BOT - Cambio de precio - Errores en modal de "Configuración" </t>
  </si>
  <si>
    <t>Bug_Devueltov0.14</t>
  </si>
  <si>
    <t>T20-3037</t>
  </si>
  <si>
    <t>BOT - "Imprimir cambio de precio" no muestra paginado al aumentar la cantidad para mostrar</t>
  </si>
  <si>
    <t>T20-3035</t>
  </si>
  <si>
    <t>BOT - Múltiples errores en modal "Impresión de cambio de precios"</t>
  </si>
  <si>
    <t>T20-2983</t>
  </si>
  <si>
    <t>POS - Eliminar artículo de Peso Variable, genera malos cálculos en el total de la venta.</t>
  </si>
  <si>
    <t>T20-2912</t>
  </si>
  <si>
    <t>BOT - Recibir mercancía - Listar más de 50 productos, no muestra los botones "Cancelar" y "Procesar"</t>
  </si>
  <si>
    <t>T20 Sprint 23 2025</t>
  </si>
  <si>
    <t>T20-2911</t>
  </si>
  <si>
    <t>BOT - Pie de camión - Campo "cajas recibidas" no habilita botón "Continuar"</t>
  </si>
  <si>
    <t>QA-IntegraciónV0.12</t>
  </si>
  <si>
    <t>T20-2910</t>
  </si>
  <si>
    <t>POS - Bloqueo de sesión - Cancelar Cerrar turno desbloquea sesión</t>
  </si>
  <si>
    <t>Bloqueo-De-Sesión</t>
  </si>
  <si>
    <t>T20-2909</t>
  </si>
  <si>
    <t>BOT - Entrada pie de camión permite seleccionar dos proveedores</t>
  </si>
  <si>
    <t>T20-2908</t>
  </si>
  <si>
    <t>POS - Pago con CoDi bloquea sistema</t>
  </si>
  <si>
    <t>T20-2907</t>
  </si>
  <si>
    <t>BOT - F1 inicia sesión sin credenciales</t>
  </si>
  <si>
    <t>Login</t>
  </si>
  <si>
    <t>T20-2903</t>
  </si>
  <si>
    <t>POS -  Al seleccionar un producto sin código se carga información de más que no coincide con Figma</t>
  </si>
  <si>
    <t>Catálogo-de-Productos-Sin-Código</t>
  </si>
  <si>
    <t>T20-2902</t>
  </si>
  <si>
    <t>BOT - "Jueves" se lee con la J incompleta</t>
  </si>
  <si>
    <t>v0.12</t>
  </si>
  <si>
    <t>T20-2901</t>
  </si>
  <si>
    <t>POS - Al multiplicar por grandes números, el total se muestra en negativo.</t>
  </si>
  <si>
    <t>T20-2900</t>
  </si>
  <si>
    <t xml:space="preserve">POS - Tecla Esc Inicia sesión </t>
  </si>
  <si>
    <t>T20-2899</t>
  </si>
  <si>
    <t>POS -  El shortcut F1 no se visualiza ni funciona en la pantalla "Motivo de la devolución"*****</t>
  </si>
  <si>
    <t>T20-2897</t>
  </si>
  <si>
    <t>POS - Al iniciar nuevo turno, se muestran notificaciones pospuestas del turno anterior</t>
  </si>
  <si>
    <t>T20-2853</t>
  </si>
  <si>
    <t>POS -  No se imprime el ticket al cancelar una venta</t>
  </si>
  <si>
    <t>-</t>
  </si>
  <si>
    <t>Cancelar-venta</t>
  </si>
  <si>
    <t>T20-2852</t>
  </si>
  <si>
    <t>POS -  Shortcut F8 ejecuta la misma acción que Ctrl+V (Realizar Alivio)</t>
  </si>
  <si>
    <t>T20-2850</t>
  </si>
  <si>
    <t>BOT -  Estadísticos de panel de productos, ventas y efectivo no se ajustan a cero al inicio de día</t>
  </si>
  <si>
    <t>T20-2840</t>
  </si>
  <si>
    <t>POS -  Transacciones Santander no imprime ticket</t>
  </si>
  <si>
    <t>Consulta-Transacción-SANTANDER</t>
  </si>
  <si>
    <t>QA-IntegraciónV0.11</t>
  </si>
  <si>
    <t>T20-2839</t>
  </si>
  <si>
    <t>BOT - MERMA - Impresión de Carátulas de manera incorrecta</t>
  </si>
  <si>
    <t>REVISAR_QA</t>
  </si>
  <si>
    <t>T20-2827</t>
  </si>
  <si>
    <t>BOT - al presionar CTRL+A se eliminala fecha de inicio  de la parte superior del tablero principal</t>
  </si>
  <si>
    <t>T20-2826</t>
  </si>
  <si>
    <t>POS - No se procesa el pago de CoDi en el POS pero en la aplicacion aparece como pago pendiente y en el tablero de ventas se visualiza que ya se cobro</t>
  </si>
  <si>
    <t>Pago-CODI</t>
  </si>
  <si>
    <t>T20-2825</t>
  </si>
  <si>
    <t>BOT - Al minimizar la ventana de merma y se cambia de pantalla no se guarda lo registrado</t>
  </si>
  <si>
    <t>T20-2824</t>
  </si>
  <si>
    <t>POS - NO APARECE LA DESCRIPCIÓN DEL  PRODUCTO  EN LA PANTALLA DE COBRO - CON PRESENTACION</t>
  </si>
  <si>
    <t>Iniciar_Venta</t>
  </si>
  <si>
    <t>T20-2823</t>
  </si>
  <si>
    <t>POS - CTRL + L PERMITE REALIZAR FONDEO ADICIONAL POR $200.00</t>
  </si>
  <si>
    <t>T20-2822</t>
  </si>
  <si>
    <t>BOT - La información del panel de ventas desaparece despues de hacer una devolución</t>
  </si>
  <si>
    <t>T20-2821</t>
  </si>
  <si>
    <t>POS - Al buscar la harina en el buscador de productos sin codigo, se visualiza el producto Botana chicharron mix, siendo este un producto con codigo.</t>
  </si>
  <si>
    <t>T20-2820</t>
  </si>
  <si>
    <t>BOT - Descripción en otro idioma diferente al de la fuente original</t>
  </si>
  <si>
    <t>Contenido/Datos</t>
  </si>
  <si>
    <t>T20-2819</t>
  </si>
  <si>
    <t>BOT - La flecha de menu desplegable no esta activa y no se puede navegar con cursores.</t>
  </si>
  <si>
    <t>T20-2818</t>
  </si>
  <si>
    <t>POS - Al cerra la ventana o posponer la solicitud de alivio en el POS este se bloquea</t>
  </si>
  <si>
    <t>T20-2817</t>
  </si>
  <si>
    <t>POS - En los tickets de devolucion se imprimen con una fila adicional en 0</t>
  </si>
  <si>
    <t>T20-2816</t>
  </si>
  <si>
    <t>BOT - Al registrar gasto y cambiar la seleccion de tipo de gastos, el sistema se traba siendo necesario reiniciar la maquina</t>
  </si>
  <si>
    <t>T20-2815</t>
  </si>
  <si>
    <t>BOT - El total de ventas en el panel del Pos 2 no se actualiza</t>
  </si>
  <si>
    <t>T20-2814</t>
  </si>
  <si>
    <t>POS - El sistema no pidio la entrega del fondo y en el pico no se suma el monto del fondo y lo marca como diferencia faltante</t>
  </si>
  <si>
    <t>Fondeo-Adicional</t>
  </si>
  <si>
    <t>T20-2813</t>
  </si>
  <si>
    <t>POS - En el ticket al momento de multiplicar aparece precio por unidad y no precio total como en pantalla de POS</t>
  </si>
  <si>
    <t>Imprimir-Ticket</t>
  </si>
  <si>
    <t>T20-2812</t>
  </si>
  <si>
    <t>POS - NO APARECE LA LEYENDA SALIR/CERRAR SESION</t>
  </si>
  <si>
    <t>T20-2811</t>
  </si>
  <si>
    <t>POS - Se bloquea el POS al pagar con tarjeta o CODI</t>
  </si>
  <si>
    <t>v0.13</t>
  </si>
  <si>
    <t>T20-2810</t>
  </si>
  <si>
    <t>POS - Pagos con tarjeta, no efectua cobro por cantidades superiores a $1,000,00</t>
  </si>
  <si>
    <t>T20-2809</t>
  </si>
  <si>
    <t xml:space="preserve">POS - la tecla de retroceso brinca 3 caracteres </t>
  </si>
  <si>
    <t>Grooming</t>
  </si>
  <si>
    <t>T20-2764</t>
  </si>
  <si>
    <t>BOT - Inventario - Error para descargar archivo</t>
  </si>
  <si>
    <t>T20-2763</t>
  </si>
  <si>
    <t>BOT - Al aceptar "Recibir mercancía" desde mensajes entrantes, se muestra un modal para "Seleccionar folio" que está de más.</t>
  </si>
  <si>
    <t>T20-2762</t>
  </si>
  <si>
    <t>BOT - Realizar transferencia permite transferir a la misma tienda que realiza el envío.</t>
  </si>
  <si>
    <t>T20-2761</t>
  </si>
  <si>
    <t>BOT - El mensaje entrante de "Recibir mercancía" no se elimina del dashboard principal al ser aceptado</t>
  </si>
  <si>
    <t>T20-2760</t>
  </si>
  <si>
    <t>BOT - Errores en modal "Recibir mercancia"</t>
  </si>
  <si>
    <t>T20-2759</t>
  </si>
  <si>
    <t>BOT - Errores en modal Inventario - "Grupo" en ingles - "Checks" errados.</t>
  </si>
  <si>
    <t>T20-2758</t>
  </si>
  <si>
    <t>BOT - Inventario -  Errores en modal autentificación</t>
  </si>
  <si>
    <t>T20-2756</t>
  </si>
  <si>
    <t>BOT - Modal "Inventario" se abre con fondo gris en lugar de mantener "Tablero principal" de fondo.</t>
  </si>
  <si>
    <t>T20-2754</t>
  </si>
  <si>
    <t>POS- Eventos Iothub - Diferencia horaria</t>
  </si>
  <si>
    <t>Pago-En-Efectivo</t>
  </si>
  <si>
    <t>UAT_1_WEEK</t>
  </si>
  <si>
    <t>T20-2753</t>
  </si>
  <si>
    <t>BOT - Error en tablero Realizar transferencia</t>
  </si>
  <si>
    <t>T20-2711</t>
  </si>
  <si>
    <t>BOT - Toast de Recibir mercancía no coincide con el Figma</t>
  </si>
  <si>
    <t>T20-2710</t>
  </si>
  <si>
    <t>BOT - modal Recibir mercancía trae información incorrecta</t>
  </si>
  <si>
    <t>T20-2707</t>
  </si>
  <si>
    <t>BOT - Pie de camión - Piezas recibidas no se calcula correctamente</t>
  </si>
  <si>
    <t>T20-2685</t>
  </si>
  <si>
    <t>BOT - Pie de camión - Errores en proveedores</t>
  </si>
  <si>
    <t>T20-2574</t>
  </si>
  <si>
    <t>POS/BOT - Eventos -Inconsistencia en el formato del atributo operation_date entre IoT Hub y Fabric</t>
  </si>
  <si>
    <t>Eventos_Fabric</t>
  </si>
  <si>
    <t>v0.11</t>
  </si>
  <si>
    <t>T20-2488</t>
  </si>
  <si>
    <t>BOT - Dashboard Productos - Error en filtros</t>
  </si>
  <si>
    <t>T20-2486</t>
  </si>
  <si>
    <t>BOT - Problemas en la barra de búsqueda del Dashboard Productos</t>
  </si>
  <si>
    <t>T20-2367</t>
  </si>
  <si>
    <t>BOT - Error en tablero Registro de gastos</t>
  </si>
  <si>
    <t>T20-2366</t>
  </si>
  <si>
    <t>BOT - El botón "entrega de valores manual" no figura en el diseño de Figma</t>
  </si>
  <si>
    <t>T20-2365</t>
  </si>
  <si>
    <t>BOT - Registro de gastos no muestra Toast de confirmación</t>
  </si>
  <si>
    <t>T20 Sprint 22 2025</t>
  </si>
  <si>
    <t>T20-2364</t>
  </si>
  <si>
    <t>BOT - Header Merma no se actualiza correctamente al completar un Registro de Merma</t>
  </si>
  <si>
    <t>T20-2351</t>
  </si>
  <si>
    <t>BOT - Se visualizan líneas en la pantalla al listar productos</t>
  </si>
  <si>
    <t>T20-2349</t>
  </si>
  <si>
    <t>BOT - Pantalla queda en gris al hacer clic fuera de la ventana emergente de "entrega de valores"</t>
  </si>
  <si>
    <t>T20-2348</t>
  </si>
  <si>
    <t>POS - Modal Pago con CoDi muestra el doble del valor de la transacción exitosa</t>
  </si>
  <si>
    <t>T20-2346</t>
  </si>
  <si>
    <t>BOT - Comportamiento inesperado al registrar mermas para productos con la misma clave</t>
  </si>
  <si>
    <t>T20-2344</t>
  </si>
  <si>
    <t>POS - No se abre gaveta a realizar una Devolución</t>
  </si>
  <si>
    <t>T20-2342</t>
  </si>
  <si>
    <t>POS - "Reimprimir" imprime 2 tickets en lugar de 1</t>
  </si>
  <si>
    <t>Reimprimir-Ticket</t>
  </si>
  <si>
    <t>T20-2341</t>
  </si>
  <si>
    <t>POS - F8 genera error y se cierra el POS</t>
  </si>
  <si>
    <t>Bug_Devuelto_v0.13</t>
  </si>
  <si>
    <t>Shortcuts</t>
  </si>
  <si>
    <t>T20-2335</t>
  </si>
  <si>
    <t>BOT - No se visualiza la ventana para agregar envases en entrega de valores</t>
  </si>
  <si>
    <t>T20-2334</t>
  </si>
  <si>
    <t>BOT - Errores de interfaz en la funcionalidad de entrega de valores</t>
  </si>
  <si>
    <t>T20-2297</t>
  </si>
  <si>
    <t>BOT - La ventana se bloquea al finalizar la operación en el módulo Entrega de valores</t>
  </si>
  <si>
    <t>T20-2296</t>
  </si>
  <si>
    <t>BOT - Input del número de comprobante permite cantidad incorrecta de números</t>
  </si>
  <si>
    <t>T20-2295</t>
  </si>
  <si>
    <t>BOT - Botón Cancelar en las ventanas de Entrega de Valores no funciona</t>
  </si>
  <si>
    <t>T20-2294</t>
  </si>
  <si>
    <t>POS - El Ticket impreso no muestra las Transacciones Santander</t>
  </si>
  <si>
    <t>T20-2293</t>
  </si>
  <si>
    <t>POS - No se visualiza correctamente la consulta de última transacción Santander fallida</t>
  </si>
  <si>
    <t>915- Por definir</t>
  </si>
  <si>
    <t>T20-2290</t>
  </si>
  <si>
    <t>BOT - Tamaño incorrecto de botones en el modal de cerrar sesión en el BOT</t>
  </si>
  <si>
    <t>Logout</t>
  </si>
  <si>
    <t>T20-2286</t>
  </si>
  <si>
    <t>POS - Problemas de interfaz en el módulo de cancelación y devolución de artículos: botón agrandado y texto vertical</t>
  </si>
  <si>
    <t>T20-2275</t>
  </si>
  <si>
    <t>BOT - Generación de folio en el BOT sin confirmar fondeo adicional</t>
  </si>
  <si>
    <t>T20-2274</t>
  </si>
  <si>
    <t>POS - Errores en modal Fondeo adicional</t>
  </si>
  <si>
    <t>T20-2271</t>
  </si>
  <si>
    <t>POS - Proceso de devolución muestra modal de fondeo adicional al cancelar</t>
  </si>
  <si>
    <t>T20-2270</t>
  </si>
  <si>
    <t>BOT - Permite registrar gasto sin efectivo en caja fuerte, mostrando valor negativo</t>
  </si>
  <si>
    <t>T20-2269</t>
  </si>
  <si>
    <t>BOT - No se actualiza el tablero principal del BOT tras una venta en POS</t>
  </si>
  <si>
    <t>T20-2268</t>
  </si>
  <si>
    <t>BOT - No se visualizan mensajes entrantes en el BOT de operaciones realizadas en POS</t>
  </si>
  <si>
    <t>T20-2267</t>
  </si>
  <si>
    <t xml:space="preserve">BOT - Acceso a módulos sin haber iniciado el día </t>
  </si>
  <si>
    <t>T20-2266</t>
  </si>
  <si>
    <t>BOT - Opción "Inicio de día" en el menú BBB no funciona</t>
  </si>
  <si>
    <t>Nicolas Dubiansky</t>
  </si>
  <si>
    <t>T20-2265</t>
  </si>
  <si>
    <t>BOT - Opción de "Cerrar Día" no visible en el menú desplegable BBB</t>
  </si>
  <si>
    <t>Cierre-De-Día</t>
  </si>
  <si>
    <t>T20-2264</t>
  </si>
  <si>
    <t>POS_Evento POS - Inconsistencia en la información</t>
  </si>
  <si>
    <t>T20-2263</t>
  </si>
  <si>
    <t>POS_Evento POS - Login - Inconsistencia en la información</t>
  </si>
  <si>
    <t>T20-2262</t>
  </si>
  <si>
    <t xml:space="preserve">BOT - Eventos BOT -Cierre de dia inconsistencia en Atributo "cash" </t>
  </si>
  <si>
    <t>T20-2257</t>
  </si>
  <si>
    <t>BOT - El sistema permite acceder a módulos sin haber iniciado un día.</t>
  </si>
  <si>
    <t>QA-IntegraciónV0.10.1</t>
  </si>
  <si>
    <t>T20-2248</t>
  </si>
  <si>
    <t>POS - Ticket con artículos cancelados, se muestran en el ticket impreso</t>
  </si>
  <si>
    <t>T20-2247</t>
  </si>
  <si>
    <t>BOT - Aceptar "Alivio" del POS, emite folio [0]</t>
  </si>
  <si>
    <t>UAT_2_WEEK</t>
  </si>
  <si>
    <t>T20-2243</t>
  </si>
  <si>
    <t>POS - Las flechas del teclado no funcionan para seleccionar un producto buscado</t>
  </si>
  <si>
    <t>T20 Sprint 21 2025</t>
  </si>
  <si>
    <t>Buscar-Artículo</t>
  </si>
  <si>
    <t>T20-2240</t>
  </si>
  <si>
    <t>BOT - No se actualiza estado del POS en tablero principal</t>
  </si>
  <si>
    <t>T20-2239</t>
  </si>
  <si>
    <t>BOT - Problema en Cierre de turno del POS - Información incorrecta para diferencia sobrante</t>
  </si>
  <si>
    <t>T20-2238</t>
  </si>
  <si>
    <t>POS - No se imprimen Tickets de Alivios ni abre gaveta</t>
  </si>
  <si>
    <t>T20-2237</t>
  </si>
  <si>
    <t>POS - Abrir Turno no está imprimiendo tickets ni abre gaveta</t>
  </si>
  <si>
    <t>T20-2236</t>
  </si>
  <si>
    <t>BOT - Problema en el modal de cierre de turno - Se muestran valores que no corresponden</t>
  </si>
  <si>
    <t>T20-2235</t>
  </si>
  <si>
    <t>BOT - No se actualizan correctamente las tarjetas en el Tablero principal</t>
  </si>
  <si>
    <t>T20-2233</t>
  </si>
  <si>
    <t>BOT - Se permite registrar merma de un producto con cero en stock</t>
  </si>
  <si>
    <t>T20-2232</t>
  </si>
  <si>
    <t>POS - No se muestran los artículos de bebidas con sus medidas</t>
  </si>
  <si>
    <t>T20-2231</t>
  </si>
  <si>
    <t>POS - Si el resultado de búsqueda es muy larga, no se ven artículos de abajo</t>
  </si>
  <si>
    <t>T20-2229</t>
  </si>
  <si>
    <t>POS - No se muestra modal de entregar cambio al cliente al "Cerrar venta"</t>
  </si>
  <si>
    <t>T20-2228</t>
  </si>
  <si>
    <t>BOT_Falta visualización del toast de confirmación al registrar un gasto</t>
  </si>
  <si>
    <t>T20-2204</t>
  </si>
  <si>
    <t xml:space="preserve">POS - Cerrar modal de Fondeo Inicial bloquea todo el POS teniendo que forzar cierre </t>
  </si>
  <si>
    <t>Confirmar-Inicio-De-Turno</t>
  </si>
  <si>
    <t>QA-IntegraciónV0.10</t>
  </si>
  <si>
    <t>T20-2203</t>
  </si>
  <si>
    <t>BOT_Panel "POS" mantiene información cuando el POS está cerrado.</t>
  </si>
  <si>
    <t>T20-2202</t>
  </si>
  <si>
    <t>BOT_Errores en modal “Cierre de Turno”</t>
  </si>
  <si>
    <t>T20-2194</t>
  </si>
  <si>
    <t>POS - Sin tener Turno iniciado, se permite buscar artículos, iniciar devolución, abrir modales, etc.</t>
  </si>
  <si>
    <t>T20-2183</t>
  </si>
  <si>
    <t>POS / BOT - Inicio de sesión pide "Usuario" y no reconoce el correo electrónico</t>
  </si>
  <si>
    <t>T20-2182</t>
  </si>
  <si>
    <t>BOT: Estado de apertura/cierre de turno de un POS no se actualiza</t>
  </si>
  <si>
    <t>v0.10.1</t>
  </si>
  <si>
    <t>T20-2177</t>
  </si>
  <si>
    <t>POS - Header - Hora del inicio del turno no se actualiza</t>
  </si>
  <si>
    <t>T20-2175</t>
  </si>
  <si>
    <t>BOT - Menús desplegables no coinciden con Figma</t>
  </si>
  <si>
    <t>T20-2173</t>
  </si>
  <si>
    <t>POS - Cancelar - Cancelar artículo no funciona</t>
  </si>
  <si>
    <t>T20-2169</t>
  </si>
  <si>
    <t>POS - Modal de pago con tarjeta Rechazado se visualiza de manera incorrecto</t>
  </si>
  <si>
    <t>T20-2168</t>
  </si>
  <si>
    <t>BOT - Se puede hacer "n" veces un cierre de día en el BOT.</t>
  </si>
  <si>
    <t>T20-2165</t>
  </si>
  <si>
    <t>BOT- Después de iniciar día no se visualiza el dashboard principal</t>
  </si>
  <si>
    <t>T20-2122</t>
  </si>
  <si>
    <t>BOT - Botones comunes muestran texto en inglés en varias funcionalidades del sistema BOT</t>
  </si>
  <si>
    <t>Bugs-Idioma</t>
  </si>
  <si>
    <t>QA-IntegraciónV0.9</t>
  </si>
  <si>
    <t>T20-2117</t>
  </si>
  <si>
    <t>POS - Modal Cerrar venta botones en inglés</t>
  </si>
  <si>
    <t>T20-2094</t>
  </si>
  <si>
    <t>Diferencias en tickets de venta - TC/Efectivo y Pago Mix</t>
  </si>
  <si>
    <t>T20-2093</t>
  </si>
  <si>
    <t>BOT - Panel Productos no se actualiza</t>
  </si>
  <si>
    <t>Bug_Devuelto_v0.10.1</t>
  </si>
  <si>
    <t>T20-2089</t>
  </si>
  <si>
    <t>POS - Pantalla principal - Info en inglés</t>
  </si>
  <si>
    <t>T20-2088</t>
  </si>
  <si>
    <t>POS - Checar precio - Info en Inglés</t>
  </si>
  <si>
    <t>T20-2066</t>
  </si>
  <si>
    <t>BOT - Modal pie de camión en inglés</t>
  </si>
  <si>
    <t>T20-1994</t>
  </si>
  <si>
    <t>BOT - Ctrl+N - No cierra sesión</t>
  </si>
  <si>
    <t>T20-1993</t>
  </si>
  <si>
    <t>POS_Evento POS_Pago con Tarjeta de débito llega a Iothub sin tipo de pago</t>
  </si>
  <si>
    <t>QA-IntegraciónV0.8</t>
  </si>
  <si>
    <t>v0.8</t>
  </si>
  <si>
    <t>T20-1992</t>
  </si>
  <si>
    <t xml:space="preserve">POS_Evento POS_Pago con Efectivo llega a Iothub sin tipo de pago </t>
  </si>
  <si>
    <t>T20-1981</t>
  </si>
  <si>
    <t>BOT - Error en modal "Entrada a Pie de camión"</t>
  </si>
  <si>
    <t>T20-1976</t>
  </si>
  <si>
    <t>BOT - Productos - Columnas sin filtros</t>
  </si>
  <si>
    <t>T20-1973</t>
  </si>
  <si>
    <t>BOT - Dashboard Efectivo - Error en Panel Movimientos</t>
  </si>
  <si>
    <t>T20-1970</t>
  </si>
  <si>
    <t>BOT_No se muestra el modal al seleccionar “Bloqueo de sesión”</t>
  </si>
  <si>
    <t>T20 Sprint 20 2025</t>
  </si>
  <si>
    <t>T20-1967</t>
  </si>
  <si>
    <t>POS - Errores modal Tiempo Aire (parte 1)</t>
  </si>
  <si>
    <t>T20-1966</t>
  </si>
  <si>
    <t>POS - Shortcut F10 Pago de Tiempo Aire no funciona</t>
  </si>
  <si>
    <t>T20-1963</t>
  </si>
  <si>
    <t>POS - Servicios - Error en modal Pago de Servicios</t>
  </si>
  <si>
    <t>T20-1950</t>
  </si>
  <si>
    <t>BOT - Registrar merma - Errores en columnas</t>
  </si>
  <si>
    <t>T20-1947</t>
  </si>
  <si>
    <t>POS - BOT - Al seleccionar botones de la izquierda, se dehabilitan las funcionalidades seleccionadas y no se pueden volver a seleccionar.</t>
  </si>
  <si>
    <t>v0.10</t>
  </si>
  <si>
    <t>T20-1946</t>
  </si>
  <si>
    <t>POS - Errores en módulo "Devolución"</t>
  </si>
  <si>
    <t>Bug_Devuelto_v0.10</t>
  </si>
  <si>
    <t>T20-1944</t>
  </si>
  <si>
    <t>POS - Menú BBB con opciones erradas</t>
  </si>
  <si>
    <t>T20-1943</t>
  </si>
  <si>
    <t>POS - No figura opción "Cerrar Turno y Cerrar Sesión"</t>
  </si>
  <si>
    <t>T20-1930</t>
  </si>
  <si>
    <t>POS - Login con usuario inválido no permite corregir.</t>
  </si>
  <si>
    <t>T20-1927</t>
  </si>
  <si>
    <t>BOT - Modal inventario no se visualiza</t>
  </si>
  <si>
    <t>T20-1924</t>
  </si>
  <si>
    <t>BOT_Evento BOT_Logout llega a Iothub con datos incorrectos</t>
  </si>
  <si>
    <t>T20-1915</t>
  </si>
  <si>
    <t>BOT - Aceptar mensaje entrante falla, se debe de forzar el cierre.</t>
  </si>
  <si>
    <t>T20-1800</t>
  </si>
  <si>
    <t>BOT - Toast de "transferencia de productos" reaparece al seleccionar otros productos</t>
  </si>
  <si>
    <t>QA-IntegraciónV0.7</t>
  </si>
  <si>
    <t>T20-1797</t>
  </si>
  <si>
    <t>POS -  opción "Realizar alivio"  abre modal de  "Cerrar Turno"</t>
  </si>
  <si>
    <t>T20 Sprint 19 2025</t>
  </si>
  <si>
    <t>T20-1794</t>
  </si>
  <si>
    <t>POS - Confirmar Realizar alivio falla</t>
  </si>
  <si>
    <t>T20-1791</t>
  </si>
  <si>
    <t>POS - No coincide el boton "Aceptar" versión de la aplicación VS Figma</t>
  </si>
  <si>
    <t>QA-EquipoMV0.7</t>
  </si>
  <si>
    <t>Josue Jesus Espindola Velasco</t>
  </si>
  <si>
    <t>v0.7</t>
  </si>
  <si>
    <t>T20-1755</t>
  </si>
  <si>
    <t>POS_Solicitud fondeo adicional - No se visualiza evento</t>
  </si>
  <si>
    <t>T20-1754</t>
  </si>
  <si>
    <t>POS_Realizar alivio - No se visualiza evento</t>
  </si>
  <si>
    <t>T20-1753</t>
  </si>
  <si>
    <t xml:space="preserve">BOT - No apareció el botón de Inicio de Día después de hacer log in </t>
  </si>
  <si>
    <t>Daniela Rodríguez</t>
  </si>
  <si>
    <t>T20-1752</t>
  </si>
  <si>
    <t xml:space="preserve">BOT – Confirmar fondeo adicional - No se visualiza evento </t>
  </si>
  <si>
    <t>Confirmar-Fondeo-Adicional</t>
  </si>
  <si>
    <t>T20-1751</t>
  </si>
  <si>
    <t>BOT - Imagen de Inicio de sesión no concuerda para BOT</t>
  </si>
  <si>
    <t>T20-1750</t>
  </si>
  <si>
    <t>BOT - Inputs de log in no muestran el label de Usuario y contraseña</t>
  </si>
  <si>
    <t>Bug_Devuelto_v0.8</t>
  </si>
  <si>
    <t>T20-1749</t>
  </si>
  <si>
    <t>POS - El campo buscador y botón cancelar no coincide con el FIGMA</t>
  </si>
  <si>
    <t>T20-1722</t>
  </si>
  <si>
    <t xml:space="preserve">POS - Texto de Botón incorrecto </t>
  </si>
  <si>
    <t>Rocio Gallegos</t>
  </si>
  <si>
    <t>T20-1721</t>
  </si>
  <si>
    <t>POS - Las credenciales aparecen pre-cargadas</t>
  </si>
  <si>
    <t>T20-1685</t>
  </si>
  <si>
    <t>POS - Nombre incorrecto de modal "Cerrar Venta"</t>
  </si>
  <si>
    <t>Roberto Gomez Hernandez</t>
  </si>
  <si>
    <t>T20-1684</t>
  </si>
  <si>
    <t>BOT_Registro de gasto - No se visualiza evento en Iothub</t>
  </si>
  <si>
    <t>T20-1675</t>
  </si>
  <si>
    <t>BOT - Toast de Transferencia de productos reaparece al seleccionar otros productos</t>
  </si>
  <si>
    <t>T20-1599</t>
  </si>
  <si>
    <t>BOT - Tipo de gasto no se despliega correctamente ni coincide</t>
  </si>
  <si>
    <t>T20-1598</t>
  </si>
  <si>
    <t>BOT - Registrar gastos no registra el valor ingresado</t>
  </si>
  <si>
    <t>T20-1596</t>
  </si>
  <si>
    <t>BOT - Dashboard no refleja valores en modal "Efectivo"</t>
  </si>
  <si>
    <t>T20-1591</t>
  </si>
  <si>
    <t>BOT - No se muestran mensajes entrantes</t>
  </si>
  <si>
    <t>T20-1585</t>
  </si>
  <si>
    <t>POS - Artículo buscado permanece fijo en la barra de búsqueda</t>
  </si>
  <si>
    <t>T20-1533</t>
  </si>
  <si>
    <t>POS - El error se origina en el evento POS_Login capturado en OITHUB, y se mantiene en RowData y Cosmos, afectando la consistencia de la información.</t>
  </si>
  <si>
    <t>T20 Sprint 18 2025</t>
  </si>
  <si>
    <t>doc_ludo</t>
  </si>
  <si>
    <t>QA-IntegraciónV0.6</t>
  </si>
  <si>
    <t>v0.5</t>
  </si>
  <si>
    <t>v0.6</t>
  </si>
  <si>
    <t>T20-1508</t>
  </si>
  <si>
    <t>POS_INICIO DE TURNO - No se visualiza evento</t>
  </si>
  <si>
    <t>T20-1506</t>
  </si>
  <si>
    <t>T20-1497</t>
  </si>
  <si>
    <t>BOT_End Store-Day - No se visualiza evento</t>
  </si>
  <si>
    <t>T20-1496</t>
  </si>
  <si>
    <t>POS Close Shift - No se visualiza evento</t>
  </si>
  <si>
    <t>T20-1495</t>
  </si>
  <si>
    <t xml:space="preserve">POS – Logout - No se visualiza evento </t>
  </si>
  <si>
    <t>T20-1494</t>
  </si>
  <si>
    <t xml:space="preserve">BOT – Logout - No se visualiza evento </t>
  </si>
  <si>
    <t>T20-1471</t>
  </si>
  <si>
    <t>BOT - Error en tabla de Productos - Nombre de columnas no son legibles</t>
  </si>
  <si>
    <t>T20-1469</t>
  </si>
  <si>
    <t>POS - Checar precio se cierra fuera del modal</t>
  </si>
  <si>
    <t>T20-1465</t>
  </si>
  <si>
    <t xml:space="preserve">BOT - Pantalla Efectivo muestra otras opciones </t>
  </si>
  <si>
    <t>T20-1453</t>
  </si>
  <si>
    <t>POS - Se puede bloquear sesión (Ctrl X) Sin haber iniciado sesión</t>
  </si>
  <si>
    <t>T20-1451</t>
  </si>
  <si>
    <t>BOT - Error en el menú desplegable desde el nombre de usuario</t>
  </si>
  <si>
    <t>T20-1450</t>
  </si>
  <si>
    <t>BOT - Falta info en modal "Cierre de turno"</t>
  </si>
  <si>
    <t>T20-1431</t>
  </si>
  <si>
    <t>BOT - La fecha de inicio de día esta "hardcodeada"</t>
  </si>
  <si>
    <t>QA-SmokeV0.6</t>
  </si>
  <si>
    <t>T20-1430</t>
  </si>
  <si>
    <t>BOT - No hay funcionalidad de cierre de día</t>
  </si>
  <si>
    <t>QA</t>
  </si>
  <si>
    <t>T20-1429</t>
  </si>
  <si>
    <t>BOT - Se ve dos veces el botón "Cierre de día"</t>
  </si>
  <si>
    <t>T20-1428</t>
  </si>
  <si>
    <t>BOT - Error en botón "Aceptar" Cierre de día</t>
  </si>
  <si>
    <t>T20-1418</t>
  </si>
  <si>
    <t xml:space="preserve">POS - No se visualiza evento: POS_Close_Shift </t>
  </si>
  <si>
    <t>T20-1417</t>
  </si>
  <si>
    <t>POS - En el evento POS_SALES_TICKET viene siempre como user: alejandra.ortega@t3b.com</t>
  </si>
  <si>
    <t>T20-1415</t>
  </si>
  <si>
    <t>POS - Botones habilitados con pantalla vacía</t>
  </si>
  <si>
    <t>T20-1414</t>
  </si>
  <si>
    <t>POS - Cancelar art - No se deben de cerrar las ventanas emergentes si se da clic fuera de ellas.</t>
  </si>
  <si>
    <t>T20-1413</t>
  </si>
  <si>
    <t>POS - Modal "Cancelar artículos" abre con credenciales cargadas</t>
  </si>
  <si>
    <t>T20-1411</t>
  </si>
  <si>
    <t>POS - El botón "Iniciar Sesión" no se habilita después de que sale un error y este fue corregido.</t>
  </si>
  <si>
    <t>T20-1410</t>
  </si>
  <si>
    <t>POS - Modal de Pago Mix - Cerrar venta - tiene diferencias contra el  diseño propuesto</t>
  </si>
  <si>
    <t>Pago-Mix</t>
  </si>
  <si>
    <t>T20-1406</t>
  </si>
  <si>
    <t>POS - El evento no trae el valor de "pos_id"</t>
  </si>
  <si>
    <t>T20-1389</t>
  </si>
  <si>
    <t>POS - Fondo de caja - Aceptar en lugar de Confirmar</t>
  </si>
  <si>
    <t>Fondeo-Inicial</t>
  </si>
  <si>
    <t>T20-1388</t>
  </si>
  <si>
    <t>POS - Error en el modal de Sesión Bloqueada</t>
  </si>
  <si>
    <t>T20-1387</t>
  </si>
  <si>
    <t>POS - Error de idoma - Cancel Art</t>
  </si>
  <si>
    <t>T20-1316</t>
  </si>
  <si>
    <t>BOT - Error en tablero de Merma</t>
  </si>
  <si>
    <t>T20 Sprint 17 2025</t>
  </si>
  <si>
    <t>QA-IntegraciónV0.6i</t>
  </si>
  <si>
    <t>T20-1310</t>
  </si>
  <si>
    <t>POS - Ctrl X no bloquea sesión</t>
  </si>
  <si>
    <t>T20-1300</t>
  </si>
  <si>
    <t>POS - Aparece la pantalla de Devolución sin seleccionar un producto y por default se coloca "pasta dental" para devolución</t>
  </si>
  <si>
    <t>QA-SmokeV0.6i</t>
  </si>
  <si>
    <t>T20-1298</t>
  </si>
  <si>
    <t>POS - Error en cálculo de Total - Cancelar Artículo</t>
  </si>
  <si>
    <t>T20-1296</t>
  </si>
  <si>
    <t xml:space="preserve">POS - F5 abre Checar precio </t>
  </si>
  <si>
    <t>Checar-Precio</t>
  </si>
  <si>
    <t>T20-1294</t>
  </si>
  <si>
    <t xml:space="preserve">POS - No funciona tecla (Esc) </t>
  </si>
  <si>
    <t>T20-1289</t>
  </si>
  <si>
    <t>BOT - Monto de Fondeo adicional viene con un formato incorrecto.</t>
  </si>
  <si>
    <t>T20-1287</t>
  </si>
  <si>
    <t>BOT - Error gramatical en toast de Alivio y Toast se queda de manera indefinida.</t>
  </si>
  <si>
    <t>Confirmar-Alivio</t>
  </si>
  <si>
    <t>T20-1286</t>
  </si>
  <si>
    <t>BOT - Toast de confirmación de fondeo inicial/adicional no desaparece.</t>
  </si>
  <si>
    <t>T20-1266</t>
  </si>
  <si>
    <t>BOT - Evento Json no se puede probar aun</t>
  </si>
  <si>
    <t>QA-IntegraciónV0.5</t>
  </si>
  <si>
    <t>T20-1265</t>
  </si>
  <si>
    <t>BOT - Salir/Cerrar Sesion</t>
  </si>
  <si>
    <t>T20-1263</t>
  </si>
  <si>
    <t>POS - Error en modal Pago de servicio - Catálogo</t>
  </si>
  <si>
    <t>T20-1260</t>
  </si>
  <si>
    <t>POS - Error en modal Pago de servicio referenciado</t>
  </si>
  <si>
    <t>T20-1249</t>
  </si>
  <si>
    <t>BOT - El toast se queda de manera indefinida y tapa la funcionalidad de Merma</t>
  </si>
  <si>
    <t>QA-SmokeV0.5</t>
  </si>
  <si>
    <t>T20-1248</t>
  </si>
  <si>
    <t>POS - No se puede ingresar el monto del alivio</t>
  </si>
  <si>
    <t>T20-1247</t>
  </si>
  <si>
    <t>POS - Shortcut Ctrl+N no cierra sesión.</t>
  </si>
  <si>
    <t>T20-1226</t>
  </si>
  <si>
    <t>BOT - El toast de Cierre de día permanece en la pantalla de manera indefinida.</t>
  </si>
  <si>
    <t>T20-1222</t>
  </si>
  <si>
    <t>POS - Error de idioma en modal "Sesión Bloqueada"</t>
  </si>
  <si>
    <t>T20-1217</t>
  </si>
  <si>
    <t>POS - Error en modal Cerrar Venta - Tarjeta Bono</t>
  </si>
  <si>
    <t>T20-1085</t>
  </si>
  <si>
    <t>POS - Error de idioma en botones en modal Cerrar Venta</t>
  </si>
  <si>
    <t>QA-IntegraciónV0.5i</t>
  </si>
  <si>
    <t>Tested_In_DEV</t>
  </si>
  <si>
    <t>T20-1084</t>
  </si>
  <si>
    <t xml:space="preserve">POS - Error de idioma en "Cancelar" en Modal Pago directo electrónico </t>
  </si>
  <si>
    <t>T20-1083</t>
  </si>
  <si>
    <t>POS - No se vacía la pantalla al cancelar venta</t>
  </si>
  <si>
    <t>T20 Sprint 16 2025</t>
  </si>
  <si>
    <t>T20-1082</t>
  </si>
  <si>
    <t xml:space="preserve">POS - No se cancela Venta con shortcut </t>
  </si>
  <si>
    <t>T20-1079</t>
  </si>
  <si>
    <t>POS - No funciona tecla "Enter" para agregar producto después de la búsqueda.</t>
  </si>
  <si>
    <t>QA-SmokeV0.5i</t>
  </si>
  <si>
    <t>T20-1078</t>
  </si>
  <si>
    <t>POS - No funciona la opción Ctrl + B</t>
  </si>
  <si>
    <t>T20-1075</t>
  </si>
  <si>
    <t>POS - Botón dice "Cancelar" en lugar de "Salir"</t>
  </si>
  <si>
    <t>T20-1070</t>
  </si>
  <si>
    <t>POS - No funciona el shortcut F4</t>
  </si>
  <si>
    <t>T20-1069</t>
  </si>
  <si>
    <t>POS - La ventana emergente no muestra los campos según el diseño</t>
  </si>
  <si>
    <t>T20-1068</t>
  </si>
  <si>
    <t>POS - Inconsistencia con los campos y datos mostrados dentro de la pantalla principal de POS</t>
  </si>
  <si>
    <t>T20-1051</t>
  </si>
  <si>
    <t>BOT - Error en Pie de camión</t>
  </si>
  <si>
    <t>QA-IntegraciónV0.4</t>
  </si>
  <si>
    <t>T20-1048</t>
  </si>
  <si>
    <t>BOT - Error en Modal Alivio</t>
  </si>
  <si>
    <t>T20-1039</t>
  </si>
  <si>
    <t xml:space="preserve">POS - Error de idioma en botones </t>
  </si>
  <si>
    <t>T20-1036</t>
  </si>
  <si>
    <t>BOT - Error en botones Cancelar/Aceptar modal Fondeo Inicial</t>
  </si>
  <si>
    <t>T20-1035</t>
  </si>
  <si>
    <t xml:space="preserve">POS - Error al cerrar turno </t>
  </si>
  <si>
    <t>T20-1029</t>
  </si>
  <si>
    <t>POS - Error en Venta Artículo. No se completa.</t>
  </si>
  <si>
    <t>T20-1023</t>
  </si>
  <si>
    <t>POS - Error en texto de pantalla "Validar Cancelación"</t>
  </si>
  <si>
    <t>T20-958</t>
  </si>
  <si>
    <t>BOT - Se valida el usuario con Entra ID</t>
  </si>
  <si>
    <t>QA-SmokeV0.4</t>
  </si>
  <si>
    <t>T20-957</t>
  </si>
  <si>
    <t>POS - Inicio de turno: corregir pantallas de monto de fondeo inicial</t>
  </si>
  <si>
    <t>T20-956</t>
  </si>
  <si>
    <t>POS - Cierre de turno: permite ingresar monto para último alivio</t>
  </si>
  <si>
    <t>T20-955</t>
  </si>
  <si>
    <t>POS - Cierre de turno: autenticación del encargado de turno</t>
  </si>
  <si>
    <t>T20-954</t>
  </si>
  <si>
    <t>BOT - Toast de confirmación de cierre de día aparece con un folio [XXX] para todas las transacciones</t>
  </si>
  <si>
    <t>T20-951</t>
  </si>
  <si>
    <t>POS - Generar evento de devolución (= ticket) (blocked)</t>
  </si>
  <si>
    <t>Integración</t>
  </si>
  <si>
    <t>T20-949</t>
  </si>
  <si>
    <t>BOT  - Validar una declaración de merma: guardar en DB + generar evento</t>
  </si>
  <si>
    <t>T20-948</t>
  </si>
  <si>
    <t>BOT  - Ingresar cantidad a mermar</t>
  </si>
  <si>
    <t>T20-947</t>
  </si>
  <si>
    <t>BOT - Dropdown de motivo de merma</t>
  </si>
  <si>
    <t>T20-945</t>
  </si>
  <si>
    <t>POS - Buscar y agregar producto</t>
  </si>
  <si>
    <t>T20-943</t>
  </si>
  <si>
    <t>POS - Eliminar articulo de venta: corrección del flujo</t>
  </si>
  <si>
    <t>T20-942</t>
  </si>
  <si>
    <t>POS - Indicar el cambio a dar al cliente cuando paga con efectivo</t>
  </si>
  <si>
    <t>T20-940</t>
  </si>
  <si>
    <t>POS - Shortcuts ya no funcionan en flujo de pago</t>
  </si>
  <si>
    <t>T20-939</t>
  </si>
  <si>
    <t>POS - Shortcuts invertidos para opciones de pago</t>
  </si>
  <si>
    <t>T20-937</t>
  </si>
  <si>
    <t>POS- Los modals de autenticación validan las credenciales</t>
  </si>
  <si>
    <t>T20-936</t>
  </si>
  <si>
    <t>POS - No se pueden realizar multiples devoluciones</t>
  </si>
  <si>
    <t>T20-935</t>
  </si>
  <si>
    <t>POS - El shortcut F7 inicia el flujo de devoluciones</t>
  </si>
  <si>
    <t>T20-933</t>
  </si>
  <si>
    <t>POS - Shortcut F9 inicia flujo de pago de servicio</t>
  </si>
  <si>
    <t>T20-931</t>
  </si>
  <si>
    <t xml:space="preserve">POS - Tamaño de los modals de autenticación </t>
  </si>
  <si>
    <t>T20-930</t>
  </si>
  <si>
    <t>POS - Cierre de turno: se cierra y se termina el cierre de turno al dar clic en el botón "Aceptar"</t>
  </si>
  <si>
    <t>T20-929</t>
  </si>
  <si>
    <t>POS - Cierre de turno: con shortcut F11</t>
  </si>
  <si>
    <t>T20-927</t>
  </si>
  <si>
    <t>POS - Inicio de turno con shortcut CTRL-A</t>
  </si>
  <si>
    <t>T20-926</t>
  </si>
  <si>
    <t>POS - El formato de fecha en el header del POS es DD/MM/YYYY</t>
  </si>
  <si>
    <t>T20-924</t>
  </si>
  <si>
    <t>POS -  Inicio+Cierre de turno: correcciones en el flujo</t>
  </si>
  <si>
    <t>T20-920</t>
  </si>
  <si>
    <t>POS - Escanear producto</t>
  </si>
  <si>
    <t>T20-916</t>
  </si>
  <si>
    <t>POS - Login BOT+POS: no se muestra el nombre del usuario conectado</t>
  </si>
  <si>
    <t>T20-882</t>
  </si>
  <si>
    <t xml:space="preserve">BOT - [B+P] Navegación y menús: correcciones </t>
  </si>
  <si>
    <t>T20-879</t>
  </si>
  <si>
    <t>BOT - Inicio de día: correcciones en el flujo</t>
  </si>
  <si>
    <t>T20 Sprint 15 2025</t>
  </si>
  <si>
    <t>https://tiendas3b.atlassian.net/browse/T20-3045</t>
  </si>
  <si>
    <t>Revisar con Yubbis</t>
  </si>
  <si>
    <t>https://tiendas3b.atlassian.net/browse/T20-3173</t>
  </si>
  <si>
    <t>Cerrado</t>
  </si>
  <si>
    <t>https://tiendas3b.atlassian.net/browse/T20-947</t>
  </si>
  <si>
    <t>Regreso</t>
  </si>
  <si>
    <t>https://tiendas3b.atlassian.net/browse/T20-3630</t>
  </si>
  <si>
    <t>https://tiendas3b.atlassian.net/browse/T20-3628</t>
  </si>
  <si>
    <t>https://tiendas3b.atlassian.net/browse/T20-3629</t>
  </si>
  <si>
    <t>https://tiendas3b.atlassian.net/browse/T20-3507</t>
  </si>
  <si>
    <t>Pendiente</t>
  </si>
  <si>
    <t>https://tiendas3b.atlassian.net/browse/T20-2243</t>
  </si>
  <si>
    <t>https://tiendas3b.atlassian.net/browse/T20-3663</t>
  </si>
  <si>
    <t>https://tiendas3b.atlassian.net/browse/T20-3746</t>
  </si>
  <si>
    <t>https://tiendas3b.atlassian.net/browse/T20-3098</t>
  </si>
  <si>
    <t>https://tiendas3b.atlassian.net/browse/T20-3581</t>
  </si>
  <si>
    <t>Principal</t>
  </si>
  <si>
    <t>Clave principal</t>
  </si>
  <si>
    <t>Parent summary</t>
  </si>
  <si>
    <t>Sprint_1</t>
  </si>
  <si>
    <t>Sprint_2</t>
  </si>
  <si>
    <t>Sprint_3</t>
  </si>
  <si>
    <t>Sprint_4</t>
  </si>
  <si>
    <t>Sprint_5</t>
  </si>
  <si>
    <t>Etiquetas_5</t>
  </si>
  <si>
    <t>Etiquetas_6</t>
  </si>
  <si>
    <t>Etiquetas_7</t>
  </si>
  <si>
    <t>Etiquetas_8</t>
  </si>
  <si>
    <t>Etiquetas_9</t>
  </si>
  <si>
    <t>Etiquetas_10</t>
  </si>
  <si>
    <t>Versiones corregidas_13</t>
  </si>
  <si>
    <t>Versiones corregidas_14</t>
  </si>
  <si>
    <t>T20-1091</t>
  </si>
  <si>
    <t xml:space="preserve">4.- QA </t>
  </si>
  <si>
    <t>Backlog BUGS</t>
  </si>
  <si>
    <t>BOT - Modal de confirmación de cierre de día no aparece</t>
  </si>
  <si>
    <t>T20-953</t>
  </si>
  <si>
    <t>BOT -  Inicio+Cierre de día: correcciones en el flujo</t>
  </si>
  <si>
    <t>T20-623</t>
  </si>
  <si>
    <t>3.-Desarrollo POS/BOT /CDM</t>
  </si>
  <si>
    <t xml:space="preserve">POS - Errores modal Tiempo Aire </t>
  </si>
  <si>
    <t>POS - Shortcut F10 no funciona</t>
  </si>
  <si>
    <t> </t>
  </si>
  <si>
    <t>BOT - Toast de "trasnsferencia de productos" reaparece al seleccionar otros productos</t>
  </si>
  <si>
    <t>POS - Nombre incorrecto de modal</t>
  </si>
  <si>
    <t>N/A</t>
  </si>
  <si>
    <t>BOT - Error en en menú desplegable desde el nombre de usuario</t>
  </si>
  <si>
    <t>POS - No se deben de cerrar las ventanas emergentes si se da clic fuera de ellas.</t>
  </si>
  <si>
    <t>TOTAL</t>
  </si>
  <si>
    <t>Cuenta de Estado</t>
  </si>
  <si>
    <t>Etiquetas de columna</t>
  </si>
  <si>
    <t>Etiquetas de fila</t>
  </si>
  <si>
    <t>Total</t>
  </si>
  <si>
    <t>CERRADOS</t>
  </si>
  <si>
    <t>PENDIENTES POR RESOLVER</t>
  </si>
  <si>
    <t>Reporte por DESARROLLADOR</t>
  </si>
  <si>
    <t>Bugs  por</t>
  </si>
  <si>
    <t>(en blanco)</t>
  </si>
  <si>
    <t>Trabajando....</t>
  </si>
  <si>
    <t xml:space="preserve">Bugs por </t>
  </si>
  <si>
    <t>Incidentes Totales X Estatus X Sprint</t>
  </si>
  <si>
    <t>Casos de Prueba Ejecutados</t>
  </si>
  <si>
    <t>Casos de prueba Pendientes</t>
  </si>
  <si>
    <t>BUGS     X</t>
  </si>
  <si>
    <t>ESTADO</t>
  </si>
  <si>
    <t>Sprint 16</t>
  </si>
  <si>
    <t>SPRINT</t>
  </si>
  <si>
    <t xml:space="preserve">Total </t>
  </si>
  <si>
    <t>Sprint 17</t>
  </si>
  <si>
    <t>Sprint 18</t>
  </si>
  <si>
    <t>Sprint 19</t>
  </si>
  <si>
    <t>Sprint 20</t>
  </si>
  <si>
    <t>*</t>
  </si>
  <si>
    <t>Sprint 21</t>
  </si>
  <si>
    <t>Sprint 22</t>
  </si>
  <si>
    <t>Sprint 23</t>
  </si>
  <si>
    <t>Sprint 24</t>
  </si>
  <si>
    <t>Reporte por Módulo: POS, BOT, CDM</t>
  </si>
  <si>
    <t>Bugs</t>
  </si>
  <si>
    <t xml:space="preserve">BUGS X </t>
  </si>
  <si>
    <t>Recuento de Funcionalidad</t>
  </si>
  <si>
    <t>Cancelar-Venta</t>
  </si>
  <si>
    <t>Catálogo-De-Productos-Sin-Código</t>
  </si>
  <si>
    <t>Registro-De-Gastos</t>
  </si>
  <si>
    <t>No encontrado</t>
  </si>
  <si>
    <t>CP Fallados</t>
  </si>
  <si>
    <t>CP Bloqueados</t>
  </si>
  <si>
    <t>CP Pendientes</t>
  </si>
  <si>
    <t>Total de CP ejecutados</t>
  </si>
  <si>
    <t xml:space="preserve">Bugs x </t>
  </si>
  <si>
    <t>Estatus</t>
  </si>
  <si>
    <t>Environment</t>
  </si>
  <si>
    <t>Test Plan</t>
  </si>
  <si>
    <t>4-12 Agosto</t>
  </si>
  <si>
    <t>DEV</t>
  </si>
  <si>
    <t>11-14 Agosto</t>
  </si>
  <si>
    <t>intermedia</t>
  </si>
  <si>
    <t>18-22 Agosto</t>
  </si>
  <si>
    <t>26-29 Agosto</t>
  </si>
  <si>
    <t>1-12 Sept</t>
  </si>
  <si>
    <t>SIT</t>
  </si>
  <si>
    <t>q</t>
  </si>
  <si>
    <t>15-26 -Sept</t>
  </si>
  <si>
    <t>1612,1536,1498</t>
  </si>
  <si>
    <t>QA-SmokeV0.7</t>
  </si>
  <si>
    <t>29 - 13 - Oct</t>
  </si>
  <si>
    <t>QA-SmokeV0.8</t>
  </si>
  <si>
    <t>14-21-oCT</t>
  </si>
  <si>
    <t>QA-SmokeV0.9</t>
  </si>
  <si>
    <t>Verificacion Bugs</t>
  </si>
  <si>
    <t>Regresion para UAT - Bloque 1</t>
  </si>
  <si>
    <t>Todos los bugs que fueron detectados en UAT - Solo nuevos bugs</t>
  </si>
  <si>
    <t>10-20 Nov</t>
  </si>
  <si>
    <t>Verificacion Funcionalidades Bloque 1 y 2</t>
  </si>
  <si>
    <t>21-27 Nov</t>
  </si>
  <si>
    <t>28 Nov - 11 Dic</t>
  </si>
  <si>
    <t>Empezaron regresión 10 Dic y finalizaron 11 Dic</t>
  </si>
  <si>
    <t>V0.16</t>
  </si>
  <si>
    <t>QA-IntegraciónV0.16</t>
  </si>
  <si>
    <t>Funcionalidades</t>
  </si>
  <si>
    <t>Alivios-Manuales</t>
  </si>
  <si>
    <t>Confirmar-Fondeo</t>
  </si>
  <si>
    <t>Confirmal-Alivio</t>
  </si>
  <si>
    <t>Login-Offline</t>
  </si>
  <si>
    <t>Roles-Y-Permisos</t>
  </si>
  <si>
    <t>Consulta-Última-Transacción-SANTANDER</t>
  </si>
  <si>
    <t>Pago-Con-Tarjeta-De-Regalo/Bono</t>
  </si>
  <si>
    <t>Registro-Merma-Peso-Variable</t>
  </si>
  <si>
    <t>Transferencia-Peso-Variable</t>
  </si>
  <si>
    <t>Kardex</t>
  </si>
  <si>
    <t>Reporte-De-Ventas</t>
  </si>
  <si>
    <t>Reporte-De-Efectivo</t>
  </si>
  <si>
    <t>Consultas-De-Folios</t>
  </si>
  <si>
    <t>Consultas-De-Gasto</t>
  </si>
  <si>
    <t>Categorías</t>
  </si>
  <si>
    <t>Eventos_Cosmos</t>
  </si>
  <si>
    <t>Reporte por VERSIÓN/SPRINT</t>
  </si>
  <si>
    <t>TOTAL DE BUGS ENCONTRADOS POR SPRINT</t>
  </si>
  <si>
    <r>
      <rPr>
        <b/>
        <sz val="11"/>
        <color theme="1"/>
        <rFont val="Aptos Narrow"/>
        <family val="2"/>
        <scheme val="minor"/>
      </rPr>
      <t>BUGS SOLUCIONADOS POR SPRINT con prioridad</t>
    </r>
    <r>
      <rPr>
        <sz val="11"/>
        <color theme="1"/>
        <rFont val="Aptos Narrow"/>
        <family val="2"/>
        <scheme val="minor"/>
      </rPr>
      <t xml:space="preserve"> - Estos son los bugs que se han ido cerrando en cada sprint, es decir se solucionaron 11 Bugs en el sprint 17, 20 en el sprint 18, etc.</t>
    </r>
  </si>
  <si>
    <t>BUGS PENDIENTES POR SPRINT con su prioridad</t>
  </si>
  <si>
    <t>Bugs X Sprint - Pendientes</t>
  </si>
  <si>
    <t>Cuenta de Prioridad</t>
  </si>
  <si>
    <t>V0</t>
  </si>
  <si>
    <t>V0.1</t>
  </si>
  <si>
    <t>V0.16 Total</t>
  </si>
  <si>
    <t>Suma de Campo3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</si>
</sst>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92A2E"/>
      <name val="Atlassian Sans"/>
      <charset val="1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000000"/>
      <name val="Atlassian Sans"/>
      <charset val="1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4141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5B5B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5" fillId="5" borderId="0" xfId="0" applyFont="1" applyFill="1"/>
    <xf numFmtId="0" fontId="6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6" borderId="0" xfId="0" applyFont="1" applyFill="1"/>
    <xf numFmtId="0" fontId="8" fillId="5" borderId="2" xfId="0" applyFont="1" applyFill="1" applyBorder="1"/>
    <xf numFmtId="0" fontId="1" fillId="6" borderId="2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0" fillId="7" borderId="0" xfId="0" applyFill="1"/>
    <xf numFmtId="0" fontId="1" fillId="5" borderId="1" xfId="0" applyFont="1" applyFill="1" applyBorder="1"/>
    <xf numFmtId="0" fontId="0" fillId="8" borderId="0" xfId="0" applyFill="1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14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21" borderId="4" xfId="0" applyFill="1" applyBorder="1"/>
    <xf numFmtId="0" fontId="0" fillId="21" borderId="5" xfId="0" applyFill="1" applyBorder="1"/>
    <xf numFmtId="0" fontId="0" fillId="21" borderId="5" xfId="0" applyFill="1" applyBorder="1" applyAlignment="1">
      <alignment wrapText="1"/>
    </xf>
    <xf numFmtId="0" fontId="15" fillId="0" borderId="0" xfId="0" applyFont="1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6" fillId="5" borderId="0" xfId="0" applyFont="1" applyFill="1"/>
    <xf numFmtId="0" fontId="0" fillId="18" borderId="2" xfId="0" applyFill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0" fillId="22" borderId="2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22" fontId="15" fillId="0" borderId="0" xfId="0" applyNumberFormat="1" applyFont="1"/>
    <xf numFmtId="0" fontId="3" fillId="4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horizontal="left" indent="1"/>
    </xf>
    <xf numFmtId="0" fontId="1" fillId="3" borderId="0" xfId="0" applyFont="1" applyFill="1"/>
    <xf numFmtId="0" fontId="0" fillId="0" borderId="0" xfId="0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26" borderId="10" xfId="0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1" fontId="1" fillId="26" borderId="6" xfId="1" applyNumberFormat="1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7" xfId="0" applyBorder="1"/>
    <xf numFmtId="0" fontId="0" fillId="0" borderId="8" xfId="0" applyBorder="1"/>
    <xf numFmtId="9" fontId="0" fillId="15" borderId="2" xfId="1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2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0" xfId="0" applyFont="1"/>
    <xf numFmtId="0" fontId="12" fillId="0" borderId="2" xfId="0" applyFont="1" applyBorder="1"/>
    <xf numFmtId="0" fontId="0" fillId="0" borderId="17" xfId="0" applyBorder="1" applyAlignment="1">
      <alignment wrapText="1"/>
    </xf>
    <xf numFmtId="0" fontId="15" fillId="0" borderId="2" xfId="0" applyFont="1" applyBorder="1"/>
    <xf numFmtId="0" fontId="2" fillId="0" borderId="3" xfId="0" applyFont="1" applyBorder="1"/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6" xfId="0" applyFont="1" applyBorder="1"/>
    <xf numFmtId="0" fontId="20" fillId="0" borderId="2" xfId="0" applyFont="1" applyBorder="1" applyAlignment="1">
      <alignment wrapText="1"/>
    </xf>
    <xf numFmtId="0" fontId="1" fillId="0" borderId="0" xfId="0" applyFont="1"/>
    <xf numFmtId="0" fontId="1" fillId="26" borderId="2" xfId="0" applyFont="1" applyFill="1" applyBorder="1"/>
    <xf numFmtId="0" fontId="1" fillId="0" borderId="0" xfId="0" applyFont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14" borderId="2" xfId="0" applyFont="1" applyFill="1" applyBorder="1" applyAlignment="1">
      <alignment horizontal="center" vertical="center" wrapText="1"/>
    </xf>
    <xf numFmtId="9" fontId="0" fillId="15" borderId="2" xfId="0" applyNumberForma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9" fontId="10" fillId="18" borderId="2" xfId="1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9" fontId="14" fillId="8" borderId="2" xfId="0" applyNumberFormat="1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 wrapText="1"/>
    </xf>
    <xf numFmtId="0" fontId="10" fillId="17" borderId="19" xfId="0" applyFont="1" applyFill="1" applyBorder="1" applyAlignment="1">
      <alignment horizontal="center" vertical="center" wrapText="1"/>
    </xf>
    <xf numFmtId="0" fontId="10" fillId="19" borderId="19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10" fillId="18" borderId="19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 wrapText="1"/>
    </xf>
    <xf numFmtId="0" fontId="10" fillId="20" borderId="19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16" fontId="0" fillId="7" borderId="2" xfId="0" applyNumberFormat="1" applyFill="1" applyBorder="1" applyAlignment="1">
      <alignment horizontal="center" vertical="center" wrapText="1"/>
    </xf>
    <xf numFmtId="2" fontId="0" fillId="0" borderId="0" xfId="0" applyNumberFormat="1"/>
    <xf numFmtId="0" fontId="0" fillId="15" borderId="2" xfId="0" applyFill="1" applyBorder="1" applyAlignment="1">
      <alignment horizontal="center"/>
    </xf>
    <xf numFmtId="10" fontId="0" fillId="0" borderId="2" xfId="0" applyNumberFormat="1" applyBorder="1"/>
    <xf numFmtId="0" fontId="0" fillId="0" borderId="2" xfId="0" pivotButton="1" applyBorder="1" applyAlignment="1">
      <alignment horizontal="left" vertical="center"/>
    </xf>
    <xf numFmtId="0" fontId="0" fillId="9" borderId="2" xfId="0" applyFill="1" applyBorder="1"/>
    <xf numFmtId="10" fontId="0" fillId="9" borderId="2" xfId="0" applyNumberFormat="1" applyFill="1" applyBorder="1"/>
    <xf numFmtId="0" fontId="0" fillId="23" borderId="2" xfId="0" applyFill="1" applyBorder="1"/>
    <xf numFmtId="10" fontId="0" fillId="23" borderId="2" xfId="0" applyNumberFormat="1" applyFill="1" applyBorder="1"/>
    <xf numFmtId="0" fontId="0" fillId="18" borderId="2" xfId="0" applyFill="1" applyBorder="1"/>
    <xf numFmtId="10" fontId="0" fillId="18" borderId="2" xfId="0" applyNumberFormat="1" applyFill="1" applyBorder="1"/>
    <xf numFmtId="0" fontId="0" fillId="29" borderId="2" xfId="0" applyFill="1" applyBorder="1"/>
    <xf numFmtId="10" fontId="0" fillId="29" borderId="2" xfId="0" applyNumberFormat="1" applyFill="1" applyBorder="1"/>
    <xf numFmtId="0" fontId="0" fillId="0" borderId="3" xfId="0" applyBorder="1" applyAlignment="1">
      <alignment vertical="top" wrapText="1"/>
    </xf>
    <xf numFmtId="0" fontId="0" fillId="0" borderId="2" xfId="0" pivotButton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16" fontId="0" fillId="0" borderId="2" xfId="0" applyNumberFormat="1" applyBorder="1" applyAlignment="1">
      <alignment horizont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" fontId="0" fillId="7" borderId="3" xfId="0" applyNumberFormat="1" applyFill="1" applyBorder="1" applyAlignment="1">
      <alignment horizontal="center" vertical="center" wrapText="1"/>
    </xf>
    <xf numFmtId="0" fontId="17" fillId="0" borderId="2" xfId="0" applyFont="1" applyBorder="1"/>
    <xf numFmtId="0" fontId="0" fillId="0" borderId="3" xfId="0" applyBorder="1" applyAlignment="1">
      <alignment wrapText="1"/>
    </xf>
    <xf numFmtId="0" fontId="18" fillId="0" borderId="0" xfId="0" applyFont="1"/>
    <xf numFmtId="0" fontId="0" fillId="8" borderId="0" xfId="0" applyFill="1" applyAlignment="1">
      <alignment horizontal="center"/>
    </xf>
    <xf numFmtId="0" fontId="1" fillId="5" borderId="0" xfId="0" applyFont="1" applyFill="1"/>
    <xf numFmtId="0" fontId="6" fillId="8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indent="1"/>
    </xf>
    <xf numFmtId="16" fontId="0" fillId="0" borderId="0" xfId="0" applyNumberFormat="1"/>
    <xf numFmtId="0" fontId="1" fillId="30" borderId="2" xfId="0" applyFont="1" applyFill="1" applyBorder="1"/>
    <xf numFmtId="16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64" fontId="10" fillId="15" borderId="21" xfId="0" applyNumberFormat="1" applyFont="1" applyFill="1" applyBorder="1" applyAlignment="1">
      <alignment horizontal="center" vertical="center"/>
    </xf>
    <xf numFmtId="9" fontId="0" fillId="15" borderId="22" xfId="0" applyNumberFormat="1" applyFill="1" applyBorder="1" applyAlignment="1">
      <alignment horizontal="center" vertical="center"/>
    </xf>
    <xf numFmtId="2" fontId="10" fillId="15" borderId="21" xfId="0" applyNumberFormat="1" applyFont="1" applyFill="1" applyBorder="1" applyAlignment="1">
      <alignment horizontal="center" vertical="center"/>
    </xf>
    <xf numFmtId="0" fontId="0" fillId="0" borderId="23" xfId="0" applyBorder="1"/>
    <xf numFmtId="0" fontId="9" fillId="9" borderId="7" xfId="0" applyFont="1" applyFill="1" applyBorder="1" applyAlignment="1">
      <alignment horizontal="center" vertical="center"/>
    </xf>
    <xf numFmtId="9" fontId="10" fillId="18" borderId="7" xfId="1" applyFont="1" applyFill="1" applyBorder="1" applyAlignment="1">
      <alignment horizontal="center" vertical="center" wrapText="1"/>
    </xf>
    <xf numFmtId="0" fontId="10" fillId="16" borderId="7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9" fontId="14" fillId="8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 indent="1"/>
    </xf>
    <xf numFmtId="0" fontId="1" fillId="30" borderId="3" xfId="0" applyFont="1" applyFill="1" applyBorder="1"/>
    <xf numFmtId="0" fontId="0" fillId="0" borderId="16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2" fontId="10" fillId="15" borderId="2" xfId="0" applyNumberFormat="1" applyFont="1" applyFill="1" applyBorder="1" applyAlignment="1">
      <alignment horizontal="center" vertical="center"/>
    </xf>
    <xf numFmtId="2" fontId="10" fillId="15" borderId="24" xfId="0" applyNumberFormat="1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/>
    </xf>
    <xf numFmtId="9" fontId="0" fillId="15" borderId="25" xfId="0" applyNumberForma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 wrapText="1"/>
    </xf>
    <xf numFmtId="0" fontId="15" fillId="0" borderId="0" xfId="0" quotePrefix="1" applyFont="1"/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6" fillId="25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31" borderId="0" xfId="0" applyFont="1" applyFill="1"/>
    <xf numFmtId="165" fontId="0" fillId="9" borderId="2" xfId="0" applyNumberFormat="1" applyFill="1" applyBorder="1" applyAlignment="1">
      <alignment horizontal="center"/>
    </xf>
    <xf numFmtId="165" fontId="0" fillId="33" borderId="2" xfId="0" applyNumberForma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165" fontId="0" fillId="29" borderId="6" xfId="0" applyNumberForma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21" fillId="0" borderId="0" xfId="2"/>
    <xf numFmtId="0" fontId="0" fillId="20" borderId="0" xfId="0" applyFill="1"/>
    <xf numFmtId="0" fontId="0" fillId="34" borderId="0" xfId="0" applyFill="1"/>
    <xf numFmtId="0" fontId="1" fillId="30" borderId="26" xfId="0" applyFont="1" applyFill="1" applyBorder="1" applyAlignment="1">
      <alignment horizontal="center"/>
    </xf>
    <xf numFmtId="0" fontId="1" fillId="30" borderId="27" xfId="0" applyFont="1" applyFill="1" applyBorder="1" applyAlignment="1">
      <alignment horizontal="center"/>
    </xf>
    <xf numFmtId="0" fontId="1" fillId="30" borderId="28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0" fillId="31" borderId="0" xfId="0" applyFont="1" applyFill="1" applyAlignment="1">
      <alignment horizontal="center" wrapText="1"/>
    </xf>
    <xf numFmtId="0" fontId="9" fillId="3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1" fillId="8" borderId="0" xfId="0" applyFont="1" applyFill="1" applyAlignment="1">
      <alignment horizontal="center" wrapText="1"/>
    </xf>
  </cellXfs>
  <cellStyles count="3">
    <cellStyle name="Hyperlink" xfId="2" xr:uid="{00000000-000B-0000-0000-000008000000}"/>
    <cellStyle name="Normal" xfId="0" builtinId="0"/>
    <cellStyle name="Porcentaje" xfId="1" builtinId="5"/>
  </cellStyles>
  <dxfs count="6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numFmt numFmtId="0" formatCode="General"/>
      <fill>
        <patternFill patternType="none"/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3" tint="0.24997711111789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</dxf>
    <dxf>
      <font>
        <color theme="1"/>
      </font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ont>
        <color rgb="FFFF0000"/>
      </font>
    </dxf>
    <dxf>
      <alignment horizontal="center"/>
    </dxf>
    <dxf>
      <alignment vertical="center"/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5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04141"/>
        </patternFill>
      </fill>
    </dxf>
    <dxf>
      <fill>
        <patternFill patternType="solid">
          <fgColor indexed="64"/>
          <bgColor rgb="FFE04141"/>
        </patternFill>
      </fill>
    </dxf>
    <dxf>
      <fill>
        <patternFill patternType="solid">
          <fgColor indexed="64"/>
          <bgColor rgb="FFE88080"/>
        </patternFill>
      </fill>
    </dxf>
    <dxf>
      <fill>
        <patternFill patternType="solid">
          <fgColor indexed="64"/>
          <bgColor rgb="FFE8808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rgb="FFFFFF00"/>
        </patternFill>
      </fill>
    </dxf>
    <dxf>
      <font>
        <color rgb="FF00000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vertical="center"/>
    </dxf>
    <dxf>
      <font>
        <sz val="12"/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alignment horizontal="left"/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E88080"/>
      <color rgb="FFD95B5B"/>
      <color rgb="FFE0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Bugs Encontrados vs Bugs Pendientes de resolver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TendenciaXVersión!C3</c:f>
              <c:strCache>
                <c:ptCount val="1"/>
                <c:pt idx="0">
                  <c:v>Bugs Encontrados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TendenciaXVersión!$B$4:$B$18</c:f>
              <c:strCache>
                <c:ptCount val="15"/>
                <c:pt idx="0">
                  <c:v>0,4</c:v>
                </c:pt>
                <c:pt idx="1">
                  <c:v>0,5</c:v>
                </c:pt>
                <c:pt idx="2">
                  <c:v>0.5.1</c:v>
                </c:pt>
                <c:pt idx="3">
                  <c:v>0,60</c:v>
                </c:pt>
                <c:pt idx="4">
                  <c:v>0.6.1</c:v>
                </c:pt>
                <c:pt idx="5">
                  <c:v>0,70</c:v>
                </c:pt>
                <c:pt idx="6">
                  <c:v>0,80</c:v>
                </c:pt>
                <c:pt idx="7">
                  <c:v>0,90</c:v>
                </c:pt>
                <c:pt idx="8">
                  <c:v>0,10</c:v>
                </c:pt>
                <c:pt idx="9">
                  <c:v>0.10.1</c:v>
                </c:pt>
                <c:pt idx="10">
                  <c:v>0,11</c:v>
                </c:pt>
                <c:pt idx="11">
                  <c:v>0,12</c:v>
                </c:pt>
                <c:pt idx="12">
                  <c:v>0,13</c:v>
                </c:pt>
                <c:pt idx="13">
                  <c:v>0,14</c:v>
                </c:pt>
                <c:pt idx="14">
                  <c:v>0,15</c:v>
                </c:pt>
              </c:strCache>
            </c:strRef>
          </c:cat>
          <c:val>
            <c:numRef>
              <c:f>TendenciaXVersión!$C$4:$C$18</c:f>
              <c:numCache>
                <c:formatCode>General</c:formatCode>
                <c:ptCount val="15"/>
                <c:pt idx="0">
                  <c:v>35</c:v>
                </c:pt>
                <c:pt idx="1">
                  <c:v>9</c:v>
                </c:pt>
                <c:pt idx="2">
                  <c:v>10</c:v>
                </c:pt>
                <c:pt idx="3">
                  <c:v>27</c:v>
                </c:pt>
                <c:pt idx="4">
                  <c:v>10</c:v>
                </c:pt>
                <c:pt idx="5">
                  <c:v>21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19</c:v>
                </c:pt>
                <c:pt idx="10">
                  <c:v>35</c:v>
                </c:pt>
                <c:pt idx="11">
                  <c:v>51</c:v>
                </c:pt>
                <c:pt idx="12">
                  <c:v>24</c:v>
                </c:pt>
                <c:pt idx="13">
                  <c:v>38</c:v>
                </c:pt>
                <c:pt idx="1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FA2E1481-24A7-4A16-82E2-D32793A1E0A4}"/>
            </c:ext>
          </c:extLst>
        </c:ser>
        <c:ser>
          <c:idx val="1"/>
          <c:order val="1"/>
          <c:tx>
            <c:strRef>
              <c:f>TendenciaXVersión!$F$3</c:f>
              <c:strCache>
                <c:ptCount val="1"/>
                <c:pt idx="0">
                  <c:v>Bugs Solucionados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TendenciaXVersión!$B$4:$B$18</c:f>
              <c:strCache>
                <c:ptCount val="15"/>
                <c:pt idx="0">
                  <c:v>0,4</c:v>
                </c:pt>
                <c:pt idx="1">
                  <c:v>0,5</c:v>
                </c:pt>
                <c:pt idx="2">
                  <c:v>0.5.1</c:v>
                </c:pt>
                <c:pt idx="3">
                  <c:v>0,60</c:v>
                </c:pt>
                <c:pt idx="4">
                  <c:v>0.6.1</c:v>
                </c:pt>
                <c:pt idx="5">
                  <c:v>0,70</c:v>
                </c:pt>
                <c:pt idx="6">
                  <c:v>0,80</c:v>
                </c:pt>
                <c:pt idx="7">
                  <c:v>0,90</c:v>
                </c:pt>
                <c:pt idx="8">
                  <c:v>0,10</c:v>
                </c:pt>
                <c:pt idx="9">
                  <c:v>0.10.1</c:v>
                </c:pt>
                <c:pt idx="10">
                  <c:v>0,11</c:v>
                </c:pt>
                <c:pt idx="11">
                  <c:v>0,12</c:v>
                </c:pt>
                <c:pt idx="12">
                  <c:v>0,13</c:v>
                </c:pt>
                <c:pt idx="13">
                  <c:v>0,14</c:v>
                </c:pt>
                <c:pt idx="14">
                  <c:v>0,15</c:v>
                </c:pt>
              </c:strCache>
            </c:strRef>
          </c:cat>
          <c:val>
            <c:numRef>
              <c:f>TendenciaXVersión!$F$4:$F$18</c:f>
              <c:numCache>
                <c:formatCode>General</c:formatCode>
                <c:ptCount val="15"/>
                <c:pt idx="0">
                  <c:v>22</c:v>
                </c:pt>
                <c:pt idx="1">
                  <c:v>5</c:v>
                </c:pt>
                <c:pt idx="2">
                  <c:v>6</c:v>
                </c:pt>
                <c:pt idx="3">
                  <c:v>22</c:v>
                </c:pt>
                <c:pt idx="4">
                  <c:v>9</c:v>
                </c:pt>
                <c:pt idx="5">
                  <c:v>15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18</c:v>
                </c:pt>
                <c:pt idx="12">
                  <c:v>6</c:v>
                </c:pt>
                <c:pt idx="13">
                  <c:v>15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55A68A4-903D-46C4-812F-0FD6DC59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288360968"/>
        <c:axId val="288367624"/>
      </c:barChart>
      <c:catAx>
        <c:axId val="288360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67624"/>
        <c:crosses val="autoZero"/>
        <c:auto val="1"/>
        <c:lblAlgn val="ctr"/>
        <c:lblOffset val="100"/>
        <c:noMultiLvlLbl val="0"/>
      </c:catAx>
      <c:valAx>
        <c:axId val="28836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6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[Reporte_QA_V2.xlsx]BUGS X CATEGORIA!TablaDinámica2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'BUGS X CATEGORIA'!$B$23:$B$24</c:f>
              <c:strCache>
                <c:ptCount val="1"/>
                <c:pt idx="0">
                  <c:v>Funcional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'BUGS X CATEGORIA'!$A$25:$A$29</c:f>
              <c:strCache>
                <c:ptCount val="4"/>
                <c:pt idx="0">
                  <c:v>Más alta</c:v>
                </c:pt>
                <c:pt idx="1">
                  <c:v>Alta</c:v>
                </c:pt>
                <c:pt idx="2">
                  <c:v>Medio</c:v>
                </c:pt>
                <c:pt idx="3">
                  <c:v>Baja</c:v>
                </c:pt>
              </c:strCache>
            </c:strRef>
          </c:cat>
          <c:val>
            <c:numRef>
              <c:f>'BUGS X CATEGORIA'!$B$25:$B$29</c:f>
              <c:numCache>
                <c:formatCode>General</c:formatCode>
                <c:ptCount val="4"/>
                <c:pt idx="0">
                  <c:v>5</c:v>
                </c:pt>
                <c:pt idx="1">
                  <c:v>45</c:v>
                </c:pt>
                <c:pt idx="2">
                  <c:v>53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2E-430A-B365-FAE1EDBEF64E}"/>
            </c:ext>
          </c:extLst>
        </c:ser>
        <c:ser>
          <c:idx val="1"/>
          <c:order val="1"/>
          <c:tx>
            <c:strRef>
              <c:f>'BUGS X CATEGORIA'!$C$23:$C$24</c:f>
              <c:strCache>
                <c:ptCount val="1"/>
                <c:pt idx="0">
                  <c:v>Eventos_iOT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'BUGS X CATEGORIA'!$A$25:$A$29</c:f>
              <c:strCache>
                <c:ptCount val="4"/>
                <c:pt idx="0">
                  <c:v>Más alta</c:v>
                </c:pt>
                <c:pt idx="1">
                  <c:v>Alta</c:v>
                </c:pt>
                <c:pt idx="2">
                  <c:v>Medio</c:v>
                </c:pt>
                <c:pt idx="3">
                  <c:v>Baja</c:v>
                </c:pt>
              </c:strCache>
            </c:strRef>
          </c:cat>
          <c:val>
            <c:numRef>
              <c:f>'BUGS X CATEGORIA'!$C$25:$C$29</c:f>
              <c:numCache>
                <c:formatCode>General</c:formatCode>
                <c:ptCount val="4"/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2E-430A-B365-FAE1EDBEF64E}"/>
            </c:ext>
          </c:extLst>
        </c:ser>
        <c:ser>
          <c:idx val="2"/>
          <c:order val="2"/>
          <c:tx>
            <c:strRef>
              <c:f>'BUGS X CATEGORIA'!$D$23:$D$24</c:f>
              <c:strCache>
                <c:ptCount val="1"/>
                <c:pt idx="0">
                  <c:v>Look&amp;Feel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'BUGS X CATEGORIA'!$A$25:$A$29</c:f>
              <c:strCache>
                <c:ptCount val="4"/>
                <c:pt idx="0">
                  <c:v>Más alta</c:v>
                </c:pt>
                <c:pt idx="1">
                  <c:v>Alta</c:v>
                </c:pt>
                <c:pt idx="2">
                  <c:v>Medio</c:v>
                </c:pt>
                <c:pt idx="3">
                  <c:v>Baja</c:v>
                </c:pt>
              </c:strCache>
            </c:strRef>
          </c:cat>
          <c:val>
            <c:numRef>
              <c:f>'BUGS X CATEGORIA'!$D$25:$D$29</c:f>
              <c:numCache>
                <c:formatCode>General</c:formatCode>
                <c:ptCount val="4"/>
                <c:pt idx="1">
                  <c:v>4</c:v>
                </c:pt>
                <c:pt idx="2">
                  <c:v>22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2E-430A-B365-FAE1EDBEF64E}"/>
            </c:ext>
          </c:extLst>
        </c:ser>
        <c:ser>
          <c:idx val="3"/>
          <c:order val="3"/>
          <c:tx>
            <c:strRef>
              <c:f>'BUGS X CATEGORIA'!$E$23:$E$24</c:f>
              <c:strCache>
                <c:ptCount val="1"/>
                <c:pt idx="0">
                  <c:v>Configuración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'BUGS X CATEGORIA'!$A$25:$A$29</c:f>
              <c:strCache>
                <c:ptCount val="4"/>
                <c:pt idx="0">
                  <c:v>Más alta</c:v>
                </c:pt>
                <c:pt idx="1">
                  <c:v>Alta</c:v>
                </c:pt>
                <c:pt idx="2">
                  <c:v>Medio</c:v>
                </c:pt>
                <c:pt idx="3">
                  <c:v>Baja</c:v>
                </c:pt>
              </c:strCache>
            </c:strRef>
          </c:cat>
          <c:val>
            <c:numRef>
              <c:f>'BUGS X CATEGORIA'!$E$25:$E$29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2E-430A-B365-FAE1EDBEF64E}"/>
            </c:ext>
          </c:extLst>
        </c:ser>
        <c:ser>
          <c:idx val="4"/>
          <c:order val="4"/>
          <c:tx>
            <c:strRef>
              <c:f>'BUGS X CATEGORIA'!$F$23:$F$24</c:f>
              <c:strCache>
                <c:ptCount val="1"/>
                <c:pt idx="0">
                  <c:v>Eventos_Fabric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'BUGS X CATEGORIA'!$A$25:$A$29</c:f>
              <c:strCache>
                <c:ptCount val="4"/>
                <c:pt idx="0">
                  <c:v>Más alta</c:v>
                </c:pt>
                <c:pt idx="1">
                  <c:v>Alta</c:v>
                </c:pt>
                <c:pt idx="2">
                  <c:v>Medio</c:v>
                </c:pt>
                <c:pt idx="3">
                  <c:v>Baja</c:v>
                </c:pt>
              </c:strCache>
            </c:strRef>
          </c:cat>
          <c:val>
            <c:numRef>
              <c:f>'BUGS X CATEGORIA'!$F$25:$F$29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D-407E-82DD-6C86F8341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81800968"/>
        <c:axId val="981847048"/>
      </c:barChart>
      <c:catAx>
        <c:axId val="981800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47048"/>
        <c:crosses val="autoZero"/>
        <c:auto val="1"/>
        <c:lblAlgn val="ctr"/>
        <c:lblOffset val="100"/>
        <c:noMultiLvlLbl val="0"/>
      </c:catAx>
      <c:valAx>
        <c:axId val="98184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0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[Reporte_QA_V2.xlsx]Hoja4!Tabla dinámica11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1A983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EA-40E3-8F90-6666602459A8}"/>
              </c:ext>
            </c:extLst>
          </c:dPt>
          <c:dPt>
            <c:idx val="1"/>
            <c:invertIfNegative val="0"/>
            <c:bubble3D val="0"/>
            <c:spPr>
              <a:solidFill>
                <a:srgbClr val="F1A9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0EA-40E3-8F90-6666602459A8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0EA-40E3-8F90-6666602459A8}"/>
              </c:ext>
            </c:extLst>
          </c:dPt>
          <c:cat>
            <c:strRef>
              <c:f>Hoja4!$A$3:$A$7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Highest</c:v>
                </c:pt>
                <c:pt idx="3">
                  <c:v>Low</c:v>
                </c:pt>
              </c:strCache>
            </c:strRef>
          </c:cat>
          <c:val>
            <c:numRef>
              <c:f>Hoja4!$B$3:$B$7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EA-40E3-8F90-66666024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56614408"/>
        <c:axId val="456627208"/>
      </c:barChart>
      <c:catAx>
        <c:axId val="456614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27208"/>
        <c:crosses val="autoZero"/>
        <c:auto val="1"/>
        <c:lblAlgn val="ctr"/>
        <c:lblOffset val="100"/>
        <c:noMultiLvlLbl val="0"/>
      </c:catAx>
      <c:valAx>
        <c:axId val="45662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144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[Reporte_QA_V2.xlsx]Hoja6!Tabla dinámica12</c:name>
    <c:fmtId val="0"/>
  </c:pivotSource>
  <c:chart>
    <c:autoTitleDeleted val="1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7C7AC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A6C9EC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7C7AC"/>
          </a:solidFill>
          <a:ln>
            <a:noFill/>
          </a:ln>
          <a:effectLst/>
        </c:spPr>
      </c:pivotFmt>
      <c:pivotFmt>
        <c:idx val="11"/>
        <c:spPr>
          <a:solidFill>
            <a:srgbClr val="A6C9EC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rgbClr val="F1A983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1A983"/>
          </a:solidFill>
          <a:ln>
            <a:noFill/>
          </a:ln>
          <a:effectLst/>
        </c:spPr>
      </c:pivotFmt>
      <c:pivotFmt>
        <c:idx val="19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38-471B-9AEA-1741FD36765D}"/>
              </c:ext>
            </c:extLst>
          </c:dPt>
          <c:dPt>
            <c:idx val="1"/>
            <c:invertIfNegative val="0"/>
            <c:bubble3D val="0"/>
            <c:spPr>
              <a:solidFill>
                <a:srgbClr val="F1A9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E38-471B-9AEA-1741FD36765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DAF-466D-BE46-1F93C389CAE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CAA-4366-A0E5-334413FF2B10}"/>
              </c:ext>
            </c:extLst>
          </c:dPt>
          <c:cat>
            <c:strRef>
              <c:f>Hoja6!$A$3:$A$7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Highest</c:v>
                </c:pt>
                <c:pt idx="3">
                  <c:v>Low</c:v>
                </c:pt>
              </c:strCache>
            </c:strRef>
          </c:cat>
          <c:val>
            <c:numRef>
              <c:f>Hoja6!$B$3:$B$7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38-471B-9AEA-1741FD367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322769927"/>
        <c:axId val="1322771975"/>
      </c:barChart>
      <c:catAx>
        <c:axId val="13227699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71975"/>
        <c:crosses val="autoZero"/>
        <c:auto val="1"/>
        <c:lblAlgn val="ctr"/>
        <c:lblOffset val="100"/>
        <c:noMultiLvlLbl val="0"/>
      </c:catAx>
      <c:valAx>
        <c:axId val="132277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699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0</xdr:row>
      <xdr:rowOff>66675</xdr:rowOff>
    </xdr:from>
    <xdr:to>
      <xdr:col>23</xdr:col>
      <xdr:colOff>95250</xdr:colOff>
      <xdr:row>24</xdr:row>
      <xdr:rowOff>180975</xdr:rowOff>
    </xdr:to>
    <xdr:graphicFrame macro="">
      <xdr:nvGraphicFramePr>
        <xdr:cNvPr id="3" name="Gráfico 4" descr="Tipo de gráfico: Columnas agrupadas, Líneas. &quot;Bugs Encontrados&quot;, &quot;BUGS Cancelados&quot;, &quot;% Bugs Pendientes por resolver&quot; por &quot;Versión&quot;&#10;&#10;Descripción generada automáticamente">
          <a:extLst>
            <a:ext uri="{FF2B5EF4-FFF2-40B4-BE49-F238E27FC236}">
              <a16:creationId xmlns:a16="http://schemas.microsoft.com/office/drawing/2014/main" id="{91492032-52EE-3E01-65B8-49BF68541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22</xdr:row>
      <xdr:rowOff>66675</xdr:rowOff>
    </xdr:from>
    <xdr:to>
      <xdr:col>18</xdr:col>
      <xdr:colOff>66675</xdr:colOff>
      <xdr:row>36</xdr:row>
      <xdr:rowOff>142875</xdr:rowOff>
    </xdr:to>
    <xdr:graphicFrame macro="">
      <xdr:nvGraphicFramePr>
        <xdr:cNvPr id="2" name="Gráfico 1" descr="Tipo de gráfico: Barras apiladas. «Estado» por 'Prioridad', 'Estado' y 'Categoría'&#10;&#10;Descripción generada automáticamente">
          <a:extLst>
            <a:ext uri="{FF2B5EF4-FFF2-40B4-BE49-F238E27FC236}">
              <a16:creationId xmlns:a16="http://schemas.microsoft.com/office/drawing/2014/main" id="{7F07154B-FBC7-99C4-4B18-E323594D3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Gráfico 1" descr="Tipo de gráfico: Barras agrupadas. &quot;Campo3&quot; por &quot;% Fuga por prioridad&quot;&#10;&#10;Descripción generada automáticamente">
          <a:extLst>
            <a:ext uri="{FF2B5EF4-FFF2-40B4-BE49-F238E27FC236}">
              <a16:creationId xmlns:a16="http://schemas.microsoft.com/office/drawing/2014/main" id="{6AA64E1F-AEC5-1A14-8221-FFDADFBF3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48" name="Gráfico 1" descr="Tipo de gráfico: Barras apiladas. &quot;% Fuga por prioridad&quot;: High y Medium tienen valores de &quot;Campo3&quot; notablemente superiores.&#10;&#10;Descripción generada automáticamente">
          <a:extLst>
            <a:ext uri="{FF2B5EF4-FFF2-40B4-BE49-F238E27FC236}">
              <a16:creationId xmlns:a16="http://schemas.microsoft.com/office/drawing/2014/main" id="{4B21C0A1-6028-B18B-60F6-D7205BCF1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535793287039" createdVersion="8" refreshedVersion="8" minRefreshableVersion="3" recordCount="360" xr:uid="{329D5152-B3FA-4E69-B8CD-0ACAD6F600A8}">
  <cacheSource type="worksheet">
    <worksheetSource name="Tabla"/>
  </cacheSource>
  <cacheFields count="45">
    <cacheField name="Tipo de Incidencia" numFmtId="0">
      <sharedItems/>
    </cacheField>
    <cacheField name="Clave de incidencia" numFmtId="0">
      <sharedItems/>
    </cacheField>
    <cacheField name="ID de la incidencia" numFmtId="0">
      <sharedItems containsSemiMixedTypes="0" containsString="0" containsNumber="1" containsInteger="1" minValue="82873" maxValue="124509"/>
    </cacheField>
    <cacheField name="Resumen" numFmtId="0">
      <sharedItems/>
    </cacheField>
    <cacheField name="Prioridad" numFmtId="0">
      <sharedItems containsBlank="1" count="6">
        <s v="Baja"/>
        <s v="Alta"/>
        <s v="Medio"/>
        <s v="Más alta"/>
        <s v="Mas Baja" u="1"/>
        <m u="1"/>
      </sharedItems>
    </cacheField>
    <cacheField name="Estado" numFmtId="0">
      <sharedItems containsBlank="1" count="12">
        <s v="Tareas por hacer"/>
        <s v="TO BE DEPLOYED-SIT"/>
        <s v="Blocked"/>
        <s v="READY FOR UAT"/>
        <s v="Cancelado"/>
        <s v="IN SIT"/>
        <s v="Code Review"/>
        <s v="En curso"/>
        <s v="READY FOR TESTING"/>
        <s v="SIT TESTING EXECUTION" u="1"/>
        <s v="Finalizada" u="1"/>
        <m u="1"/>
      </sharedItems>
    </cacheField>
    <cacheField name="Sprint" numFmtId="0">
      <sharedItems containsBlank="1"/>
    </cacheField>
    <cacheField name="Sprint2" numFmtId="0">
      <sharedItems containsBlank="1"/>
    </cacheField>
    <cacheField name="Sprint3" numFmtId="0">
      <sharedItems containsBlank="1"/>
    </cacheField>
    <cacheField name="Sprint4" numFmtId="0">
      <sharedItems containsBlank="1"/>
    </cacheField>
    <cacheField name="Sprint5" numFmtId="0">
      <sharedItems containsBlank="1"/>
    </cacheField>
    <cacheField name="Sprint6" numFmtId="0">
      <sharedItems containsBlank="1"/>
    </cacheField>
    <cacheField name="Sprint7" numFmtId="0">
      <sharedItems containsBlank="1"/>
    </cacheField>
    <cacheField name="Sprint8" numFmtId="0">
      <sharedItems containsBlank="1"/>
    </cacheField>
    <cacheField name="Sprint9" numFmtId="0">
      <sharedItems containsBlank="1"/>
    </cacheField>
    <cacheField name="Sprint10" numFmtId="0">
      <sharedItems containsBlank="1"/>
    </cacheField>
    <cacheField name="Sprint11" numFmtId="0">
      <sharedItems containsBlank="1"/>
    </cacheField>
    <cacheField name="Etiquetas" numFmtId="0">
      <sharedItems/>
    </cacheField>
    <cacheField name="Etiquetas10" numFmtId="0">
      <sharedItems/>
    </cacheField>
    <cacheField name="Etiquetas11" numFmtId="0">
      <sharedItems/>
    </cacheField>
    <cacheField name="Etiquetas12" numFmtId="0">
      <sharedItems containsBlank="1"/>
    </cacheField>
    <cacheField name="Etiquetas13" numFmtId="0">
      <sharedItems containsBlank="1"/>
    </cacheField>
    <cacheField name="Etiquetas14" numFmtId="0">
      <sharedItems containsBlank="1"/>
    </cacheField>
    <cacheField name="Etiquetas15" numFmtId="0">
      <sharedItems containsBlank="1"/>
    </cacheField>
    <cacheField name="Etiquetas16" numFmtId="0">
      <sharedItems containsBlank="1"/>
    </cacheField>
    <cacheField name="Etiquetas17" numFmtId="0">
      <sharedItems containsBlank="1"/>
    </cacheField>
    <cacheField name="Informador" numFmtId="0">
      <sharedItems/>
    </cacheField>
    <cacheField name="Creada" numFmtId="22">
      <sharedItems containsSemiMixedTypes="0" containsNonDate="0" containsDate="1" containsString="0" minDate="2025-08-03T12:16:00" maxDate="2026-01-02T12:44:00"/>
    </cacheField>
    <cacheField name="Versiones corregidas" numFmtId="0">
      <sharedItems containsBlank="1"/>
    </cacheField>
    <cacheField name="Versiones corregidas19" numFmtId="0">
      <sharedItems containsBlank="1"/>
    </cacheField>
    <cacheField name="Versiones corregidas20" numFmtId="0">
      <sharedItems containsBlank="1"/>
    </cacheField>
    <cacheField name="Versiones corregidas21" numFmtId="0">
      <sharedItems containsBlank="1"/>
    </cacheField>
    <cacheField name="Módulo" numFmtId="0">
      <sharedItems containsBlank="1" count="4">
        <s v="POS"/>
        <s v="BOT"/>
        <s v="" u="1"/>
        <m u="1"/>
      </sharedItems>
    </cacheField>
    <cacheField name="Desarrollador" numFmtId="0">
      <sharedItems containsBlank="1" count="14">
        <s v="Andres Vergara"/>
        <s v="Ludovic Hern"/>
        <s v="Juan Munoz"/>
        <s v="PENDIENTES"/>
        <s v="CANCELADO"/>
        <s v="Sergio Ordaz Romero"/>
        <s v="Juan Camilo Collantes Tovar"/>
        <m/>
        <s v="Emiliano Fraile"/>
        <s v="915- Por definir"/>
        <s v="Nicolas Dubiansky"/>
        <s v="Sergio Ordaz Romero_x000a_" u="1"/>
        <s v="_x000a_Andres Vergara" u="1"/>
        <s v="_x000a_Emiliano Fraile" u="1"/>
      </sharedItems>
    </cacheField>
    <cacheField name="Desarrollador_Bug_Cancelado" numFmtId="0">
      <sharedItems containsBlank="1"/>
    </cacheField>
    <cacheField name="¿En que Sprint fue encontrado?" numFmtId="0">
      <sharedItems containsSemiMixedTypes="0" containsString="0" containsNumber="1" containsInteger="1" minValue="0" maxValue="25" count="11">
        <n v="25"/>
        <n v="23"/>
        <n v="24"/>
        <n v="22"/>
        <n v="21"/>
        <n v="20"/>
        <n v="19"/>
        <n v="18"/>
        <n v="17"/>
        <n v="16"/>
        <n v="0" u="1"/>
      </sharedItems>
    </cacheField>
    <cacheField name="¿En qué versión fue encontrado?" numFmtId="0">
      <sharedItems count="19">
        <s v="V0.15"/>
        <s v="V0.13"/>
        <s v="V0.14"/>
        <s v="V0.12"/>
        <s v="V0.11"/>
        <s v="V0.10.1"/>
        <s v="V0.10"/>
        <s v="V0.9"/>
        <s v="V0.8"/>
        <s v="V0.7"/>
        <s v="V0.6"/>
        <s v="V0.6.1"/>
        <s v="V0.5"/>
        <s v="V0.5.1"/>
        <s v="V0.4"/>
        <s v="V0.16" u="1"/>
        <s v="V0.6 int" u="1"/>
        <s v="V0.5 - intermedia" u="1"/>
        <s v="" u="1"/>
      </sharedItems>
    </cacheField>
    <cacheField name="¿En qué versión fue corregido?" numFmtId="0">
      <sharedItems count="13">
        <s v="V0"/>
        <s v="V0.16"/>
        <s v="V0.15"/>
        <s v="V0.14"/>
        <s v="V0.12"/>
        <s v="V0.13"/>
        <s v="V0.11"/>
        <s v="V0.8"/>
        <s v="V0.1"/>
        <s v="V0.7"/>
        <s v="V0.6"/>
        <s v="V0.5"/>
        <s v="v0.10" u="1"/>
      </sharedItems>
    </cacheField>
    <cacheField name="¿En que Sprint fue corregido?" numFmtId="0">
      <sharedItems containsMixedTypes="1" containsNumber="1" containsInteger="1" minValue="0" maxValue="25"/>
    </cacheField>
    <cacheField name="Categoría" numFmtId="0">
      <sharedItems containsBlank="1" count="10">
        <s v="Look&amp;Feel"/>
        <s v="Funcional"/>
        <s v="Configuración"/>
        <s v="Eventos_iOT"/>
        <s v="Contenido/Datos"/>
        <s v="Eventos_Fabric"/>
        <s v="Integración"/>
        <s v="No encontrado" u="1"/>
        <m u="1"/>
        <s v="" u="1"/>
      </sharedItems>
    </cacheField>
    <cacheField name="Funcionalidad" numFmtId="0">
      <sharedItems count="54">
        <s v="Controlar-Gaveta"/>
        <s v="Iniciar-Venta"/>
        <s v="Cierre-De-Turno"/>
        <s v="Recibir-Mercancía-Almacén-Tienda"/>
        <s v="Registrar-Merma"/>
        <s v="Alivios"/>
        <s v="Imprimir-Cambios-De-Precio"/>
        <s v="Pago-De-Tiempo-Aire"/>
        <s v="Pago-De-Servicios-Con-Catálogo"/>
        <s v="Realizar-Pedido-Eficiente"/>
        <s v="Multiplicar-Producto"/>
        <s v="Entrega-De-Valores"/>
        <s v="Pago-CODI"/>
        <s v="Eliminar-Artículo-De-Venta"/>
        <s v="Realizar-Transferencia"/>
        <s v="Pago-Con-Tarjeta"/>
        <s v="Dashboard-Productos"/>
        <s v="Main-Dashboard"/>
        <s v="Bugs-En-Inputs"/>
        <s v="Atajos-Teclado-BOT"/>
        <s v="Reporte-De-Inventario"/>
        <s v="Dashboard-Ventas"/>
        <s v="Atajos-Teclado"/>
        <s v="Arqueo"/>
        <s v="Devoluciones"/>
        <s v="Consulta-Última-Transacción-SANTANDER"/>
        <s v="Dashboard-Efectivo"/>
        <s v="Registro-De-Gastos"/>
        <s v="Cobro-De-Productos-Peso-Variable"/>
        <s v="Realizar-Inventario"/>
        <s v="No encontrado"/>
        <s v="Inicio-De-Turno"/>
        <s v="Inicio-De-Día"/>
        <s v="Recibir-Mercancía-Pie-De-Camión"/>
        <s v="Confirmar-Cierre-De-Turno"/>
        <s v="Bloqueo-De-Sesión"/>
        <s v="Login"/>
        <s v="Catálogo-De-Productos-Sin-Código"/>
        <s v="Cancelar-Venta"/>
        <s v="Consulta-Transacción-SANTANDER"/>
        <s v="Iniciar_Venta"/>
        <s v="Fondeo-Adicional"/>
        <s v="Imprimir-Ticket"/>
        <s v="Pago-En-Efectivo"/>
        <s v="Reimprimir-Ticket"/>
        <s v="Logout"/>
        <s v="Cierre-De-Día"/>
        <s v="Buscar-Artículo"/>
        <s v="Confirmar-Inicio-De-Turno"/>
        <s v="Bugs-Idioma"/>
        <s v="Confirmar-Fondeo-Adicional"/>
        <s v="Pago-Mix"/>
        <s v="Fondeo-Inicial"/>
        <s v="Checar-Precio"/>
      </sharedItems>
    </cacheField>
    <cacheField name="Fue encontrado durante UAT?" numFmtId="0">
      <sharedItems count="2">
        <s v=""/>
        <s v="SI"/>
      </sharedItems>
    </cacheField>
    <cacheField name="En que versión de UAT fue encontrado?" numFmtId="0">
      <sharedItems count="5">
        <s v=""/>
        <s v="UAT_V0.15"/>
        <s v="UAT_V0.13"/>
        <s v="UAT_V0.14"/>
        <s v="UAT_V0.12"/>
      </sharedItems>
    </cacheField>
    <cacheField name="Fue devuelto?" numFmtId="0">
      <sharedItems/>
    </cacheField>
    <cacheField name="Cuántas veces fue devuelto?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537229513888" createdVersion="8" refreshedVersion="8" minRefreshableVersion="3" recordCount="4" xr:uid="{DA1832CF-5100-46CE-AC06-0D046849F97C}">
  <cacheSource type="worksheet">
    <worksheetSource ref="C6:E10" sheet="Hoja5"/>
  </cacheSource>
  <cacheFields count="3">
    <cacheField name="% Fuga por prioridad" numFmtId="0">
      <sharedItems count="4">
        <s v="Highest"/>
        <s v="High"/>
        <s v="Medium"/>
        <s v="Low"/>
      </sharedItems>
    </cacheField>
    <cacheField name="Campo2" numFmtId="165">
      <sharedItems containsSemiMixedTypes="0" containsString="0" containsNumber="1" minValue="0.15" maxValue="0.32500000000000001"/>
    </cacheField>
    <cacheField name="Campo3" numFmtId="0">
      <sharedItems containsSemiMixedTypes="0" containsString="0" containsNumber="1" containsInteger="1" minValue="6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537389930556" createdVersion="8" refreshedVersion="8" minRefreshableVersion="3" recordCount="4" xr:uid="{54DB1293-583B-4100-A410-1EA002F46129}">
  <cacheSource type="worksheet">
    <worksheetSource ref="C6:E10" sheet="Detalle1"/>
  </cacheSource>
  <cacheFields count="3">
    <cacheField name="% Fuga por prioridad" numFmtId="0">
      <sharedItems count="4">
        <s v="Highest"/>
        <s v="High"/>
        <s v="Medium"/>
        <s v="Low"/>
      </sharedItems>
    </cacheField>
    <cacheField name="Campo2" numFmtId="10">
      <sharedItems containsSemiMixedTypes="0" containsString="0" containsNumber="1" minValue="0.125" maxValue="0.32500000000000001"/>
    </cacheField>
    <cacheField name="Campo3" numFmtId="0">
      <sharedItems containsSemiMixedTypes="0" containsString="0" containsNumber="1" containsInteger="1" minValue="5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Error"/>
    <s v="T20-3755"/>
    <n v="124509"/>
    <s v="POS - En menú BBB la opción “Abrir cajón” se muestra sin tilde"/>
    <x v="0"/>
    <x v="0"/>
    <m/>
    <m/>
    <m/>
    <m/>
    <m/>
    <m/>
    <m/>
    <m/>
    <m/>
    <m/>
    <m/>
    <s v="Controlar-Gaveta"/>
    <s v="Look&amp;Feel"/>
    <s v="QA-IntegraciónV0.15"/>
    <m/>
    <m/>
    <m/>
    <m/>
    <m/>
    <m/>
    <s v="Yubisleinys Mora Vega"/>
    <d v="2026-01-02T12:44:00"/>
    <m/>
    <m/>
    <m/>
    <m/>
    <x v="0"/>
    <x v="0"/>
    <m/>
    <x v="0"/>
    <x v="0"/>
    <x v="0"/>
    <s v="No encontrado"/>
    <x v="0"/>
    <x v="0"/>
    <x v="0"/>
    <x v="0"/>
    <s v=""/>
    <n v="0"/>
  </r>
  <r>
    <s v="Error"/>
    <s v="T20-3752"/>
    <n v="124120"/>
    <s v="POS – Realizar una venta crea copias del producto en el tablero y provoca cálculo incorrecto en unidades vendidas en el panel Ventas"/>
    <x v="1"/>
    <x v="0"/>
    <m/>
    <m/>
    <m/>
    <m/>
    <m/>
    <m/>
    <m/>
    <m/>
    <m/>
    <m/>
    <m/>
    <s v="Funcional"/>
    <s v="Iniciar-Venta"/>
    <s v="QA-IntegraciónV0.15"/>
    <m/>
    <m/>
    <m/>
    <m/>
    <m/>
    <m/>
    <s v="Yubisleinys Mora Vega"/>
    <d v="2025-12-30T15:49:00"/>
    <m/>
    <m/>
    <m/>
    <m/>
    <x v="1"/>
    <x v="1"/>
    <m/>
    <x v="0"/>
    <x v="0"/>
    <x v="0"/>
    <s v="No encontrado"/>
    <x v="1"/>
    <x v="1"/>
    <x v="0"/>
    <x v="0"/>
    <s v=""/>
    <n v="0"/>
  </r>
  <r>
    <s v="Error"/>
    <s v="T20-3751"/>
    <n v="124095"/>
    <s v="POS - Se genera mensaje de alivio independiente y el cierre de turno muestra importes incorrectos"/>
    <x v="1"/>
    <x v="0"/>
    <m/>
    <m/>
    <m/>
    <m/>
    <m/>
    <m/>
    <m/>
    <m/>
    <m/>
    <m/>
    <m/>
    <s v="Cierre-De-Turno"/>
    <s v="Funcional"/>
    <s v="QA-IntegraciónV0.15"/>
    <m/>
    <m/>
    <m/>
    <m/>
    <m/>
    <m/>
    <s v="Yubisleinys Mora Vega"/>
    <d v="2025-12-30T14:35:00"/>
    <m/>
    <m/>
    <m/>
    <m/>
    <x v="1"/>
    <x v="1"/>
    <m/>
    <x v="0"/>
    <x v="0"/>
    <x v="0"/>
    <s v="No encontrado"/>
    <x v="1"/>
    <x v="2"/>
    <x v="0"/>
    <x v="0"/>
    <s v=""/>
    <n v="0"/>
  </r>
  <r>
    <s v="Error"/>
    <s v="T20-3749"/>
    <n v="124062"/>
    <s v="BOT – Al aceptar mensaje entrante de “Recibir Mercancía” con productos de la misma clave, se cierra el BOT y el mensaje queda en el tablero"/>
    <x v="1"/>
    <x v="0"/>
    <m/>
    <m/>
    <m/>
    <m/>
    <m/>
    <m/>
    <m/>
    <m/>
    <m/>
    <m/>
    <m/>
    <s v="Funcional"/>
    <s v="QA-IntegraciónV0.15"/>
    <s v="Recibir-Mercancía-Almacén-Tienda"/>
    <m/>
    <m/>
    <m/>
    <m/>
    <m/>
    <m/>
    <s v="Yubisleinys Mora Vega"/>
    <d v="2025-12-30T12:51:00"/>
    <m/>
    <m/>
    <m/>
    <m/>
    <x v="1"/>
    <x v="1"/>
    <m/>
    <x v="0"/>
    <x v="0"/>
    <x v="0"/>
    <s v="No encontrado"/>
    <x v="1"/>
    <x v="3"/>
    <x v="0"/>
    <x v="0"/>
    <s v=""/>
    <n v="0"/>
  </r>
  <r>
    <s v="Error"/>
    <s v="T20-3746"/>
    <n v="123840"/>
    <s v="BOT - Impresora de carátula no imprime"/>
    <x v="1"/>
    <x v="1"/>
    <s v="T20 Sprint 26 2025"/>
    <m/>
    <m/>
    <m/>
    <m/>
    <m/>
    <m/>
    <m/>
    <m/>
    <m/>
    <m/>
    <s v="Funcional"/>
    <s v="QA-IntegraciónV0.15"/>
    <s v="Registrar-Merma"/>
    <s v="T3B20_Kotlin"/>
    <s v="Tienda2.0"/>
    <m/>
    <m/>
    <m/>
    <m/>
    <s v="Yubisleinys Mora Vega"/>
    <d v="2025-12-29T13:24:00"/>
    <s v="v0.16"/>
    <m/>
    <m/>
    <m/>
    <x v="1"/>
    <x v="1"/>
    <m/>
    <x v="0"/>
    <x v="0"/>
    <x v="1"/>
    <n v="0"/>
    <x v="1"/>
    <x v="4"/>
    <x v="0"/>
    <x v="0"/>
    <s v=""/>
    <n v="0"/>
  </r>
  <r>
    <s v="Error"/>
    <s v="T20-3742"/>
    <n v="123791"/>
    <s v="POS - Alivio - Espacio en blanco adicional en tickets de alivio"/>
    <x v="0"/>
    <x v="0"/>
    <m/>
    <m/>
    <m/>
    <m/>
    <m/>
    <m/>
    <m/>
    <m/>
    <m/>
    <m/>
    <m/>
    <s v="Alivios"/>
    <s v="Funcional"/>
    <s v="QA-IntegraciónV0.15"/>
    <m/>
    <m/>
    <m/>
    <m/>
    <m/>
    <m/>
    <s v="Yubisleinys Mora Vega"/>
    <d v="2025-12-29T10:42:00"/>
    <m/>
    <m/>
    <m/>
    <m/>
    <x v="0"/>
    <x v="2"/>
    <m/>
    <x v="0"/>
    <x v="0"/>
    <x v="0"/>
    <s v="No encontrado"/>
    <x v="1"/>
    <x v="5"/>
    <x v="0"/>
    <x v="0"/>
    <s v=""/>
    <n v="0"/>
  </r>
  <r>
    <s v="Error"/>
    <s v="T20-3741"/>
    <n v="123774"/>
    <s v="BOT - Cambio de precio - Error al guardar configuración de producto obliga al cierre del BOT (intermitente)"/>
    <x v="1"/>
    <x v="0"/>
    <m/>
    <m/>
    <m/>
    <m/>
    <m/>
    <m/>
    <m/>
    <m/>
    <m/>
    <m/>
    <m/>
    <s v="Funcional"/>
    <s v="Imprimir-Cambios-De-Precio"/>
    <s v="QA-IntegraciónV0.15"/>
    <m/>
    <m/>
    <m/>
    <m/>
    <m/>
    <m/>
    <s v="Yubisleinys Mora Vega"/>
    <d v="2025-12-29T09:48:00"/>
    <m/>
    <m/>
    <m/>
    <m/>
    <x v="1"/>
    <x v="3"/>
    <m/>
    <x v="0"/>
    <x v="0"/>
    <x v="0"/>
    <s v="No encontrado"/>
    <x v="1"/>
    <x v="6"/>
    <x v="0"/>
    <x v="0"/>
    <s v=""/>
    <n v="0"/>
  </r>
  <r>
    <s v="Error"/>
    <s v="T20-3739"/>
    <n v="123727"/>
    <s v="POS - Alivio automático para Tómbola imprime solo un ticket"/>
    <x v="2"/>
    <x v="0"/>
    <m/>
    <m/>
    <m/>
    <m/>
    <m/>
    <m/>
    <m/>
    <m/>
    <m/>
    <m/>
    <m/>
    <s v="Alivios"/>
    <s v="Funcional"/>
    <s v="QA-IntegraciónV0.15"/>
    <m/>
    <m/>
    <m/>
    <m/>
    <m/>
    <m/>
    <s v="Yubisleinys Mora Vega"/>
    <d v="2025-12-29T06:22:00"/>
    <m/>
    <m/>
    <m/>
    <m/>
    <x v="0"/>
    <x v="2"/>
    <m/>
    <x v="0"/>
    <x v="0"/>
    <x v="0"/>
    <s v="No encontrado"/>
    <x v="1"/>
    <x v="5"/>
    <x v="0"/>
    <x v="0"/>
    <s v=""/>
    <n v="0"/>
  </r>
  <r>
    <s v="Error"/>
    <s v="T20-3738"/>
    <n v="123559"/>
    <s v="POS - Ticket de Tiempo de Aire no muestra el cambio al cliente"/>
    <x v="2"/>
    <x v="0"/>
    <m/>
    <m/>
    <m/>
    <m/>
    <m/>
    <m/>
    <m/>
    <m/>
    <m/>
    <m/>
    <m/>
    <s v="Funcional"/>
    <s v="Pago-De-Tiempo-Aire"/>
    <s v="QA-IntegraciónV0.15"/>
    <m/>
    <m/>
    <m/>
    <m/>
    <m/>
    <m/>
    <s v="Yubisleinys Mora Vega"/>
    <d v="2025-12-26T16:26:00"/>
    <m/>
    <m/>
    <m/>
    <m/>
    <x v="0"/>
    <x v="3"/>
    <m/>
    <x v="0"/>
    <x v="0"/>
    <x v="0"/>
    <s v="No encontrado"/>
    <x v="1"/>
    <x v="7"/>
    <x v="0"/>
    <x v="0"/>
    <s v=""/>
    <n v="0"/>
  </r>
  <r>
    <s v="Error"/>
    <s v="T20-3737"/>
    <n v="123542"/>
    <s v="POS - Ticket de Alivio para Tómbola muestra concepto incorrecto en la impresión"/>
    <x v="2"/>
    <x v="0"/>
    <m/>
    <m/>
    <m/>
    <m/>
    <m/>
    <m/>
    <m/>
    <m/>
    <m/>
    <m/>
    <m/>
    <s v="Alivios"/>
    <s v="Funcional"/>
    <s v="QA-IntegraciónV0.15"/>
    <m/>
    <m/>
    <m/>
    <m/>
    <m/>
    <m/>
    <s v="Yubisleinys Mora Vega"/>
    <d v="2025-12-26T15:51:00"/>
    <m/>
    <m/>
    <m/>
    <m/>
    <x v="0"/>
    <x v="2"/>
    <m/>
    <x v="0"/>
    <x v="0"/>
    <x v="0"/>
    <s v="No encontrado"/>
    <x v="1"/>
    <x v="5"/>
    <x v="0"/>
    <x v="0"/>
    <s v=""/>
    <n v="0"/>
  </r>
  <r>
    <s v="Error"/>
    <s v="T20-3735"/>
    <n v="123001"/>
    <s v="POS - Servicios - Error en modal Cambio al cliente"/>
    <x v="2"/>
    <x v="0"/>
    <m/>
    <m/>
    <m/>
    <m/>
    <m/>
    <m/>
    <m/>
    <m/>
    <m/>
    <m/>
    <m/>
    <s v="Funcional"/>
    <s v="Pago-De-Servicios-Con-Catálogo"/>
    <s v="QA-IntegraciónV0.15"/>
    <m/>
    <m/>
    <m/>
    <m/>
    <m/>
    <m/>
    <s v="Yubisleinys Mora Vega"/>
    <d v="2025-12-23T17:39:00"/>
    <s v="v0.15"/>
    <m/>
    <m/>
    <m/>
    <x v="0"/>
    <x v="0"/>
    <m/>
    <x v="0"/>
    <x v="0"/>
    <x v="2"/>
    <n v="25"/>
    <x v="1"/>
    <x v="8"/>
    <x v="0"/>
    <x v="0"/>
    <s v=""/>
    <n v="0"/>
  </r>
  <r>
    <s v="Error"/>
    <s v="T20-3734"/>
    <n v="122963"/>
    <s v="POS - El sistema permite realizar un alivio por una cantidad mayor al efectivo disponible"/>
    <x v="2"/>
    <x v="0"/>
    <m/>
    <m/>
    <m/>
    <m/>
    <m/>
    <m/>
    <m/>
    <m/>
    <m/>
    <m/>
    <m/>
    <s v="Alivios"/>
    <s v="Funcional"/>
    <s v="UAT_V0.15"/>
    <m/>
    <m/>
    <m/>
    <m/>
    <m/>
    <m/>
    <s v="Yubisleinys Mora Vega"/>
    <d v="2025-12-23T15:49:00"/>
    <m/>
    <m/>
    <m/>
    <m/>
    <x v="1"/>
    <x v="2"/>
    <m/>
    <x v="0"/>
    <x v="0"/>
    <x v="0"/>
    <s v="No encontrado"/>
    <x v="1"/>
    <x v="5"/>
    <x v="1"/>
    <x v="1"/>
    <s v=""/>
    <n v="0"/>
  </r>
  <r>
    <s v="Error"/>
    <s v="T20-3733"/>
    <n v="122956"/>
    <s v="BOT - Registro de merma - El sistema permite realizar merma sobre pagos de servicios y recargas"/>
    <x v="2"/>
    <x v="0"/>
    <m/>
    <m/>
    <m/>
    <m/>
    <m/>
    <m/>
    <m/>
    <m/>
    <m/>
    <m/>
    <m/>
    <s v="Funcional"/>
    <s v="Registrar-Merma"/>
    <s v="UAT_V0.15"/>
    <m/>
    <m/>
    <m/>
    <m/>
    <m/>
    <m/>
    <s v="Yubisleinys Mora Vega"/>
    <d v="2025-12-23T15:11:00"/>
    <m/>
    <m/>
    <m/>
    <m/>
    <x v="1"/>
    <x v="3"/>
    <m/>
    <x v="0"/>
    <x v="0"/>
    <x v="0"/>
    <s v="No encontrado"/>
    <x v="1"/>
    <x v="4"/>
    <x v="1"/>
    <x v="1"/>
    <s v=""/>
    <n v="0"/>
  </r>
  <r>
    <s v="Error"/>
    <s v="T20-3702"/>
    <n v="122888"/>
    <s v="BOT - Pedido eficiente - El resumen del pedido muestra todos los productos en lugar de solo los solicitados"/>
    <x v="1"/>
    <x v="0"/>
    <m/>
    <m/>
    <m/>
    <m/>
    <m/>
    <m/>
    <m/>
    <m/>
    <m/>
    <m/>
    <m/>
    <s v="Funcional"/>
    <s v="Realizar-Pedido-Eficiente"/>
    <s v="UAT_V0.15"/>
    <m/>
    <m/>
    <m/>
    <m/>
    <m/>
    <m/>
    <s v="Yubisleinys Mora Vega"/>
    <d v="2025-12-23T14:16:00"/>
    <m/>
    <m/>
    <m/>
    <m/>
    <x v="1"/>
    <x v="0"/>
    <m/>
    <x v="0"/>
    <x v="0"/>
    <x v="0"/>
    <s v="No encontrado"/>
    <x v="1"/>
    <x v="9"/>
    <x v="1"/>
    <x v="1"/>
    <s v=""/>
    <n v="0"/>
  </r>
  <r>
    <s v="Error"/>
    <s v="T20-3701"/>
    <n v="122869"/>
    <s v="BOT - Cambio de precio - Es necesario realizar dos clics para que el tipo de señalización “Tachado” funcione correctamente"/>
    <x v="2"/>
    <x v="0"/>
    <m/>
    <m/>
    <m/>
    <m/>
    <m/>
    <m/>
    <m/>
    <m/>
    <m/>
    <m/>
    <m/>
    <s v="Funcional"/>
    <s v="Imprimir-Cambios-De-Precio"/>
    <s v="QA-IntegraciónV0.15"/>
    <m/>
    <m/>
    <m/>
    <m/>
    <m/>
    <m/>
    <s v="Yubisleinys Mora Vega"/>
    <d v="2025-12-23T13:17:00"/>
    <m/>
    <m/>
    <m/>
    <m/>
    <x v="1"/>
    <x v="4"/>
    <m/>
    <x v="0"/>
    <x v="0"/>
    <x v="0"/>
    <s v="No encontrado"/>
    <x v="1"/>
    <x v="6"/>
    <x v="0"/>
    <x v="0"/>
    <s v=""/>
    <n v="0"/>
  </r>
  <r>
    <s v="Error"/>
    <s v="T20-3692"/>
    <n v="122677"/>
    <s v="POS - No existe tope al multiplicar cantidades, generando valores negativos"/>
    <x v="2"/>
    <x v="0"/>
    <m/>
    <m/>
    <m/>
    <m/>
    <m/>
    <m/>
    <m/>
    <m/>
    <m/>
    <m/>
    <m/>
    <s v="Funcional"/>
    <s v="Multiplicar-Producto"/>
    <s v="QA-IntegraciónV0.15"/>
    <s v="UAT"/>
    <s v="UAT_V0.15"/>
    <m/>
    <m/>
    <m/>
    <m/>
    <s v="Yubisleinys Mora Vega"/>
    <d v="2025-12-22T17:05:00"/>
    <m/>
    <m/>
    <m/>
    <m/>
    <x v="0"/>
    <x v="3"/>
    <m/>
    <x v="0"/>
    <x v="0"/>
    <x v="0"/>
    <s v="No encontrado"/>
    <x v="1"/>
    <x v="10"/>
    <x v="0"/>
    <x v="0"/>
    <s v=""/>
    <n v="0"/>
  </r>
  <r>
    <s v="Error"/>
    <s v="T20-3691"/>
    <n v="122602"/>
    <s v="BOT - Desaparición de números en alivios agregados"/>
    <x v="2"/>
    <x v="0"/>
    <m/>
    <m/>
    <m/>
    <m/>
    <m/>
    <m/>
    <m/>
    <m/>
    <m/>
    <m/>
    <m/>
    <s v="Entrega-de-Valores"/>
    <s v="Funcional"/>
    <s v="QA-IntegraciónV0.15"/>
    <s v="UAT"/>
    <m/>
    <m/>
    <m/>
    <m/>
    <m/>
    <s v="Yubisleinys Mora Vega"/>
    <d v="2025-12-22T15:03:00"/>
    <m/>
    <m/>
    <m/>
    <m/>
    <x v="1"/>
    <x v="1"/>
    <m/>
    <x v="0"/>
    <x v="0"/>
    <x v="0"/>
    <s v="No encontrado"/>
    <x v="1"/>
    <x v="11"/>
    <x v="0"/>
    <x v="0"/>
    <s v=""/>
    <n v="0"/>
  </r>
  <r>
    <s v="Error"/>
    <s v="T20-3690"/>
    <n v="122599"/>
    <s v="POS - Pago de Servicio - El último valor agregado no se elimina en el comprobante de servicio"/>
    <x v="2"/>
    <x v="0"/>
    <m/>
    <m/>
    <m/>
    <m/>
    <m/>
    <m/>
    <m/>
    <m/>
    <m/>
    <m/>
    <m/>
    <s v="Funcional"/>
    <s v="Pago-De-Servicios-Con-Catálogo"/>
    <s v="QA-IntegraciónV0.15"/>
    <s v="Revisado"/>
    <s v="UAT"/>
    <m/>
    <m/>
    <m/>
    <m/>
    <s v="Yubisleinys Mora Vega"/>
    <d v="2025-12-22T14:45:00"/>
    <m/>
    <m/>
    <m/>
    <m/>
    <x v="0"/>
    <x v="3"/>
    <m/>
    <x v="0"/>
    <x v="0"/>
    <x v="0"/>
    <s v="No encontrado"/>
    <x v="1"/>
    <x v="8"/>
    <x v="0"/>
    <x v="0"/>
    <s v=""/>
    <n v="0"/>
  </r>
  <r>
    <s v="Error"/>
    <s v="T20-3685"/>
    <n v="122555"/>
    <s v="POS - Ticket de cobro con CODI no muestra folio ni número de transacción"/>
    <x v="1"/>
    <x v="0"/>
    <m/>
    <m/>
    <m/>
    <m/>
    <m/>
    <m/>
    <m/>
    <m/>
    <m/>
    <m/>
    <m/>
    <s v="Funcional"/>
    <s v="Pago-Codi"/>
    <s v="QA-IntegraciónV0.15"/>
    <s v="Revisado"/>
    <s v="UAT"/>
    <m/>
    <m/>
    <m/>
    <m/>
    <s v="Yubisleinys Mora Vega"/>
    <d v="2025-12-22T12:30:00"/>
    <m/>
    <m/>
    <m/>
    <m/>
    <x v="0"/>
    <x v="3"/>
    <m/>
    <x v="0"/>
    <x v="0"/>
    <x v="0"/>
    <s v="No encontrado"/>
    <x v="1"/>
    <x v="12"/>
    <x v="0"/>
    <x v="0"/>
    <s v=""/>
    <n v="0"/>
  </r>
  <r>
    <s v="Error"/>
    <s v="T20-3684"/>
    <n v="122543"/>
    <s v="POS - Pago de Servicio - No funcionan los atajos de teclado para aceptar Pago de Servicios en el POS"/>
    <x v="2"/>
    <x v="0"/>
    <m/>
    <m/>
    <m/>
    <m/>
    <m/>
    <m/>
    <m/>
    <m/>
    <m/>
    <m/>
    <m/>
    <s v="Funcional"/>
    <s v="Pago-De-Servicios-Con-Catálogo"/>
    <s v="QA-IntegraciónV0.15"/>
    <s v="UAT"/>
    <m/>
    <m/>
    <m/>
    <m/>
    <m/>
    <s v="Yubisleinys Mora Vega"/>
    <d v="2025-12-22T11:56:00"/>
    <m/>
    <m/>
    <m/>
    <m/>
    <x v="0"/>
    <x v="3"/>
    <m/>
    <x v="0"/>
    <x v="0"/>
    <x v="0"/>
    <s v="No encontrado"/>
    <x v="1"/>
    <x v="8"/>
    <x v="0"/>
    <x v="0"/>
    <s v=""/>
    <n v="0"/>
  </r>
  <r>
    <s v="Error"/>
    <s v="T20-3683"/>
    <n v="122534"/>
    <s v="POS - Pago de Servicio - No se visualiza el monto de la comisión en el ticket"/>
    <x v="2"/>
    <x v="0"/>
    <m/>
    <m/>
    <m/>
    <m/>
    <m/>
    <m/>
    <m/>
    <m/>
    <m/>
    <m/>
    <m/>
    <s v="Funcional"/>
    <s v="Pago-De-Servicios-Con-Catálogo"/>
    <s v="QA-IntegraciónV0.15"/>
    <s v="Revisado"/>
    <s v="UAT"/>
    <m/>
    <m/>
    <m/>
    <m/>
    <s v="Yubisleinys Mora Vega"/>
    <d v="2025-12-22T11:41:00"/>
    <m/>
    <m/>
    <m/>
    <m/>
    <x v="0"/>
    <x v="3"/>
    <m/>
    <x v="0"/>
    <x v="0"/>
    <x v="0"/>
    <s v="No encontrado"/>
    <x v="1"/>
    <x v="8"/>
    <x v="0"/>
    <x v="0"/>
    <s v=""/>
    <n v="0"/>
  </r>
  <r>
    <s v="Error"/>
    <s v="T20-3681"/>
    <n v="122511"/>
    <s v="BOT - El sistema permite realizar una entrega de valores aun cuando no hay dinero disponible, generando saldos negativos."/>
    <x v="3"/>
    <x v="0"/>
    <s v="T20 Sprint 26 2025"/>
    <m/>
    <m/>
    <m/>
    <m/>
    <m/>
    <m/>
    <m/>
    <m/>
    <m/>
    <m/>
    <s v="Entrega-de-Valores"/>
    <s v="Funcional"/>
    <s v="QA-IntegraciónV0.15"/>
    <s v="T3B20_BOT"/>
    <s v="Tienda2.0"/>
    <s v="UAT"/>
    <m/>
    <m/>
    <m/>
    <s v="Yubisleinys Mora Vega"/>
    <d v="2025-12-22T10:55:00"/>
    <m/>
    <m/>
    <m/>
    <m/>
    <x v="1"/>
    <x v="3"/>
    <m/>
    <x v="0"/>
    <x v="0"/>
    <x v="0"/>
    <s v="No encontrado"/>
    <x v="1"/>
    <x v="11"/>
    <x v="0"/>
    <x v="0"/>
    <s v=""/>
    <n v="0"/>
  </r>
  <r>
    <s v="Error"/>
    <s v="T20-3670"/>
    <n v="122248"/>
    <s v="BOT/POS - Cancelación de productos genera descuento incorrecto de stock y unidades vendidas erróneas en Dashboard de ventas"/>
    <x v="1"/>
    <x v="0"/>
    <m/>
    <m/>
    <m/>
    <m/>
    <m/>
    <m/>
    <m/>
    <m/>
    <m/>
    <m/>
    <m/>
    <s v="Eliminar-Artículo-De-Venta"/>
    <s v="Funcional"/>
    <s v="QA-IntegraciónV0.15"/>
    <m/>
    <m/>
    <m/>
    <m/>
    <m/>
    <m/>
    <s v="Yubisleinys Mora Vega"/>
    <d v="2025-12-19T14:38:00"/>
    <m/>
    <m/>
    <m/>
    <m/>
    <x v="1"/>
    <x v="3"/>
    <m/>
    <x v="0"/>
    <x v="0"/>
    <x v="0"/>
    <s v="No encontrado"/>
    <x v="1"/>
    <x v="13"/>
    <x v="0"/>
    <x v="0"/>
    <s v=""/>
    <n v="0"/>
  </r>
  <r>
    <s v="Error"/>
    <s v="T20-3669"/>
    <n v="122179"/>
    <s v="BOT - Modal Transferir mercancía no muestra botón para minimizar"/>
    <x v="2"/>
    <x v="0"/>
    <m/>
    <m/>
    <m/>
    <m/>
    <m/>
    <m/>
    <m/>
    <m/>
    <m/>
    <m/>
    <m/>
    <s v="Funcional"/>
    <s v="QA-IntegraciónV0.15"/>
    <s v="Realizar-Transferencia"/>
    <s v="Revisar_Diseño"/>
    <m/>
    <m/>
    <m/>
    <m/>
    <m/>
    <s v="Yubisleinys Mora Vega"/>
    <d v="2025-12-19T11:31:00"/>
    <m/>
    <m/>
    <m/>
    <m/>
    <x v="1"/>
    <x v="3"/>
    <m/>
    <x v="0"/>
    <x v="0"/>
    <x v="0"/>
    <s v="No encontrado"/>
    <x v="1"/>
    <x v="14"/>
    <x v="0"/>
    <x v="0"/>
    <s v=""/>
    <n v="0"/>
  </r>
  <r>
    <s v="Error"/>
    <s v="T20-3668"/>
    <n v="122115"/>
    <s v="BOT - Modal Recibir mercancía no se visualiza botón para minimizar"/>
    <x v="1"/>
    <x v="0"/>
    <m/>
    <m/>
    <m/>
    <m/>
    <m/>
    <m/>
    <m/>
    <m/>
    <m/>
    <m/>
    <m/>
    <s v="Funcional"/>
    <s v="QA-IntegraciónV0.15"/>
    <s v="Recibir-Mercancía-Almacén-Tienda"/>
    <s v="Revisar_Diseño"/>
    <m/>
    <m/>
    <m/>
    <m/>
    <m/>
    <s v="Yubisleinys Mora Vega"/>
    <d v="2025-12-19T09:10:00"/>
    <m/>
    <m/>
    <m/>
    <m/>
    <x v="1"/>
    <x v="4"/>
    <m/>
    <x v="0"/>
    <x v="0"/>
    <x v="0"/>
    <s v="No encontrado"/>
    <x v="1"/>
    <x v="3"/>
    <x v="0"/>
    <x v="0"/>
    <s v=""/>
    <n v="0"/>
  </r>
  <r>
    <s v="Error"/>
    <s v="T20-3667"/>
    <n v="122110"/>
    <s v="BOT - No se muestra botón [-] minimizar en panel &quot;Configuración de Etiquetas&quot;"/>
    <x v="2"/>
    <x v="0"/>
    <m/>
    <m/>
    <m/>
    <m/>
    <m/>
    <m/>
    <m/>
    <m/>
    <m/>
    <m/>
    <m/>
    <s v="configuracion-de-etiquetas"/>
    <s v="Funcional"/>
    <s v="Imprimir-Cambios-De-Precio"/>
    <s v="QA-IntegraciónV0.15"/>
    <s v="Revisar_Diseño"/>
    <m/>
    <m/>
    <m/>
    <m/>
    <s v="Daniela Soto"/>
    <d v="2025-12-19T08:56:00"/>
    <m/>
    <m/>
    <m/>
    <m/>
    <x v="1"/>
    <x v="5"/>
    <m/>
    <x v="0"/>
    <x v="0"/>
    <x v="0"/>
    <s v="No encontrado"/>
    <x v="1"/>
    <x v="6"/>
    <x v="0"/>
    <x v="0"/>
    <s v=""/>
    <n v="0"/>
  </r>
  <r>
    <s v="Error"/>
    <s v="T20-3664"/>
    <n v="122099"/>
    <s v="BOT - Errores en modal &quot;Recibir mercancía&quot;"/>
    <x v="2"/>
    <x v="0"/>
    <m/>
    <m/>
    <m/>
    <m/>
    <m/>
    <m/>
    <m/>
    <m/>
    <m/>
    <m/>
    <m/>
    <s v="Funcional"/>
    <s v="QA-IntegraciónV0.15"/>
    <s v="Recibir-Mercancía-Almacén-Tienda"/>
    <m/>
    <m/>
    <m/>
    <m/>
    <m/>
    <m/>
    <s v="Yubisleinys Mora Vega"/>
    <d v="2025-12-19T08:19:00"/>
    <m/>
    <m/>
    <m/>
    <m/>
    <x v="1"/>
    <x v="6"/>
    <m/>
    <x v="0"/>
    <x v="0"/>
    <x v="0"/>
    <s v="No encontrado"/>
    <x v="1"/>
    <x v="3"/>
    <x v="0"/>
    <x v="0"/>
    <s v=""/>
    <n v="0"/>
  </r>
  <r>
    <s v="Error"/>
    <s v="T20-3663"/>
    <n v="121959"/>
    <s v="POS - No se visualizan los atajos de los pagos electrónico (D - C - I)"/>
    <x v="2"/>
    <x v="1"/>
    <s v="T20 Sprint 25 2025"/>
    <s v="T20 Sprint 26 2025"/>
    <m/>
    <m/>
    <m/>
    <m/>
    <m/>
    <m/>
    <m/>
    <m/>
    <m/>
    <s v="Look&amp;Feel"/>
    <s v="Pago-Con-Tarjeta"/>
    <s v="QA-IntegraciónV0.15"/>
    <s v="T3B20_POS"/>
    <s v="Tienda2.0"/>
    <m/>
    <m/>
    <m/>
    <m/>
    <s v="Daniela Soto"/>
    <d v="2025-12-18T14:38:00"/>
    <s v="v0.16"/>
    <m/>
    <m/>
    <m/>
    <x v="0"/>
    <x v="6"/>
    <m/>
    <x v="0"/>
    <x v="0"/>
    <x v="1"/>
    <n v="0"/>
    <x v="0"/>
    <x v="15"/>
    <x v="0"/>
    <x v="0"/>
    <s v=""/>
    <n v="0"/>
  </r>
  <r>
    <s v="Error"/>
    <s v="T20-3662"/>
    <n v="121956"/>
    <s v="BOT - Cambio de precio - No se visualiza el modal  Edición de impresión por producto"/>
    <x v="2"/>
    <x v="2"/>
    <m/>
    <m/>
    <m/>
    <m/>
    <m/>
    <m/>
    <m/>
    <m/>
    <m/>
    <m/>
    <m/>
    <s v="Configuración"/>
    <s v="Imprimir-Cambios-De-Precio"/>
    <s v="QA-IntegraciónV0.15"/>
    <m/>
    <m/>
    <m/>
    <m/>
    <m/>
    <m/>
    <s v="Yubisleinys Mora Vega"/>
    <d v="2025-12-18T14:27:00"/>
    <m/>
    <m/>
    <m/>
    <m/>
    <x v="1"/>
    <x v="7"/>
    <m/>
    <x v="0"/>
    <x v="0"/>
    <x v="0"/>
    <s v="No encontrado"/>
    <x v="2"/>
    <x v="6"/>
    <x v="0"/>
    <x v="0"/>
    <s v=""/>
    <n v="0"/>
  </r>
  <r>
    <s v="Error"/>
    <s v="T20-3661"/>
    <n v="121955"/>
    <s v="BOT - Error en flechas de cenefas  - Impresión por productos"/>
    <x v="1"/>
    <x v="3"/>
    <s v="T20 Sprint 25 2025"/>
    <s v="T20 Sprint 26 2025"/>
    <m/>
    <m/>
    <m/>
    <m/>
    <m/>
    <m/>
    <m/>
    <m/>
    <m/>
    <s v="Imprimir-Cambios-De-Precio"/>
    <s v="Look&amp;Feel"/>
    <s v="QA-IntegraciónV0.15"/>
    <s v="T3B20_BOT"/>
    <s v="Tienda2.0"/>
    <m/>
    <m/>
    <m/>
    <m/>
    <s v="Daniela Soto"/>
    <d v="2025-12-18T14:27:00"/>
    <s v="v0.15"/>
    <m/>
    <m/>
    <m/>
    <x v="1"/>
    <x v="7"/>
    <m/>
    <x v="0"/>
    <x v="0"/>
    <x v="2"/>
    <n v="25"/>
    <x v="0"/>
    <x v="6"/>
    <x v="0"/>
    <x v="0"/>
    <s v=""/>
    <n v="0"/>
  </r>
  <r>
    <s v="Error"/>
    <s v="T20-3636"/>
    <n v="121365"/>
    <s v="POS – Permite finalizar la venta de productos con stock cero y deja la existencia en negativa"/>
    <x v="2"/>
    <x v="4"/>
    <m/>
    <m/>
    <m/>
    <m/>
    <m/>
    <m/>
    <m/>
    <m/>
    <m/>
    <m/>
    <m/>
    <s v="Dashboard-Productos"/>
    <s v="Funcional"/>
    <s v="QA-IntegraciónV0.15"/>
    <m/>
    <m/>
    <m/>
    <m/>
    <m/>
    <m/>
    <s v="Yubisleinys Mora Vega"/>
    <d v="2025-12-16T15:45:00"/>
    <m/>
    <m/>
    <m/>
    <m/>
    <x v="1"/>
    <x v="7"/>
    <m/>
    <x v="0"/>
    <x v="0"/>
    <x v="0"/>
    <s v="No encontrado"/>
    <x v="1"/>
    <x v="16"/>
    <x v="0"/>
    <x v="0"/>
    <s v=""/>
    <n v="0"/>
  </r>
  <r>
    <s v="Error"/>
    <s v="T20-3632"/>
    <n v="121349"/>
    <s v="BOT - Cierre de turno con diferencia faltante mantiene saldo en Total efectivo y lo suma al turno siguiente"/>
    <x v="2"/>
    <x v="1"/>
    <s v="T20 Sprint 26 2025"/>
    <m/>
    <m/>
    <m/>
    <m/>
    <m/>
    <m/>
    <m/>
    <m/>
    <m/>
    <m/>
    <s v="Funcional"/>
    <s v="Main-Dashboard"/>
    <s v="QA-IntegraciónV0.15"/>
    <s v="T3B20_BOT"/>
    <s v="Tienda2.0"/>
    <m/>
    <m/>
    <m/>
    <m/>
    <s v="Yubisleinys Mora Vega"/>
    <d v="2025-12-16T14:55:00"/>
    <s v="v0.16"/>
    <m/>
    <m/>
    <m/>
    <x v="1"/>
    <x v="7"/>
    <m/>
    <x v="0"/>
    <x v="0"/>
    <x v="1"/>
    <n v="0"/>
    <x v="1"/>
    <x v="17"/>
    <x v="0"/>
    <x v="0"/>
    <s v=""/>
    <n v="0"/>
  </r>
  <r>
    <s v="Error"/>
    <s v="T20-3631"/>
    <n v="121346"/>
    <s v="BOT - Al cerrar el turno con diferencia sobrante, el POS mantiene este valor en negativo en “Total efectivo”"/>
    <x v="2"/>
    <x v="1"/>
    <s v="T20 Sprint 26 2025"/>
    <m/>
    <m/>
    <m/>
    <m/>
    <m/>
    <m/>
    <m/>
    <m/>
    <m/>
    <m/>
    <s v="Funcional"/>
    <s v="Main-Dashboard"/>
    <s v="QA-IntegraciónV0.15"/>
    <s v="T3B20_BOT"/>
    <s v="Tienda2.0"/>
    <m/>
    <m/>
    <m/>
    <m/>
    <s v="Yubisleinys Mora Vega"/>
    <d v="2025-12-16T14:37:00"/>
    <s v="v0.16"/>
    <m/>
    <m/>
    <m/>
    <x v="1"/>
    <x v="7"/>
    <m/>
    <x v="0"/>
    <x v="0"/>
    <x v="1"/>
    <n v="0"/>
    <x v="1"/>
    <x v="17"/>
    <x v="0"/>
    <x v="0"/>
    <s v=""/>
    <n v="0"/>
  </r>
  <r>
    <s v="Error"/>
    <s v="T20-3630"/>
    <n v="121342"/>
    <s v="POS - Al seleccionar un botón del menú lateral del POS, este queda &quot;griseado&quot; al terminar o cerrar el modal"/>
    <x v="2"/>
    <x v="5"/>
    <s v="T20 Sprint 26 2025"/>
    <m/>
    <m/>
    <m/>
    <m/>
    <m/>
    <m/>
    <m/>
    <m/>
    <m/>
    <m/>
    <s v="Bugs-En-Inputs"/>
    <s v="Look&amp;Feel"/>
    <s v="QA-IntegraciónV0.15"/>
    <s v="T3B20_POS"/>
    <s v="Tienda2.0"/>
    <m/>
    <m/>
    <m/>
    <m/>
    <s v="Daniela Soto"/>
    <d v="2025-12-16T14:22:00"/>
    <s v="v0.16"/>
    <m/>
    <m/>
    <m/>
    <x v="0"/>
    <x v="7"/>
    <m/>
    <x v="0"/>
    <x v="0"/>
    <x v="1"/>
    <n v="0"/>
    <x v="0"/>
    <x v="18"/>
    <x v="0"/>
    <x v="0"/>
    <s v=""/>
    <n v="0"/>
  </r>
  <r>
    <s v="Error"/>
    <s v="T20-3629"/>
    <n v="121336"/>
    <s v="POS - Campo de búsqueda en Pago de &quot;Servicios&quot; no trae resultados"/>
    <x v="2"/>
    <x v="6"/>
    <s v="T20 Sprint 26 2025"/>
    <m/>
    <m/>
    <m/>
    <m/>
    <m/>
    <m/>
    <m/>
    <m/>
    <m/>
    <m/>
    <s v="Funcional"/>
    <s v="Pago-De-Servicios-Con-Catálogo"/>
    <s v="QA-IntegraciónV0.15"/>
    <s v="Revisado"/>
    <s v="T3B20_POS"/>
    <s v="Tienda2.0"/>
    <m/>
    <m/>
    <m/>
    <s v="Daniela Soto"/>
    <d v="2025-12-16T14:01:00"/>
    <s v="v0.16"/>
    <m/>
    <m/>
    <m/>
    <x v="0"/>
    <x v="7"/>
    <m/>
    <x v="0"/>
    <x v="0"/>
    <x v="1"/>
    <n v="0"/>
    <x v="1"/>
    <x v="8"/>
    <x v="0"/>
    <x v="0"/>
    <s v=""/>
    <n v="0"/>
  </r>
  <r>
    <s v="Error"/>
    <s v="T20-3628"/>
    <n v="121334"/>
    <s v="POS - Filtro de búsqueda en &quot;Tiempo Aire&quot;no trae resultados correctamente"/>
    <x v="2"/>
    <x v="6"/>
    <s v="T20 Sprint 26 2025"/>
    <m/>
    <m/>
    <m/>
    <m/>
    <m/>
    <m/>
    <m/>
    <m/>
    <m/>
    <m/>
    <s v="Funcional"/>
    <s v="Pago-De-Tiempo-Aire"/>
    <s v="QA-IntegraciónV0.15"/>
    <s v="T3B20_POS"/>
    <s v="Tienda2.0"/>
    <m/>
    <m/>
    <m/>
    <m/>
    <s v="Daniela Soto"/>
    <d v="2025-12-16T13:54:00"/>
    <s v="v0.16"/>
    <m/>
    <m/>
    <m/>
    <x v="0"/>
    <x v="7"/>
    <m/>
    <x v="0"/>
    <x v="0"/>
    <x v="1"/>
    <n v="0"/>
    <x v="1"/>
    <x v="7"/>
    <x v="0"/>
    <x v="0"/>
    <s v=""/>
    <n v="0"/>
  </r>
  <r>
    <s v="Error"/>
    <s v="T20-3581"/>
    <n v="120956"/>
    <s v="POS - Pago de Servicio está imprimiendo dos Ticket"/>
    <x v="2"/>
    <x v="1"/>
    <s v="T20 Sprint 26 2025"/>
    <m/>
    <m/>
    <m/>
    <m/>
    <m/>
    <m/>
    <m/>
    <m/>
    <m/>
    <m/>
    <s v="Funcional"/>
    <s v="Pago-De-Servicios-Con-Catálogo"/>
    <s v="QA-IntegraciónV0.15"/>
    <s v="T3B20_POS"/>
    <s v="Tienda2.0"/>
    <m/>
    <m/>
    <m/>
    <m/>
    <s v="Yubisleinys Mora Vega"/>
    <d v="2025-12-15T16:30:00"/>
    <s v="v0.16"/>
    <m/>
    <m/>
    <m/>
    <x v="0"/>
    <x v="7"/>
    <m/>
    <x v="0"/>
    <x v="0"/>
    <x v="1"/>
    <n v="0"/>
    <x v="1"/>
    <x v="8"/>
    <x v="0"/>
    <x v="0"/>
    <s v=""/>
    <n v="0"/>
  </r>
  <r>
    <s v="Error"/>
    <s v="T20-3579"/>
    <n v="120889"/>
    <s v="POS - Modal “Cerrar venta” muestra nombre incorrecto “Pago mix”"/>
    <x v="0"/>
    <x v="4"/>
    <m/>
    <m/>
    <m/>
    <m/>
    <m/>
    <m/>
    <m/>
    <m/>
    <m/>
    <m/>
    <m/>
    <s v="Iniciar-Venta"/>
    <s v="Look&amp;Feel"/>
    <s v="POS"/>
    <s v="QA-IntegraciónV0.15"/>
    <m/>
    <m/>
    <m/>
    <m/>
    <m/>
    <s v="Yubisleinys Mora Vega"/>
    <d v="2025-12-15T13:22:00"/>
    <m/>
    <m/>
    <m/>
    <m/>
    <x v="0"/>
    <x v="7"/>
    <m/>
    <x v="0"/>
    <x v="0"/>
    <x v="0"/>
    <s v="No encontrado"/>
    <x v="0"/>
    <x v="1"/>
    <x v="0"/>
    <x v="0"/>
    <s v=""/>
    <n v="0"/>
  </r>
  <r>
    <s v="Error"/>
    <s v="T20-3578"/>
    <n v="120874"/>
    <s v="POS - Servicios - Pago de servicio permite completar el flujo sin número de referencia"/>
    <x v="1"/>
    <x v="3"/>
    <s v="T20 Sprint 25 2025"/>
    <s v="T20 Sprint 26 2025"/>
    <m/>
    <m/>
    <m/>
    <m/>
    <m/>
    <m/>
    <m/>
    <m/>
    <m/>
    <s v="Funcional"/>
    <s v="Pago-De-Servicios-Con-Catálogo"/>
    <s v="QA-IntegraciónV0.15"/>
    <s v="T3B20_POS"/>
    <s v="Tienda2.0"/>
    <m/>
    <m/>
    <m/>
    <m/>
    <s v="Yubisleinys Mora Vega"/>
    <d v="2025-12-15T13:04:00"/>
    <s v="v0.15"/>
    <m/>
    <m/>
    <m/>
    <x v="0"/>
    <x v="7"/>
    <m/>
    <x v="0"/>
    <x v="0"/>
    <x v="2"/>
    <n v="25"/>
    <x v="1"/>
    <x v="8"/>
    <x v="0"/>
    <x v="0"/>
    <s v=""/>
    <n v="0"/>
  </r>
  <r>
    <s v="Error"/>
    <s v="T20-3577"/>
    <n v="120867"/>
    <s v="POS - Servicios - Campo “Total a pagar” en blanco muestra monto entregado como cambio"/>
    <x v="1"/>
    <x v="3"/>
    <s v="T20 Sprint 25 2025"/>
    <s v="T20 Sprint 26 2025"/>
    <m/>
    <m/>
    <m/>
    <m/>
    <m/>
    <m/>
    <m/>
    <m/>
    <m/>
    <s v="Funcional"/>
    <s v="Pago-De-Servicios-Con-Catálogo"/>
    <s v="QA-IntegraciónV0.15"/>
    <s v="T3B20_POS"/>
    <s v="Tienda2.0"/>
    <m/>
    <m/>
    <m/>
    <m/>
    <s v="Yubisleinys Mora Vega"/>
    <d v="2025-12-15T12:46:00"/>
    <s v="v0.15"/>
    <m/>
    <m/>
    <m/>
    <x v="0"/>
    <x v="7"/>
    <m/>
    <x v="0"/>
    <x v="0"/>
    <x v="2"/>
    <n v="25"/>
    <x v="1"/>
    <x v="8"/>
    <x v="0"/>
    <x v="0"/>
    <s v=""/>
    <n v="0"/>
  </r>
  <r>
    <s v="Error"/>
    <s v="T20-3576"/>
    <n v="120862"/>
    <s v="POS - Servicios - Error en modal Cambio al cliente"/>
    <x v="2"/>
    <x v="3"/>
    <s v="T20 Sprint 25 2025"/>
    <s v="T20 Sprint 26 2025"/>
    <m/>
    <m/>
    <m/>
    <m/>
    <m/>
    <m/>
    <m/>
    <m/>
    <m/>
    <s v="Look&amp;Feel"/>
    <s v="Pago-De-Servicios-Con-Catálogo"/>
    <s v="QA-IntegraciónV0.15"/>
    <s v="T3B20_POS"/>
    <s v="Tienda2.0"/>
    <m/>
    <m/>
    <m/>
    <m/>
    <s v="Yubisleinys Mora Vega"/>
    <d v="2025-12-15T12:33:00"/>
    <s v="v0.15"/>
    <m/>
    <m/>
    <m/>
    <x v="0"/>
    <x v="7"/>
    <m/>
    <x v="0"/>
    <x v="0"/>
    <x v="2"/>
    <n v="25"/>
    <x v="0"/>
    <x v="8"/>
    <x v="0"/>
    <x v="0"/>
    <s v=""/>
    <n v="0"/>
  </r>
  <r>
    <s v="Error"/>
    <s v="T20-3574"/>
    <n v="120650"/>
    <s v="BOT no debe de ejecutar Shortcuts desde la ventana de &quot;Shortcuts&quot;"/>
    <x v="2"/>
    <x v="3"/>
    <s v="T20 Sprint 25 2025"/>
    <s v="T20 Sprint 26 2025"/>
    <m/>
    <m/>
    <m/>
    <m/>
    <m/>
    <m/>
    <m/>
    <m/>
    <m/>
    <s v="Atajos-Teclado-BOT"/>
    <s v="Funcional"/>
    <s v="QA-IntegraciónV0.15"/>
    <s v="T3B20_BOT"/>
    <s v="Tienda2.0"/>
    <m/>
    <m/>
    <m/>
    <m/>
    <s v="Carolina Rodríguez Soriano"/>
    <d v="2025-12-15T11:08:00"/>
    <s v="v0.15"/>
    <m/>
    <m/>
    <m/>
    <x v="1"/>
    <x v="7"/>
    <m/>
    <x v="0"/>
    <x v="0"/>
    <x v="2"/>
    <n v="25"/>
    <x v="1"/>
    <x v="19"/>
    <x v="0"/>
    <x v="0"/>
    <s v=""/>
    <n v="0"/>
  </r>
  <r>
    <s v="Error"/>
    <s v="T20-3566"/>
    <n v="120243"/>
    <s v="BOT - Entrega de valores emite folio XXX"/>
    <x v="2"/>
    <x v="0"/>
    <m/>
    <m/>
    <m/>
    <m/>
    <m/>
    <m/>
    <m/>
    <m/>
    <m/>
    <m/>
    <m/>
    <s v="Entrega-de-Valores"/>
    <s v="Look&amp;Feel"/>
    <s v="QA-IntegraciónV0.15"/>
    <m/>
    <m/>
    <m/>
    <m/>
    <m/>
    <m/>
    <s v="Yubisleinys Mora Vega"/>
    <d v="2025-12-12T16:41:00"/>
    <m/>
    <m/>
    <m/>
    <m/>
    <x v="1"/>
    <x v="7"/>
    <m/>
    <x v="0"/>
    <x v="0"/>
    <x v="0"/>
    <s v="No encontrado"/>
    <x v="0"/>
    <x v="11"/>
    <x v="0"/>
    <x v="0"/>
    <s v=""/>
    <n v="0"/>
  </r>
  <r>
    <s v="Error"/>
    <s v="T20-3565"/>
    <n v="120242"/>
    <s v="BOT - Múltiples errores en la cuarta pantalla &quot;Resumen&quot; de &quot;Entrega de valores&quot;"/>
    <x v="2"/>
    <x v="0"/>
    <s v="T20 Sprint 25 2025"/>
    <s v="T20 Sprint 26 2025"/>
    <m/>
    <m/>
    <m/>
    <m/>
    <m/>
    <m/>
    <m/>
    <m/>
    <m/>
    <s v="Entrega-de-Valores"/>
    <s v="Look&amp;Feel"/>
    <s v="QA-IntegraciónV0.15"/>
    <s v="T3B20_BOT"/>
    <s v="Tienda2.0"/>
    <m/>
    <m/>
    <m/>
    <m/>
    <s v="Daniela Soto"/>
    <d v="2025-12-12T16:40:00"/>
    <s v="v0.15"/>
    <m/>
    <m/>
    <m/>
    <x v="1"/>
    <x v="7"/>
    <m/>
    <x v="0"/>
    <x v="0"/>
    <x v="2"/>
    <n v="25"/>
    <x v="0"/>
    <x v="11"/>
    <x v="0"/>
    <x v="0"/>
    <s v=""/>
    <n v="0"/>
  </r>
  <r>
    <s v="Error"/>
    <s v="T20-3564"/>
    <n v="120240"/>
    <s v="BOT - Múltiples errores en la tercera pantalla &quot;Envases y sellos&quot; de &quot;Entrega de valores&quot;"/>
    <x v="2"/>
    <x v="3"/>
    <s v="T20 Sprint 25 2025"/>
    <s v="T20 Sprint 26 2025"/>
    <m/>
    <m/>
    <m/>
    <m/>
    <m/>
    <m/>
    <m/>
    <m/>
    <m/>
    <s v="Entrega-de-Valores"/>
    <s v="Look&amp;Feel"/>
    <s v="QA-IntegraciónV0.15"/>
    <s v="T3B20_BOT"/>
    <s v="Tienda2.0"/>
    <m/>
    <m/>
    <m/>
    <m/>
    <s v="Daniela Soto"/>
    <d v="2025-12-12T16:34:00"/>
    <s v="v0.15"/>
    <m/>
    <m/>
    <m/>
    <x v="1"/>
    <x v="7"/>
    <m/>
    <x v="0"/>
    <x v="0"/>
    <x v="2"/>
    <n v="25"/>
    <x v="0"/>
    <x v="11"/>
    <x v="0"/>
    <x v="0"/>
    <s v=""/>
    <n v="0"/>
  </r>
  <r>
    <s v="Error"/>
    <s v="T20-3563"/>
    <n v="120227"/>
    <s v="BOT - Múltiples errores en la segunda pantalla &quot;Llenado de campo&quot; de Entrega de valores"/>
    <x v="2"/>
    <x v="3"/>
    <s v="T20 Sprint 25 2025"/>
    <s v="T20 Sprint 26 2025"/>
    <m/>
    <m/>
    <m/>
    <m/>
    <m/>
    <m/>
    <m/>
    <m/>
    <m/>
    <s v="Entrega-de-Valores"/>
    <s v="Look&amp;Feel"/>
    <s v="QA-IntegraciónV0.15"/>
    <s v="T3B20_BOT"/>
    <s v="Tienda2.0"/>
    <m/>
    <m/>
    <m/>
    <m/>
    <s v="Daniela Soto"/>
    <d v="2025-12-12T16:24:00"/>
    <s v="v0.15"/>
    <m/>
    <m/>
    <m/>
    <x v="1"/>
    <x v="7"/>
    <m/>
    <x v="0"/>
    <x v="0"/>
    <x v="2"/>
    <n v="25"/>
    <x v="0"/>
    <x v="11"/>
    <x v="0"/>
    <x v="0"/>
    <s v=""/>
    <n v="0"/>
  </r>
  <r>
    <s v="Error"/>
    <s v="T20-3562"/>
    <n v="120226"/>
    <s v="BOT - Múltiples errores en la primera pantalla de Resumen &quot;Entrega de valores&quot; "/>
    <x v="2"/>
    <x v="0"/>
    <s v="T20 Sprint 25 2025"/>
    <s v="T20 Sprint 26 2025"/>
    <m/>
    <m/>
    <m/>
    <m/>
    <m/>
    <m/>
    <m/>
    <m/>
    <m/>
    <s v="Bug_Devuelto_v0.15"/>
    <s v="Entrega-de-Valores"/>
    <s v="Look&amp;Feel"/>
    <s v="QA-IntegraciónV0.15"/>
    <s v="T3B20_BOT"/>
    <s v="Tienda2.0"/>
    <m/>
    <m/>
    <m/>
    <s v="Daniela Soto"/>
    <d v="2025-12-12T16:23:00"/>
    <s v="v0.15"/>
    <m/>
    <m/>
    <m/>
    <x v="1"/>
    <x v="7"/>
    <m/>
    <x v="0"/>
    <x v="0"/>
    <x v="2"/>
    <n v="25"/>
    <x v="0"/>
    <x v="11"/>
    <x v="0"/>
    <x v="0"/>
    <s v="SI"/>
    <n v="1"/>
  </r>
  <r>
    <s v="Error"/>
    <s v="T20-3528"/>
    <n v="119805"/>
    <s v="BOT - Al finalizar el inventario la pantalla se queda en blanco y no retorna a la pantalla principal del BOT"/>
    <x v="2"/>
    <x v="0"/>
    <s v="T20 Sprint 26 2025"/>
    <m/>
    <m/>
    <m/>
    <m/>
    <m/>
    <m/>
    <m/>
    <m/>
    <m/>
    <m/>
    <s v="Funcional"/>
    <s v="Reporte-De-Inventario"/>
    <s v="T3B20_BOT"/>
    <s v="Tienda2.0"/>
    <s v="UAT_V0.13"/>
    <m/>
    <m/>
    <m/>
    <m/>
    <s v="Yubisleinys Mora Vega"/>
    <d v="2025-12-11T16:51:00"/>
    <s v="v0.16"/>
    <m/>
    <m/>
    <m/>
    <x v="1"/>
    <x v="7"/>
    <m/>
    <x v="1"/>
    <x v="1"/>
    <x v="1"/>
    <n v="0"/>
    <x v="1"/>
    <x v="20"/>
    <x v="1"/>
    <x v="2"/>
    <s v=""/>
    <n v="0"/>
  </r>
  <r>
    <s v="Error"/>
    <s v="T20-3527"/>
    <n v="119803"/>
    <s v="BOT - Inventario - El botón “Descargar para reconteo” no se visualiza al finalizar el inventario"/>
    <x v="1"/>
    <x v="4"/>
    <m/>
    <m/>
    <m/>
    <m/>
    <m/>
    <m/>
    <m/>
    <m/>
    <m/>
    <m/>
    <m/>
    <s v="Funcional"/>
    <s v="Reporte-De-Inventario"/>
    <s v="UAT_V0.13"/>
    <m/>
    <m/>
    <m/>
    <m/>
    <m/>
    <m/>
    <s v="Yubisleinys Mora Vega"/>
    <d v="2025-12-11T16:41:00"/>
    <m/>
    <m/>
    <m/>
    <m/>
    <x v="1"/>
    <x v="7"/>
    <m/>
    <x v="1"/>
    <x v="1"/>
    <x v="0"/>
    <s v="No encontrado"/>
    <x v="1"/>
    <x v="20"/>
    <x v="1"/>
    <x v="2"/>
    <s v=""/>
    <n v="0"/>
  </r>
  <r>
    <s v="Error"/>
    <s v="T20-3526"/>
    <n v="119795"/>
    <s v="BOT - Dashboard Productos - Header Stockout y Sobrestock no se actualizan"/>
    <x v="2"/>
    <x v="0"/>
    <m/>
    <m/>
    <m/>
    <m/>
    <m/>
    <m/>
    <m/>
    <m/>
    <m/>
    <m/>
    <m/>
    <s v="Dashboard-Productos"/>
    <s v="Funcional"/>
    <s v="QA-IntegraciónV0.14"/>
    <m/>
    <m/>
    <m/>
    <m/>
    <m/>
    <m/>
    <s v="Yubisleinys Mora Vega"/>
    <d v="2025-12-11T16:15:00"/>
    <m/>
    <m/>
    <m/>
    <m/>
    <x v="1"/>
    <x v="7"/>
    <m/>
    <x v="2"/>
    <x v="2"/>
    <x v="0"/>
    <s v="No encontrado"/>
    <x v="1"/>
    <x v="16"/>
    <x v="0"/>
    <x v="0"/>
    <s v=""/>
    <n v="0"/>
  </r>
  <r>
    <s v="Error"/>
    <s v="T20-3523"/>
    <n v="119765"/>
    <s v="Corrección de gama de colores y visualización de tablas dentro del POS y BOT"/>
    <x v="2"/>
    <x v="3"/>
    <s v="T20 Sprint 25 2025"/>
    <s v="T20 Sprint 26 2025"/>
    <m/>
    <m/>
    <m/>
    <m/>
    <m/>
    <m/>
    <m/>
    <m/>
    <m/>
    <s v="Dashboard-Ventas"/>
    <s v="Look&amp;Feel"/>
    <s v="QA-IntegraciónV0.14"/>
    <s v="T3B20_Kotlin"/>
    <s v="Tienda2.0"/>
    <m/>
    <m/>
    <m/>
    <m/>
    <s v="Carolina Rodríguez Soriano"/>
    <d v="2025-12-11T15:19:00"/>
    <s v="v0.15"/>
    <m/>
    <m/>
    <m/>
    <x v="1"/>
    <x v="7"/>
    <m/>
    <x v="2"/>
    <x v="2"/>
    <x v="2"/>
    <n v="25"/>
    <x v="0"/>
    <x v="21"/>
    <x v="0"/>
    <x v="0"/>
    <s v=""/>
    <n v="0"/>
  </r>
  <r>
    <s v="Error"/>
    <s v="T20-3522"/>
    <n v="119724"/>
    <s v="BOT - El evento BOT_TRANSFER_ITEMS_OUT no cumple con la estructura definida en la documentación (diferencias en user y product_key)"/>
    <x v="1"/>
    <x v="0"/>
    <m/>
    <m/>
    <m/>
    <m/>
    <m/>
    <m/>
    <m/>
    <m/>
    <m/>
    <m/>
    <m/>
    <s v="Eventos_iOT"/>
    <s v="QA-IntegraciónV0.14"/>
    <s v="Realizar-Transferencia"/>
    <s v="Revisado"/>
    <m/>
    <m/>
    <m/>
    <m/>
    <m/>
    <s v="Yubisleinys Mora Vega"/>
    <d v="2025-12-11T12:40:00"/>
    <m/>
    <m/>
    <m/>
    <m/>
    <x v="1"/>
    <x v="7"/>
    <m/>
    <x v="2"/>
    <x v="2"/>
    <x v="0"/>
    <s v="No encontrado"/>
    <x v="3"/>
    <x v="14"/>
    <x v="0"/>
    <x v="0"/>
    <s v=""/>
    <n v="0"/>
  </r>
  <r>
    <s v="Error"/>
    <s v="T20-3521"/>
    <n v="119673"/>
    <s v="Se bloquea el POS al cerrar modal o cancelar operación de autenticación."/>
    <x v="3"/>
    <x v="3"/>
    <s v="T20 Sprint 25 2025"/>
    <s v="T20 Sprint 26 2025"/>
    <m/>
    <m/>
    <m/>
    <m/>
    <m/>
    <m/>
    <m/>
    <m/>
    <m/>
    <s v="Alivios"/>
    <s v="Funcional"/>
    <s v="UAT_V0.14"/>
    <m/>
    <m/>
    <m/>
    <m/>
    <m/>
    <m/>
    <s v="Carolina Rodríguez Soriano"/>
    <d v="2025-12-11T10:51:00"/>
    <m/>
    <m/>
    <m/>
    <m/>
    <x v="0"/>
    <x v="7"/>
    <m/>
    <x v="2"/>
    <x v="2"/>
    <x v="0"/>
    <s v="No encontrado"/>
    <x v="1"/>
    <x v="5"/>
    <x v="1"/>
    <x v="3"/>
    <s v=""/>
    <n v="0"/>
  </r>
  <r>
    <s v="Error"/>
    <s v="T20-3516"/>
    <n v="119399"/>
    <s v="POS - lista de &quot;Atajos del teclado&quot; dice mal escrito &quot;Cerrat venta&quot;"/>
    <x v="2"/>
    <x v="4"/>
    <m/>
    <m/>
    <m/>
    <m/>
    <m/>
    <m/>
    <m/>
    <m/>
    <m/>
    <m/>
    <m/>
    <s v="Atajos-Teclado"/>
    <s v="Look&amp;Feel"/>
    <s v="UAT_V0.14"/>
    <m/>
    <m/>
    <m/>
    <m/>
    <m/>
    <m/>
    <s v="Daniela Soto"/>
    <d v="2025-12-10T15:45:00"/>
    <m/>
    <m/>
    <m/>
    <m/>
    <x v="0"/>
    <x v="7"/>
    <m/>
    <x v="2"/>
    <x v="2"/>
    <x v="0"/>
    <s v="No encontrado"/>
    <x v="0"/>
    <x v="22"/>
    <x v="1"/>
    <x v="3"/>
    <s v=""/>
    <n v="0"/>
  </r>
  <r>
    <s v="Error"/>
    <s v="T20-3513"/>
    <n v="119389"/>
    <s v="BOT - Previsualización de Precios – No permite cambiar de página"/>
    <x v="2"/>
    <x v="3"/>
    <s v="T20 Sprint 25 2025"/>
    <s v="T20 Sprint 26 2025"/>
    <m/>
    <m/>
    <m/>
    <m/>
    <m/>
    <m/>
    <m/>
    <m/>
    <m/>
    <s v="Funcional"/>
    <s v="Imprimir-Cambios-De-Precio"/>
    <s v="T3B20_BOT"/>
    <s v="Tienda2.0"/>
    <s v="UAT_V0.14"/>
    <m/>
    <m/>
    <m/>
    <m/>
    <s v="Yubisleinys Mora Vega"/>
    <d v="2025-12-10T15:22:00"/>
    <s v="v0.15"/>
    <m/>
    <m/>
    <m/>
    <x v="1"/>
    <x v="7"/>
    <m/>
    <x v="2"/>
    <x v="2"/>
    <x v="2"/>
    <n v="25"/>
    <x v="1"/>
    <x v="6"/>
    <x v="1"/>
    <x v="3"/>
    <s v=""/>
    <n v="0"/>
  </r>
  <r>
    <s v="Error"/>
    <s v="T20-3512"/>
    <n v="119388"/>
    <s v="POS - Arqueo no está abriendo el cajón del POS"/>
    <x v="2"/>
    <x v="3"/>
    <s v="T20 Sprint 25 2025"/>
    <s v="T20 Sprint 26 2025"/>
    <m/>
    <m/>
    <m/>
    <m/>
    <m/>
    <m/>
    <m/>
    <m/>
    <m/>
    <s v="Arqueo"/>
    <s v="Funcional"/>
    <s v="T3B20_POS"/>
    <s v="Tienda2.0"/>
    <s v="UAT_V0.14"/>
    <m/>
    <m/>
    <m/>
    <m/>
    <s v="Daniela Soto"/>
    <d v="2025-12-10T15:16:00"/>
    <s v="v0.15"/>
    <m/>
    <m/>
    <m/>
    <x v="0"/>
    <x v="7"/>
    <m/>
    <x v="2"/>
    <x v="2"/>
    <x v="2"/>
    <n v="25"/>
    <x v="1"/>
    <x v="23"/>
    <x v="1"/>
    <x v="3"/>
    <s v=""/>
    <n v="0"/>
  </r>
  <r>
    <s v="Error"/>
    <s v="T20-3510"/>
    <n v="119372"/>
    <s v="BOT - Pantalla en blanco después de aplicar Regla 13"/>
    <x v="2"/>
    <x v="0"/>
    <s v="T20 Sprint 26 2025"/>
    <m/>
    <m/>
    <m/>
    <m/>
    <m/>
    <m/>
    <m/>
    <m/>
    <m/>
    <m/>
    <s v="Funcional"/>
    <s v="Reporte-De-Inventario"/>
    <s v="T3B20_BOT"/>
    <s v="Tienda2.0"/>
    <s v="UAT_V0.13"/>
    <m/>
    <m/>
    <m/>
    <m/>
    <s v="Yubisleinys Mora Vega"/>
    <d v="2025-12-10T14:40:00"/>
    <s v="v0.16"/>
    <m/>
    <m/>
    <m/>
    <x v="1"/>
    <x v="4"/>
    <m/>
    <x v="1"/>
    <x v="1"/>
    <x v="1"/>
    <n v="0"/>
    <x v="1"/>
    <x v="20"/>
    <x v="1"/>
    <x v="2"/>
    <s v=""/>
    <n v="0"/>
  </r>
  <r>
    <s v="Error"/>
    <s v="T20-3507"/>
    <n v="119364"/>
    <s v="POS - Faltan símbolos en la pantalla modal devolución"/>
    <x v="2"/>
    <x v="1"/>
    <s v="T20 Sprint 25 2025"/>
    <s v="T20 Sprint 26 2025"/>
    <m/>
    <m/>
    <m/>
    <m/>
    <m/>
    <m/>
    <m/>
    <m/>
    <m/>
    <s v="Devoluciones"/>
    <s v="Look&amp;Feel"/>
    <s v="T3B20_POS"/>
    <s v="Tienda2.0"/>
    <s v="UAT_V0.13"/>
    <m/>
    <m/>
    <m/>
    <m/>
    <s v="Yubisleinys Mora Vega"/>
    <d v="2025-12-10T14:16:00"/>
    <s v="v0.16"/>
    <m/>
    <m/>
    <m/>
    <x v="0"/>
    <x v="7"/>
    <m/>
    <x v="1"/>
    <x v="1"/>
    <x v="1"/>
    <n v="0"/>
    <x v="0"/>
    <x v="24"/>
    <x v="1"/>
    <x v="2"/>
    <s v=""/>
    <n v="0"/>
  </r>
  <r>
    <s v="Error"/>
    <s v="T20-3506"/>
    <n v="119316"/>
    <s v="Se borra toda la información del panel de Ventas (BOT) después de realizar una devolución"/>
    <x v="3"/>
    <x v="3"/>
    <s v="T20 Sprint 25 2025"/>
    <s v="T20 Sprint 26 2025"/>
    <m/>
    <m/>
    <m/>
    <m/>
    <m/>
    <m/>
    <m/>
    <m/>
    <m/>
    <s v="Dashboard-Ventas"/>
    <s v="Funcional"/>
    <s v="UAT_V0.14"/>
    <m/>
    <m/>
    <m/>
    <m/>
    <m/>
    <m/>
    <s v="Carolina Rodríguez Soriano"/>
    <d v="2025-12-10T11:57:00"/>
    <m/>
    <m/>
    <m/>
    <m/>
    <x v="1"/>
    <x v="4"/>
    <m/>
    <x v="2"/>
    <x v="2"/>
    <x v="0"/>
    <s v="No encontrado"/>
    <x v="1"/>
    <x v="21"/>
    <x v="1"/>
    <x v="3"/>
    <s v=""/>
    <n v="0"/>
  </r>
  <r>
    <s v="Error"/>
    <s v="T20-3294"/>
    <n v="118885"/>
    <s v="POS - Al ingresar caracteres en un campo de texto, el curso hace un &quot;salto atrás&quot; y dificulta escribir."/>
    <x v="1"/>
    <x v="0"/>
    <s v="T20 Sprint 24 2025"/>
    <s v="T20 Sprint 25 2025"/>
    <s v="T20 Sprint 26 2025"/>
    <m/>
    <m/>
    <m/>
    <m/>
    <m/>
    <m/>
    <m/>
    <m/>
    <s v="Bugs-En-Inputs"/>
    <s v="Funcional"/>
    <s v="QA-IntegraciónV0.14"/>
    <s v="Revisado"/>
    <m/>
    <m/>
    <m/>
    <m/>
    <m/>
    <s v="Daniela Soto"/>
    <d v="2025-12-09T15:45:00"/>
    <m/>
    <m/>
    <m/>
    <m/>
    <x v="0"/>
    <x v="7"/>
    <m/>
    <x v="2"/>
    <x v="2"/>
    <x v="0"/>
    <s v="No encontrado"/>
    <x v="1"/>
    <x v="18"/>
    <x v="0"/>
    <x v="0"/>
    <s v=""/>
    <n v="0"/>
  </r>
  <r>
    <s v="Error"/>
    <s v="T20-3293"/>
    <n v="118788"/>
    <s v="BOT - El botón Cancelar del modal de autenticación no cierra la ventana en flujo de Pedido Eficiente"/>
    <x v="1"/>
    <x v="0"/>
    <m/>
    <m/>
    <m/>
    <m/>
    <m/>
    <m/>
    <m/>
    <m/>
    <m/>
    <m/>
    <m/>
    <s v="Funcional"/>
    <s v="QA-IntegraciónV0.14"/>
    <s v="Realizar-Pedido-Eficiente"/>
    <s v="Revisado"/>
    <m/>
    <m/>
    <m/>
    <m/>
    <m/>
    <s v="Yubisleinys Mora Vega"/>
    <d v="2025-12-09T11:11:00"/>
    <m/>
    <m/>
    <m/>
    <m/>
    <x v="1"/>
    <x v="7"/>
    <m/>
    <x v="2"/>
    <x v="2"/>
    <x v="0"/>
    <s v="No encontrado"/>
    <x v="1"/>
    <x v="9"/>
    <x v="0"/>
    <x v="0"/>
    <s v=""/>
    <n v="0"/>
  </r>
  <r>
    <s v="Error"/>
    <s v="T20-3286"/>
    <n v="118755"/>
    <s v="POS - Ctrl U no funciona correctamente, se cierra la pantalla "/>
    <x v="1"/>
    <x v="4"/>
    <s v="T20 Sprint 25 2025"/>
    <s v="T20 Sprint 26 2025"/>
    <m/>
    <m/>
    <m/>
    <m/>
    <m/>
    <m/>
    <m/>
    <m/>
    <m/>
    <s v="Consulta-Última-Transacción-Santander"/>
    <s v="Funcional"/>
    <s v="QA-IntegraciónV0.14"/>
    <s v="T3B20_POS"/>
    <s v="Tienda2.0"/>
    <m/>
    <m/>
    <m/>
    <m/>
    <s v="Daniela Soto"/>
    <d v="2025-12-09T09:56:00"/>
    <m/>
    <m/>
    <m/>
    <m/>
    <x v="0"/>
    <x v="7"/>
    <m/>
    <x v="2"/>
    <x v="2"/>
    <x v="0"/>
    <s v="No encontrado"/>
    <x v="1"/>
    <x v="25"/>
    <x v="0"/>
    <x v="0"/>
    <s v=""/>
    <n v="0"/>
  </r>
  <r>
    <s v="Error"/>
    <s v="T20-3284"/>
    <n v="118516"/>
    <s v="BOT - Pedido eficiente - La pantalla queda en gris al confirmar Pedido Eficiente"/>
    <x v="1"/>
    <x v="7"/>
    <s v="T20 Sprint 26 2025"/>
    <m/>
    <m/>
    <m/>
    <m/>
    <m/>
    <m/>
    <m/>
    <m/>
    <m/>
    <m/>
    <s v="Funcional"/>
    <s v="QA-IntegraciónV0.14"/>
    <s v="Realizar-Pedido-Eficiente"/>
    <s v="Revisado"/>
    <s v="T3B20_BOT"/>
    <s v="Tienda2.0"/>
    <m/>
    <m/>
    <m/>
    <s v="Yubisleinys Mora Vega"/>
    <d v="2025-12-08T16:38:00"/>
    <s v="v0.16"/>
    <m/>
    <m/>
    <m/>
    <x v="1"/>
    <x v="7"/>
    <m/>
    <x v="2"/>
    <x v="2"/>
    <x v="1"/>
    <n v="0"/>
    <x v="1"/>
    <x v="9"/>
    <x v="0"/>
    <x v="0"/>
    <s v=""/>
    <n v="0"/>
  </r>
  <r>
    <s v="Error"/>
    <s v="T20-3283"/>
    <n v="118492"/>
    <s v="BOT - No se visualiza la sección “Movimientos” con las operaciones diarias en el panel de Efectivo"/>
    <x v="1"/>
    <x v="3"/>
    <s v="T20 Sprint 25 2025"/>
    <s v="T20 Sprint 26 2025"/>
    <m/>
    <m/>
    <m/>
    <m/>
    <m/>
    <m/>
    <m/>
    <m/>
    <m/>
    <s v="Dashboard-Efectivo"/>
    <s v="Funcional"/>
    <s v="QA-IntegraciónV0.14"/>
    <s v="T3B20_BOT"/>
    <s v="Tienda2.0"/>
    <m/>
    <m/>
    <m/>
    <m/>
    <s v="Yubisleinys Mora Vega"/>
    <d v="2025-12-08T15:58:00"/>
    <s v="v0.15"/>
    <m/>
    <m/>
    <m/>
    <x v="1"/>
    <x v="7"/>
    <m/>
    <x v="2"/>
    <x v="2"/>
    <x v="2"/>
    <n v="25"/>
    <x v="1"/>
    <x v="26"/>
    <x v="0"/>
    <x v="0"/>
    <s v=""/>
    <n v="0"/>
  </r>
  <r>
    <s v="Error"/>
    <s v="T20-3282"/>
    <n v="118485"/>
    <s v="BOT - No se visualizan los botones en algunos modales"/>
    <x v="3"/>
    <x v="3"/>
    <s v="T20 Sprint 25 2025"/>
    <s v="T20 Sprint 26 2025"/>
    <m/>
    <m/>
    <m/>
    <m/>
    <m/>
    <m/>
    <m/>
    <m/>
    <m/>
    <s v="Funcional"/>
    <s v="QA-IntegraciónV0.14"/>
    <s v="Registrar-Merma"/>
    <s v="T3B20_BOT"/>
    <s v="Tienda2.0"/>
    <m/>
    <m/>
    <m/>
    <m/>
    <s v="Yubisleinys Mora Vega"/>
    <d v="2025-12-08T15:39:00"/>
    <s v="v0.15"/>
    <m/>
    <m/>
    <m/>
    <x v="1"/>
    <x v="4"/>
    <s v="Emiliano Fraile"/>
    <x v="2"/>
    <x v="2"/>
    <x v="2"/>
    <n v="25"/>
    <x v="1"/>
    <x v="4"/>
    <x v="0"/>
    <x v="0"/>
    <s v=""/>
    <n v="0"/>
  </r>
  <r>
    <s v="Error"/>
    <s v="T20-3278"/>
    <n v="118419"/>
    <s v="En pantalla de registro de gastos aunque no se ponga el comentario obligatorio se registra el gasto infinidad de veces y no aparece una notificacion de que ya se realizo el registro del mismo"/>
    <x v="3"/>
    <x v="0"/>
    <s v="T20 Sprint 26 2025"/>
    <m/>
    <m/>
    <m/>
    <m/>
    <m/>
    <m/>
    <m/>
    <m/>
    <m/>
    <m/>
    <s v="Funcional"/>
    <s v="Registro-de-Gastos"/>
    <s v="Revisado"/>
    <s v="T3B20_BOT"/>
    <s v="Tienda2.0"/>
    <s v="UAT"/>
    <s v="UAT_V0.14"/>
    <m/>
    <m/>
    <s v="Maria Pilar Albacete Occhi"/>
    <d v="2025-12-08T12:28:00"/>
    <s v="v0.16"/>
    <m/>
    <m/>
    <m/>
    <x v="1"/>
    <x v="4"/>
    <m/>
    <x v="2"/>
    <x v="2"/>
    <x v="1"/>
    <n v="0"/>
    <x v="1"/>
    <x v="27"/>
    <x v="1"/>
    <x v="3"/>
    <s v=""/>
    <n v="0"/>
  </r>
  <r>
    <s v="Error"/>
    <s v="T20-3277"/>
    <n v="118418"/>
    <s v="Algunos shortcuts no funcionan al instante, se necesita cambiar de Tablero para que ejecuten la actividad."/>
    <x v="1"/>
    <x v="0"/>
    <m/>
    <m/>
    <m/>
    <m/>
    <m/>
    <m/>
    <m/>
    <m/>
    <m/>
    <m/>
    <m/>
    <s v="Atajos-Teclado-BOT"/>
    <s v="Funcional"/>
    <s v="Revisar_Diseño"/>
    <s v="UAT"/>
    <s v="UAT_V0.14"/>
    <m/>
    <m/>
    <m/>
    <m/>
    <s v="Maria Pilar Albacete Occhi"/>
    <d v="2025-12-08T12:27:00"/>
    <m/>
    <m/>
    <m/>
    <m/>
    <x v="1"/>
    <x v="7"/>
    <m/>
    <x v="2"/>
    <x v="2"/>
    <x v="0"/>
    <s v="No encontrado"/>
    <x v="1"/>
    <x v="19"/>
    <x v="1"/>
    <x v="3"/>
    <s v=""/>
    <n v="0"/>
  </r>
  <r>
    <s v="Error"/>
    <s v="T20-3276"/>
    <n v="118417"/>
    <s v="En pedido eficiente al seleccionar 20 o 50 articulos a mostrar por pagina se desctiva la opcion, ya no permite regresar."/>
    <x v="1"/>
    <x v="3"/>
    <s v="T20 Sprint 25 2025"/>
    <s v="T20 Sprint 26 2025"/>
    <m/>
    <m/>
    <m/>
    <m/>
    <m/>
    <m/>
    <m/>
    <m/>
    <m/>
    <s v="Funcional"/>
    <s v="Realizar-Pedido-Eficiente"/>
    <s v="UAT"/>
    <s v="UAT_V0.14"/>
    <m/>
    <m/>
    <m/>
    <m/>
    <m/>
    <s v="Maria Pilar Albacete Occhi"/>
    <d v="2025-12-08T12:26:00"/>
    <s v="v0.14"/>
    <m/>
    <m/>
    <m/>
    <x v="1"/>
    <x v="7"/>
    <m/>
    <x v="2"/>
    <x v="2"/>
    <x v="3"/>
    <n v="24"/>
    <x v="1"/>
    <x v="9"/>
    <x v="1"/>
    <x v="3"/>
    <s v=""/>
    <n v="0"/>
  </r>
  <r>
    <s v="Error"/>
    <s v="T20-3275"/>
    <n v="118414"/>
    <s v="En una cancelación de producto de peso variable los gramos los cuentan como cantidad de productos y este se ve reflejado en el tablero de ventas."/>
    <x v="1"/>
    <x v="2"/>
    <s v="T20 Sprint 25 2025"/>
    <s v="T20 Sprint 26 2025"/>
    <m/>
    <m/>
    <m/>
    <m/>
    <m/>
    <m/>
    <m/>
    <m/>
    <m/>
    <s v="Cobro-De-Productos-Peso-Variable"/>
    <s v="Funcional"/>
    <s v="Revisado"/>
    <s v="T3B20_POS"/>
    <s v="Tienda2.0"/>
    <s v="UAT"/>
    <s v="UAT_V0.13"/>
    <m/>
    <m/>
    <s v="Maria Pilar Albacete Occhi"/>
    <d v="2025-12-08T12:24:00"/>
    <s v="v0.16"/>
    <m/>
    <m/>
    <m/>
    <x v="0"/>
    <x v="7"/>
    <m/>
    <x v="1"/>
    <x v="1"/>
    <x v="1"/>
    <n v="0"/>
    <x v="1"/>
    <x v="28"/>
    <x v="1"/>
    <x v="2"/>
    <s v=""/>
    <n v="0"/>
  </r>
  <r>
    <s v="Error"/>
    <s v="T20-3274"/>
    <n v="118413"/>
    <s v="EL PANEL DE AJUSTE DE INVENTARIO NO SE ACTUALIZA DESPUES DE REALIZAR EL AJUSTE"/>
    <x v="3"/>
    <x v="0"/>
    <s v="T20 Sprint 26 2025"/>
    <m/>
    <m/>
    <m/>
    <m/>
    <m/>
    <m/>
    <m/>
    <m/>
    <m/>
    <m/>
    <s v="Funcional"/>
    <s v="Realizar-Inventario"/>
    <s v="Revisado"/>
    <s v="T3B20_BOT"/>
    <s v="Tienda2.0"/>
    <s v="UAT"/>
    <s v="UAT_V0.13"/>
    <m/>
    <m/>
    <s v="Maria Pilar Albacete Occhi"/>
    <d v="2025-12-08T12:23:00"/>
    <s v="v0.16"/>
    <m/>
    <m/>
    <m/>
    <x v="1"/>
    <x v="7"/>
    <m/>
    <x v="1"/>
    <x v="1"/>
    <x v="1"/>
    <n v="0"/>
    <x v="1"/>
    <x v="29"/>
    <x v="1"/>
    <x v="2"/>
    <s v=""/>
    <n v="0"/>
  </r>
  <r>
    <s v="Error"/>
    <s v="T20-3273"/>
    <n v="118412"/>
    <s v="NO SE ACTUALIZAN LOS PRODUCTOS (Panel de productos) QUE SE ESTAN VENDIDO DURANTE EL PROCESO DE INVENTARIO."/>
    <x v="3"/>
    <x v="0"/>
    <s v="T20 Sprint 26 2025"/>
    <m/>
    <m/>
    <m/>
    <m/>
    <m/>
    <m/>
    <m/>
    <m/>
    <m/>
    <m/>
    <s v="Funcional"/>
    <s v="Realizar-Inventario"/>
    <s v="Revisado"/>
    <s v="T3B20_BOT"/>
    <s v="Tienda2.0"/>
    <s v="UAT"/>
    <s v="UAT_V0.13"/>
    <m/>
    <m/>
    <s v="Maria Pilar Albacete Occhi"/>
    <d v="2025-12-08T12:22:00"/>
    <s v="v0.16"/>
    <m/>
    <m/>
    <m/>
    <x v="1"/>
    <x v="7"/>
    <m/>
    <x v="1"/>
    <x v="1"/>
    <x v="1"/>
    <n v="0"/>
    <x v="1"/>
    <x v="29"/>
    <x v="1"/>
    <x v="2"/>
    <s v=""/>
    <n v="0"/>
  </r>
  <r>
    <s v="Error"/>
    <s v="T20-3272"/>
    <n v="118406"/>
    <s v="No se visualiza la opcion &quot;adicionar ó reemplazar&quot; despues de generar el primer conteo de inventario."/>
    <x v="1"/>
    <x v="0"/>
    <m/>
    <m/>
    <m/>
    <m/>
    <m/>
    <m/>
    <m/>
    <m/>
    <m/>
    <m/>
    <m/>
    <s v="Funcional"/>
    <s v="Pendiente_Desarrollo"/>
    <s v="Realizar-Inventario"/>
    <s v="Revisado"/>
    <s v="T3B20_BOT"/>
    <s v="Tienda2.0"/>
    <s v="UAT"/>
    <s v="UAT_V0.13"/>
    <m/>
    <s v="Maria Pilar Albacete Occhi"/>
    <d v="2025-12-08T12:21:00"/>
    <m/>
    <m/>
    <m/>
    <m/>
    <x v="1"/>
    <x v="7"/>
    <m/>
    <x v="1"/>
    <x v="1"/>
    <x v="0"/>
    <s v="No encontrado"/>
    <x v="1"/>
    <x v="29"/>
    <x v="1"/>
    <x v="2"/>
    <s v=""/>
    <n v="0"/>
  </r>
  <r>
    <s v="Error"/>
    <s v="T20-3271"/>
    <n v="118404"/>
    <s v="POS - La cantidad se visualiza doble al realizar cobro con CODI"/>
    <x v="1"/>
    <x v="8"/>
    <s v="T20 Sprint 26 2025"/>
    <m/>
    <m/>
    <m/>
    <m/>
    <m/>
    <m/>
    <m/>
    <m/>
    <m/>
    <m/>
    <s v="Funcional"/>
    <s v="T3B20_POS"/>
    <s v="Tienda2.0"/>
    <s v="UAT"/>
    <s v="UAT_V0.13"/>
    <m/>
    <m/>
    <m/>
    <m/>
    <s v="Maria Pilar Albacete Occhi"/>
    <d v="2025-12-08T12:19:00"/>
    <s v="v0.16"/>
    <m/>
    <m/>
    <m/>
    <x v="0"/>
    <x v="7"/>
    <m/>
    <x v="1"/>
    <x v="1"/>
    <x v="1"/>
    <n v="0"/>
    <x v="1"/>
    <x v="30"/>
    <x v="1"/>
    <x v="2"/>
    <s v=""/>
    <n v="0"/>
  </r>
  <r>
    <s v="Error"/>
    <s v="T20-3270"/>
    <n v="118392"/>
    <s v="POS - No se visualiza el usuario correcto en la pantalla de POS al iniciar y cerrar turno"/>
    <x v="1"/>
    <x v="3"/>
    <s v="T20 Sprint 25 2025"/>
    <s v="T20 Sprint 26 2025"/>
    <m/>
    <m/>
    <m/>
    <m/>
    <m/>
    <m/>
    <m/>
    <m/>
    <m/>
    <s v="Cierre-De-Turno"/>
    <s v="Inicio-De-Turno"/>
    <s v="Look&amp;Feel"/>
    <s v="QA-IntegraciónV0.14"/>
    <s v="T3B20_POS"/>
    <s v="Tienda2.0"/>
    <m/>
    <m/>
    <m/>
    <s v="Yubisleinys Mora Vega"/>
    <d v="2025-12-08T12:00:00"/>
    <s v="v0.15"/>
    <m/>
    <m/>
    <m/>
    <x v="0"/>
    <x v="7"/>
    <m/>
    <x v="2"/>
    <x v="2"/>
    <x v="2"/>
    <n v="25"/>
    <x v="0"/>
    <x v="31"/>
    <x v="0"/>
    <x v="0"/>
    <s v=""/>
    <n v="0"/>
  </r>
  <r>
    <s v="Error"/>
    <s v="T20-3269"/>
    <n v="118377"/>
    <s v="POS: Corrección de filtro para generar el arqueo"/>
    <x v="1"/>
    <x v="3"/>
    <s v="T20 Sprint 25 2025"/>
    <s v="T20 Sprint 26 2025"/>
    <m/>
    <m/>
    <m/>
    <m/>
    <m/>
    <m/>
    <m/>
    <m/>
    <m/>
    <s v="Arqueo"/>
    <s v="Bug_Devuelto_v0.15"/>
    <s v="Funcional"/>
    <s v="T3B20_POS"/>
    <s v="Tienda2.0"/>
    <s v="UAT_V0.14"/>
    <m/>
    <m/>
    <m/>
    <s v="Ludo"/>
    <d v="2025-12-08T11:32:00"/>
    <s v="v0.15"/>
    <m/>
    <m/>
    <m/>
    <x v="0"/>
    <x v="7"/>
    <m/>
    <x v="2"/>
    <x v="2"/>
    <x v="2"/>
    <n v="25"/>
    <x v="1"/>
    <x v="23"/>
    <x v="1"/>
    <x v="3"/>
    <s v="SI"/>
    <n v="1"/>
  </r>
  <r>
    <s v="Error"/>
    <s v="T20-3268"/>
    <n v="118373"/>
    <s v="BOT - En el evento BOT_START_STORY_DAY viene siempre como user: Maria Elena Vargas Lozano"/>
    <x v="1"/>
    <x v="3"/>
    <s v="T20 Sprint 25 2025"/>
    <s v="T20 Sprint 26 2025"/>
    <m/>
    <m/>
    <m/>
    <m/>
    <m/>
    <m/>
    <m/>
    <m/>
    <m/>
    <s v="Eventos_iOT"/>
    <s v="Inicio-De-Día"/>
    <s v="QA-IntegraciónV0.14"/>
    <s v="T3B20_BOT"/>
    <s v="Tienda2.0"/>
    <m/>
    <m/>
    <m/>
    <m/>
    <s v="Yubisleinys Mora Vega"/>
    <d v="2025-12-08T11:21:00"/>
    <s v="v0.15"/>
    <m/>
    <m/>
    <m/>
    <x v="1"/>
    <x v="7"/>
    <m/>
    <x v="2"/>
    <x v="2"/>
    <x v="2"/>
    <n v="25"/>
    <x v="3"/>
    <x v="32"/>
    <x v="0"/>
    <x v="0"/>
    <s v=""/>
    <n v="0"/>
  </r>
  <r>
    <s v="Error"/>
    <s v="T20-3254"/>
    <n v="118259"/>
    <s v="BOT - Cambio de precio - No imprime correctamente"/>
    <x v="2"/>
    <x v="0"/>
    <s v="T20 Sprint 25 2025"/>
    <s v="T20 Sprint 26 2025"/>
    <m/>
    <m/>
    <m/>
    <m/>
    <m/>
    <m/>
    <m/>
    <m/>
    <m/>
    <s v="Imprimir-Cambios-De-Precio"/>
    <s v="Look&amp;Feel"/>
    <s v="QA-IntegraciónV0.14"/>
    <s v="T3B20_BOT"/>
    <s v="Tienda2.0"/>
    <m/>
    <m/>
    <m/>
    <m/>
    <s v="Yubisleinys Mora Vega"/>
    <d v="2025-12-08T08:30:00"/>
    <s v="v0.15"/>
    <m/>
    <m/>
    <m/>
    <x v="1"/>
    <x v="7"/>
    <m/>
    <x v="2"/>
    <x v="2"/>
    <x v="2"/>
    <n v="25"/>
    <x v="0"/>
    <x v="6"/>
    <x v="0"/>
    <x v="0"/>
    <s v=""/>
    <n v="0"/>
  </r>
  <r>
    <s v="Error"/>
    <s v="T20-3213"/>
    <n v="118023"/>
    <s v="BOT - Cambio de precio - Modal de configuración de impresión: botón “Guardar” activo y diseño inconsistente"/>
    <x v="1"/>
    <x v="3"/>
    <s v="T20 Sprint 25 2025"/>
    <s v="T20 Sprint 26 2025"/>
    <m/>
    <m/>
    <m/>
    <m/>
    <m/>
    <m/>
    <m/>
    <m/>
    <m/>
    <s v="Funcional"/>
    <s v="Imprimir-Cambios-De-Precio"/>
    <s v="Look&amp;Feel"/>
    <s v="QA-IntegraciónV0.13"/>
    <s v="T3B20_BOT"/>
    <s v="Tienda2.0"/>
    <m/>
    <m/>
    <m/>
    <s v="Yubisleinys Mora Vega"/>
    <d v="2025-12-05T16:16:00"/>
    <s v="v0.15"/>
    <m/>
    <m/>
    <m/>
    <x v="1"/>
    <x v="4"/>
    <m/>
    <x v="1"/>
    <x v="1"/>
    <x v="2"/>
    <n v="25"/>
    <x v="1"/>
    <x v="6"/>
    <x v="0"/>
    <x v="0"/>
    <s v=""/>
    <n v="0"/>
  </r>
  <r>
    <s v="Error"/>
    <s v="T20-3212"/>
    <n v="118013"/>
    <s v="BOT - Cambio de precio - Errores en impresión"/>
    <x v="2"/>
    <x v="0"/>
    <m/>
    <m/>
    <m/>
    <m/>
    <m/>
    <m/>
    <m/>
    <m/>
    <m/>
    <m/>
    <m/>
    <s v="Funcional"/>
    <s v="Imprimir-Cambios-De-Precio"/>
    <s v="Look&amp;Feel"/>
    <s v="QA-IntegraciónV0.13"/>
    <m/>
    <m/>
    <m/>
    <m/>
    <m/>
    <s v="Yubisleinys Mora Vega"/>
    <d v="2025-12-05T15:57:00"/>
    <m/>
    <m/>
    <m/>
    <m/>
    <x v="1"/>
    <x v="4"/>
    <m/>
    <x v="1"/>
    <x v="1"/>
    <x v="0"/>
    <s v="No encontrado"/>
    <x v="1"/>
    <x v="6"/>
    <x v="0"/>
    <x v="0"/>
    <s v=""/>
    <n v="0"/>
  </r>
  <r>
    <s v="Error"/>
    <s v="T20-3210"/>
    <n v="118000"/>
    <s v="POS - Realizar arqueo - Inconsistencia en dato de vendedor en ticket impreso"/>
    <x v="0"/>
    <x v="0"/>
    <m/>
    <m/>
    <m/>
    <m/>
    <m/>
    <m/>
    <m/>
    <m/>
    <m/>
    <m/>
    <m/>
    <s v="Arqueo"/>
    <s v="Look&amp;Feel"/>
    <s v="QA-IntegraciónV0.14"/>
    <m/>
    <m/>
    <m/>
    <m/>
    <m/>
    <m/>
    <s v="Yubisleinys Mora Vega"/>
    <d v="2025-12-05T15:09:00"/>
    <m/>
    <m/>
    <m/>
    <m/>
    <x v="0"/>
    <x v="4"/>
    <m/>
    <x v="2"/>
    <x v="2"/>
    <x v="0"/>
    <s v="No encontrado"/>
    <x v="0"/>
    <x v="23"/>
    <x v="0"/>
    <x v="0"/>
    <s v=""/>
    <n v="0"/>
  </r>
  <r>
    <s v="Error"/>
    <s v="T20-3179"/>
    <n v="117507"/>
    <s v="BOT - Pie de camión - Botones incorrectos en modales"/>
    <x v="2"/>
    <x v="0"/>
    <m/>
    <m/>
    <m/>
    <m/>
    <m/>
    <m/>
    <m/>
    <m/>
    <m/>
    <m/>
    <m/>
    <s v="Funcional"/>
    <s v="QA-IntegraciónV0.14"/>
    <s v="Recibir-Mercancía-Pie-de-Camión"/>
    <s v="T3B20_BOT"/>
    <s v="Tienda2.0"/>
    <m/>
    <m/>
    <m/>
    <m/>
    <s v="Yubisleinys Mora Vega"/>
    <d v="2025-12-04T12:13:00"/>
    <m/>
    <m/>
    <m/>
    <m/>
    <x v="1"/>
    <x v="4"/>
    <m/>
    <x v="2"/>
    <x v="2"/>
    <x v="0"/>
    <s v="No encontrado"/>
    <x v="1"/>
    <x v="33"/>
    <x v="0"/>
    <x v="0"/>
    <s v=""/>
    <n v="0"/>
  </r>
  <r>
    <s v="Error"/>
    <s v="T20-3177"/>
    <n v="117430"/>
    <s v="BOT - Pie de camión - No muestra productos después de ingresar número de factura"/>
    <x v="1"/>
    <x v="0"/>
    <s v="T20 Sprint 25 2025"/>
    <s v="T20 Sprint 26 2025"/>
    <m/>
    <m/>
    <m/>
    <m/>
    <m/>
    <m/>
    <m/>
    <m/>
    <m/>
    <s v="Funcional"/>
    <s v="QA-IntegraciónV0.14"/>
    <s v="Recibir-Mercancía-Pie-de-Camión"/>
    <m/>
    <m/>
    <m/>
    <m/>
    <m/>
    <m/>
    <s v="Yubisleinys Mora Vega"/>
    <d v="2025-12-04T10:01:00"/>
    <m/>
    <m/>
    <m/>
    <m/>
    <x v="1"/>
    <x v="7"/>
    <m/>
    <x v="2"/>
    <x v="2"/>
    <x v="0"/>
    <s v="No encontrado"/>
    <x v="1"/>
    <x v="33"/>
    <x v="0"/>
    <x v="0"/>
    <s v=""/>
    <n v="0"/>
  </r>
  <r>
    <s v="Error"/>
    <s v="T20-3173"/>
    <n v="117165"/>
    <s v="BOT - Recibir mercancía - Alineación incorrecta de botones en el modal de selección de folio"/>
    <x v="2"/>
    <x v="6"/>
    <s v="T20 Sprint 26 2025"/>
    <m/>
    <m/>
    <m/>
    <m/>
    <m/>
    <m/>
    <m/>
    <m/>
    <m/>
    <m/>
    <s v="Look&amp;Feel"/>
    <s v="QA-IntegraciónV0.14"/>
    <s v="Recibir-Mercancía-Almacén-Tienda"/>
    <s v="T3B20_BOT"/>
    <s v="Tienda2.0"/>
    <m/>
    <m/>
    <m/>
    <m/>
    <s v="Yubisleinys Mora Vega"/>
    <d v="2025-12-03T16:34:00"/>
    <s v="v0.16"/>
    <m/>
    <m/>
    <m/>
    <x v="1"/>
    <x v="7"/>
    <m/>
    <x v="2"/>
    <x v="2"/>
    <x v="1"/>
    <n v="0"/>
    <x v="0"/>
    <x v="3"/>
    <x v="0"/>
    <x v="0"/>
    <s v=""/>
    <n v="0"/>
  </r>
  <r>
    <s v="Error"/>
    <s v="T20-3172"/>
    <n v="117145"/>
    <s v="POS - Con turno cerrado - No se muestra F11 ni la opción &quot;Salir/Cerrar sesión&quot;"/>
    <x v="1"/>
    <x v="3"/>
    <s v="T20 Sprint 25 2025"/>
    <s v="T20 Sprint 26 2025"/>
    <m/>
    <m/>
    <m/>
    <m/>
    <m/>
    <m/>
    <m/>
    <m/>
    <m/>
    <s v="Cierre-De-Turno"/>
    <s v="Grooming_S25"/>
    <s v="Look&amp;Feel"/>
    <s v="QA-IntegraciónV0.14"/>
    <s v="T3B20_POS"/>
    <s v="Tienda2.0"/>
    <m/>
    <m/>
    <m/>
    <s v="Daniela Soto"/>
    <d v="2025-12-03T15:49:00"/>
    <s v="v0.15"/>
    <m/>
    <m/>
    <m/>
    <x v="0"/>
    <x v="7"/>
    <m/>
    <x v="2"/>
    <x v="2"/>
    <x v="2"/>
    <n v="25"/>
    <x v="0"/>
    <x v="2"/>
    <x v="0"/>
    <x v="0"/>
    <s v=""/>
    <n v="0"/>
  </r>
  <r>
    <s v="Error"/>
    <s v="T20-3169"/>
    <n v="117005"/>
    <s v="BOT - Registro de merma - No se muestra al intentar realizar un registro de merma el modal de Autenticación."/>
    <x v="1"/>
    <x v="3"/>
    <s v="T20 Sprint 25 2025"/>
    <s v="T20 Sprint 26 2025"/>
    <m/>
    <m/>
    <m/>
    <m/>
    <m/>
    <m/>
    <m/>
    <m/>
    <m/>
    <s v="Funcional"/>
    <s v="Grooming_S25"/>
    <s v="QA-IntegraciónV0.14"/>
    <s v="Registrar-Merma"/>
    <s v="T3B20_BOT"/>
    <s v="Tienda2.0"/>
    <m/>
    <m/>
    <m/>
    <s v="Yubisleinys Mora Vega"/>
    <d v="2025-12-03T09:21:00"/>
    <s v="v0.15"/>
    <m/>
    <m/>
    <m/>
    <x v="1"/>
    <x v="4"/>
    <m/>
    <x v="2"/>
    <x v="2"/>
    <x v="2"/>
    <n v="25"/>
    <x v="1"/>
    <x v="4"/>
    <x v="0"/>
    <x v="0"/>
    <s v=""/>
    <n v="0"/>
  </r>
  <r>
    <s v="Error"/>
    <s v="T20-3165"/>
    <n v="116774"/>
    <s v="BOT - Distribución incorrecta mostrada en Desglose al confirmar cierre de turno en BOT"/>
    <x v="1"/>
    <x v="0"/>
    <m/>
    <m/>
    <m/>
    <m/>
    <m/>
    <m/>
    <m/>
    <m/>
    <m/>
    <m/>
    <m/>
    <s v="Confirmar-Cierre-De-Turno"/>
    <s v="Funcional"/>
    <s v="Pendiente_Desarrollo"/>
    <s v="QA-IntegraciónV0.14"/>
    <s v="Revisado"/>
    <s v="T3B20_BOT"/>
    <s v="Tienda2.0"/>
    <m/>
    <m/>
    <s v="Yubisleinys Mora Vega"/>
    <d v="2025-12-02T13:55:00"/>
    <m/>
    <m/>
    <m/>
    <m/>
    <x v="1"/>
    <x v="7"/>
    <m/>
    <x v="2"/>
    <x v="2"/>
    <x v="0"/>
    <s v="No encontrado"/>
    <x v="1"/>
    <x v="34"/>
    <x v="0"/>
    <x v="0"/>
    <s v=""/>
    <n v="0"/>
  </r>
  <r>
    <s v="Error"/>
    <s v="T20-3163"/>
    <n v="116587"/>
    <s v="BOT - Atajo teclado F9 - no abre modal Ubicación de familias"/>
    <x v="2"/>
    <x v="4"/>
    <m/>
    <m/>
    <m/>
    <m/>
    <m/>
    <m/>
    <m/>
    <m/>
    <m/>
    <m/>
    <m/>
    <s v="Atajos-Teclado-BOT"/>
    <s v="Funcional"/>
    <s v="QA-IntegraciónV0.14"/>
    <m/>
    <m/>
    <m/>
    <m/>
    <m/>
    <m/>
    <s v="Daniela Soto"/>
    <d v="2025-12-02T08:46:00"/>
    <m/>
    <m/>
    <m/>
    <m/>
    <x v="1"/>
    <x v="4"/>
    <m/>
    <x v="2"/>
    <x v="2"/>
    <x v="0"/>
    <s v="No encontrado"/>
    <x v="1"/>
    <x v="19"/>
    <x v="0"/>
    <x v="0"/>
    <s v=""/>
    <n v="0"/>
  </r>
  <r>
    <s v="Error"/>
    <s v="T20-3162"/>
    <n v="116585"/>
    <s v="BOT - Atajo teclado F8 - no abre modal Consulta de folios"/>
    <x v="2"/>
    <x v="4"/>
    <m/>
    <m/>
    <m/>
    <m/>
    <m/>
    <m/>
    <m/>
    <m/>
    <m/>
    <m/>
    <m/>
    <s v="Atajos-Teclado-BOT"/>
    <s v="Funcional"/>
    <s v="QA-IntegraciónV0.14"/>
    <m/>
    <m/>
    <m/>
    <m/>
    <m/>
    <m/>
    <s v="Daniela Soto"/>
    <d v="2025-12-02T08:45:00"/>
    <m/>
    <m/>
    <m/>
    <m/>
    <x v="1"/>
    <x v="7"/>
    <m/>
    <x v="2"/>
    <x v="2"/>
    <x v="0"/>
    <s v="No encontrado"/>
    <x v="1"/>
    <x v="19"/>
    <x v="0"/>
    <x v="0"/>
    <s v=""/>
    <n v="0"/>
  </r>
  <r>
    <s v="Error"/>
    <s v="T20-3161"/>
    <n v="116584"/>
    <s v="BOT - Atajo teclado F7 - no abre modal Entrega de valores"/>
    <x v="2"/>
    <x v="2"/>
    <s v="T20 Sprint 26 2025"/>
    <m/>
    <m/>
    <m/>
    <m/>
    <m/>
    <m/>
    <m/>
    <m/>
    <m/>
    <m/>
    <s v="Atajos-Teclado-BOT"/>
    <s v="Funcional"/>
    <s v="QA-IntegraciónV0.14"/>
    <s v="Revisar_Diseño"/>
    <s v="T3B20_BOT"/>
    <s v="Tienda2.0"/>
    <m/>
    <m/>
    <m/>
    <s v="Daniela Soto"/>
    <d v="2025-12-02T08:44:00"/>
    <s v="v0.16"/>
    <m/>
    <m/>
    <m/>
    <x v="1"/>
    <x v="7"/>
    <m/>
    <x v="2"/>
    <x v="2"/>
    <x v="1"/>
    <n v="0"/>
    <x v="1"/>
    <x v="19"/>
    <x v="0"/>
    <x v="0"/>
    <s v=""/>
    <n v="0"/>
  </r>
  <r>
    <s v="Error"/>
    <s v="T20-3160"/>
    <n v="116583"/>
    <s v="BOT - Atajo teclado F6 - no abre modal Registrar gastos"/>
    <x v="2"/>
    <x v="3"/>
    <s v="T20 Sprint 25 2025"/>
    <s v="T20 Sprint 26 2025"/>
    <m/>
    <m/>
    <m/>
    <m/>
    <m/>
    <m/>
    <m/>
    <m/>
    <m/>
    <s v="Atajos-Teclado-BOT"/>
    <s v="Funcional"/>
    <s v="QA-IntegraciónV0.14"/>
    <s v="T3B20_BOT"/>
    <s v="Tienda2.0"/>
    <m/>
    <m/>
    <m/>
    <m/>
    <s v="Daniela Soto"/>
    <d v="2025-12-02T08:43:00"/>
    <s v="v0.15"/>
    <m/>
    <m/>
    <m/>
    <x v="1"/>
    <x v="7"/>
    <m/>
    <x v="2"/>
    <x v="2"/>
    <x v="2"/>
    <n v="25"/>
    <x v="1"/>
    <x v="19"/>
    <x v="0"/>
    <x v="0"/>
    <s v=""/>
    <n v="0"/>
  </r>
  <r>
    <s v="Error"/>
    <s v="T20-3159"/>
    <n v="116567"/>
    <s v="BOT - Atajo teclado Ctrl + Alt + M no abre el Reproductor de música"/>
    <x v="2"/>
    <x v="4"/>
    <m/>
    <m/>
    <m/>
    <m/>
    <m/>
    <m/>
    <m/>
    <m/>
    <m/>
    <m/>
    <m/>
    <s v="Atajos-Teclado-BOT"/>
    <s v="Funcional"/>
    <s v="QA-IntegraciónV0.14"/>
    <s v="T3B20_BOT"/>
    <s v="Tienda2.0"/>
    <m/>
    <m/>
    <m/>
    <m/>
    <s v="Yubisleinys Mora Vega"/>
    <d v="2025-12-02T08:26:00"/>
    <m/>
    <m/>
    <m/>
    <m/>
    <x v="1"/>
    <x v="7"/>
    <m/>
    <x v="2"/>
    <x v="2"/>
    <x v="0"/>
    <s v="No encontrado"/>
    <x v="1"/>
    <x v="19"/>
    <x v="0"/>
    <x v="0"/>
    <s v=""/>
    <n v="0"/>
  </r>
  <r>
    <s v="Error"/>
    <s v="T20-3158"/>
    <n v="116565"/>
    <s v="BOT - Atajo teclado Ctrl + M no abre el modal de Merma"/>
    <x v="2"/>
    <x v="1"/>
    <s v="T20 Sprint 25 2025"/>
    <s v="T20 Sprint 26 2025"/>
    <m/>
    <m/>
    <m/>
    <m/>
    <m/>
    <m/>
    <m/>
    <m/>
    <m/>
    <s v="Atajos-Teclado-BOT"/>
    <s v="Funcional"/>
    <s v="QA-IntegraciónV0.14"/>
    <s v="T3B20_BOT"/>
    <s v="Tienda2.0"/>
    <m/>
    <m/>
    <m/>
    <m/>
    <s v="Yubisleinys Mora Vega"/>
    <d v="2025-12-02T08:20:00"/>
    <s v="v0.16"/>
    <m/>
    <m/>
    <m/>
    <x v="1"/>
    <x v="7"/>
    <m/>
    <x v="2"/>
    <x v="2"/>
    <x v="1"/>
    <n v="0"/>
    <x v="1"/>
    <x v="19"/>
    <x v="0"/>
    <x v="0"/>
    <s v=""/>
    <n v="0"/>
  </r>
  <r>
    <s v="Error"/>
    <s v="T20-3155"/>
    <n v="116561"/>
    <s v="BOT - Atajo teclado Ctrl + T no abre el modal de Transferencias"/>
    <x v="2"/>
    <x v="2"/>
    <s v="T20 Sprint 26 2025"/>
    <m/>
    <m/>
    <m/>
    <m/>
    <m/>
    <m/>
    <m/>
    <m/>
    <m/>
    <m/>
    <s v="Atajos-Teclado-BOT"/>
    <s v="Funcional"/>
    <s v="QA-IntegraciónV0.14"/>
    <s v="Revisar_Diseño"/>
    <s v="T3B20_BOT"/>
    <s v="Tienda2.0"/>
    <m/>
    <m/>
    <m/>
    <s v="Yubisleinys Mora Vega"/>
    <d v="2025-12-02T08:08:00"/>
    <s v="v0.16"/>
    <m/>
    <m/>
    <m/>
    <x v="1"/>
    <x v="7"/>
    <m/>
    <x v="2"/>
    <x v="2"/>
    <x v="1"/>
    <n v="0"/>
    <x v="1"/>
    <x v="19"/>
    <x v="0"/>
    <x v="0"/>
    <s v=""/>
    <n v="0"/>
  </r>
  <r>
    <s v="Error"/>
    <s v="T20-3098"/>
    <n v="116350"/>
    <s v="POS - Pago de tiempo Aire no está imprimiendo Ticket"/>
    <x v="1"/>
    <x v="1"/>
    <s v="T20 Sprint 26 2025"/>
    <m/>
    <m/>
    <m/>
    <m/>
    <m/>
    <m/>
    <m/>
    <m/>
    <m/>
    <m/>
    <s v="Bug_Devuelto_v0.15"/>
    <s v="Funcional"/>
    <s v="Pago-De-Tiempo-Aire"/>
    <s v="QA-IntegraciónV0.14"/>
    <s v="Revisado"/>
    <s v="T3B20_POS"/>
    <s v="Tienda2.0"/>
    <m/>
    <m/>
    <s v="Daniela Soto"/>
    <d v="2025-12-01T16:08:00"/>
    <s v="v0.16"/>
    <m/>
    <m/>
    <m/>
    <x v="0"/>
    <x v="7"/>
    <m/>
    <x v="2"/>
    <x v="2"/>
    <x v="1"/>
    <n v="0"/>
    <x v="1"/>
    <x v="7"/>
    <x v="0"/>
    <x v="0"/>
    <s v="SI"/>
    <n v="1"/>
  </r>
  <r>
    <s v="Error"/>
    <s v="T20-3097"/>
    <n v="116331"/>
    <s v="POS - No se muestra modal Procesando Pago en Pago de tiempo aire"/>
    <x v="2"/>
    <x v="3"/>
    <s v="T20 Sprint 25 2025"/>
    <s v="T20 Sprint 26 2025"/>
    <m/>
    <m/>
    <m/>
    <m/>
    <m/>
    <m/>
    <m/>
    <m/>
    <m/>
    <s v="Funcional"/>
    <s v="Pago-De-Tiempo-Aire"/>
    <s v="Pago-tiempo-de-aire"/>
    <s v="QA-IntegraciónV0.14"/>
    <s v="T3B20_POS"/>
    <s v="Tienda2.0"/>
    <m/>
    <m/>
    <m/>
    <s v="Yubisleinys Mora Vega"/>
    <d v="2025-12-01T15:37:00"/>
    <s v="v0.15"/>
    <m/>
    <m/>
    <m/>
    <x v="0"/>
    <x v="7"/>
    <m/>
    <x v="2"/>
    <x v="2"/>
    <x v="2"/>
    <n v="25"/>
    <x v="1"/>
    <x v="7"/>
    <x v="0"/>
    <x v="0"/>
    <s v=""/>
    <n v="0"/>
  </r>
  <r>
    <s v="Error"/>
    <s v="T20-3096"/>
    <n v="116295"/>
    <s v="POS - Errores en modal &quot;Pago de tiempo aire&quot;"/>
    <x v="2"/>
    <x v="2"/>
    <s v="T20 Sprint 25 2025"/>
    <s v="T20 Sprint 26 2025"/>
    <m/>
    <m/>
    <m/>
    <m/>
    <m/>
    <m/>
    <m/>
    <m/>
    <m/>
    <s v="Look&amp;Feel"/>
    <s v="Pago-De-Tiempo-Aire"/>
    <s v="Pago-tiempo-de-aire"/>
    <s v="QA-IntegraciónV0.14"/>
    <s v="T3B20_POS"/>
    <s v="Tienda2.0"/>
    <m/>
    <m/>
    <m/>
    <s v="Yubisleinys Mora Vega"/>
    <d v="2025-12-01T14:07:00"/>
    <s v="v0.16"/>
    <m/>
    <m/>
    <m/>
    <x v="0"/>
    <x v="7"/>
    <m/>
    <x v="2"/>
    <x v="2"/>
    <x v="1"/>
    <n v="0"/>
    <x v="0"/>
    <x v="7"/>
    <x v="0"/>
    <x v="0"/>
    <s v=""/>
    <n v="0"/>
  </r>
  <r>
    <s v="Error"/>
    <s v="T20-3066"/>
    <n v="115654"/>
    <s v="BOT - Pedido eficiente - Se regresa automáticamente a la página 1 al editar la cantidad de un producto en páginas posteriores."/>
    <x v="1"/>
    <x v="3"/>
    <s v="T20 Sprint 24 2025"/>
    <s v="T20 Sprint 25 2025"/>
    <s v="T20 Sprint 26 2025"/>
    <m/>
    <m/>
    <m/>
    <m/>
    <m/>
    <m/>
    <m/>
    <m/>
    <s v="Funcional"/>
    <s v="QA-IntegraciónV0.13"/>
    <s v="Realizar-Pedido-Eficiente"/>
    <m/>
    <m/>
    <m/>
    <m/>
    <m/>
    <m/>
    <s v="Yubisleinys Mora Vega"/>
    <d v="2025-11-27T13:39:00"/>
    <m/>
    <m/>
    <m/>
    <m/>
    <x v="1"/>
    <x v="7"/>
    <m/>
    <x v="1"/>
    <x v="1"/>
    <x v="0"/>
    <s v="No encontrado"/>
    <x v="1"/>
    <x v="9"/>
    <x v="0"/>
    <x v="0"/>
    <s v=""/>
    <n v="0"/>
  </r>
  <r>
    <s v="Error"/>
    <s v="T20-3062"/>
    <n v="115636"/>
    <s v="BOT - Errores en modal &quot;Pedido eficiente&quot;"/>
    <x v="2"/>
    <x v="0"/>
    <m/>
    <m/>
    <m/>
    <m/>
    <m/>
    <m/>
    <m/>
    <m/>
    <m/>
    <m/>
    <m/>
    <s v="Look&amp;Feel"/>
    <s v="QA-IntegraciónV0.13"/>
    <s v="Realizar-Pedido-Eficiente"/>
    <m/>
    <m/>
    <m/>
    <m/>
    <m/>
    <m/>
    <s v="Yubisleinys Mora Vega"/>
    <d v="2025-11-27T13:00:00"/>
    <m/>
    <m/>
    <m/>
    <m/>
    <x v="1"/>
    <x v="7"/>
    <m/>
    <x v="1"/>
    <x v="1"/>
    <x v="0"/>
    <s v="No encontrado"/>
    <x v="0"/>
    <x v="9"/>
    <x v="0"/>
    <x v="0"/>
    <s v=""/>
    <n v="0"/>
  </r>
  <r>
    <s v="Error"/>
    <s v="T20-3057"/>
    <n v="115607"/>
    <s v="POS: Peso y precio incorrecto en buscador para productos de peso variable"/>
    <x v="2"/>
    <x v="3"/>
    <s v="T20 Sprint 24 2025"/>
    <s v="T20 Sprint 25 2025"/>
    <s v="T20 Sprint 26 2025"/>
    <m/>
    <m/>
    <m/>
    <m/>
    <m/>
    <m/>
    <m/>
    <m/>
    <s v="Cobro-De-Productos-Peso-Variable"/>
    <s v="Funcional"/>
    <s v="QA-IntegraciónV0.13"/>
    <s v="T3B20_POS"/>
    <s v="Tienda2.0"/>
    <m/>
    <m/>
    <m/>
    <m/>
    <s v="Ludo"/>
    <d v="2025-11-27T11:59:00"/>
    <s v="v0.14"/>
    <m/>
    <m/>
    <m/>
    <x v="0"/>
    <x v="7"/>
    <m/>
    <x v="1"/>
    <x v="1"/>
    <x v="3"/>
    <n v="24"/>
    <x v="1"/>
    <x v="28"/>
    <x v="0"/>
    <x v="0"/>
    <s v=""/>
    <n v="0"/>
  </r>
  <r>
    <s v="Error"/>
    <s v="T20-3048"/>
    <n v="115122"/>
    <s v="BOT - Cambio de precio - Errores en el modal “Previsualizar configuración”"/>
    <x v="2"/>
    <x v="0"/>
    <s v="T20 Sprint 25 2025"/>
    <s v="T20 Sprint 26 2025"/>
    <m/>
    <m/>
    <m/>
    <m/>
    <m/>
    <m/>
    <m/>
    <m/>
    <m/>
    <s v="Bug_Devuelto_v0.15"/>
    <s v="Imprimir-Cambios-De-Precio"/>
    <s v="Look&amp;Feel"/>
    <s v="QA-IntegraciónV0.13"/>
    <s v="T3B20_BOT"/>
    <s v="Tienda2.0"/>
    <m/>
    <m/>
    <m/>
    <s v="Yubisleinys Mora Vega"/>
    <d v="2025-11-26T12:38:00"/>
    <s v="v0.15"/>
    <m/>
    <m/>
    <m/>
    <x v="1"/>
    <x v="7"/>
    <m/>
    <x v="1"/>
    <x v="1"/>
    <x v="2"/>
    <n v="25"/>
    <x v="0"/>
    <x v="6"/>
    <x v="0"/>
    <x v="0"/>
    <s v="SI"/>
    <n v="1"/>
  </r>
  <r>
    <s v="Error"/>
    <s v="T20-3047"/>
    <n v="115113"/>
    <s v="BOT - Configuración de etiquetas - Errores en el modal “Previsualizar configuración”"/>
    <x v="2"/>
    <x v="0"/>
    <s v="T20 Sprint 25 2025"/>
    <s v="T20 Sprint 26 2025"/>
    <m/>
    <m/>
    <m/>
    <m/>
    <m/>
    <m/>
    <m/>
    <m/>
    <m/>
    <s v="Imprimir-Cambios-De-Precio"/>
    <s v="Look&amp;Feel"/>
    <s v="QA-IntegraciónV0.13"/>
    <s v="T3B20_BOT"/>
    <s v="Tienda2.0"/>
    <m/>
    <m/>
    <m/>
    <m/>
    <s v="Yubisleinys Mora Vega"/>
    <d v="2025-11-26T12:14:00"/>
    <s v="v0.15"/>
    <m/>
    <m/>
    <m/>
    <x v="1"/>
    <x v="7"/>
    <m/>
    <x v="1"/>
    <x v="1"/>
    <x v="2"/>
    <n v="25"/>
    <x v="0"/>
    <x v="6"/>
    <x v="0"/>
    <x v="0"/>
    <s v=""/>
    <n v="0"/>
  </r>
  <r>
    <s v="Error"/>
    <s v="T20-3046"/>
    <n v="115058"/>
    <s v="BOT - Configuración de etiquetas - Filtros muestran opciones distintas a las especificadas en Figma."/>
    <x v="2"/>
    <x v="0"/>
    <m/>
    <m/>
    <m/>
    <m/>
    <m/>
    <m/>
    <m/>
    <m/>
    <m/>
    <m/>
    <m/>
    <s v="Imprimir-Cambios-De-Precio"/>
    <s v="Look&amp;Feel"/>
    <s v="QA-IntegraciónV0.13"/>
    <m/>
    <m/>
    <m/>
    <m/>
    <m/>
    <m/>
    <s v="Yubisleinys Mora Vega"/>
    <d v="2025-11-26T11:03:00"/>
    <m/>
    <m/>
    <m/>
    <m/>
    <x v="1"/>
    <x v="7"/>
    <m/>
    <x v="1"/>
    <x v="1"/>
    <x v="0"/>
    <s v="No encontrado"/>
    <x v="0"/>
    <x v="6"/>
    <x v="0"/>
    <x v="0"/>
    <s v=""/>
    <n v="0"/>
  </r>
  <r>
    <s v="Error"/>
    <s v="T20-3045"/>
    <n v="114999"/>
    <s v="BOT - Múltiples errores en modal &quot;Configuración de etiquetas&quot;"/>
    <x v="1"/>
    <x v="5"/>
    <s v="T20 Sprint 25 2025"/>
    <s v="T20 Sprint 26 2025"/>
    <m/>
    <m/>
    <m/>
    <m/>
    <m/>
    <m/>
    <m/>
    <m/>
    <m/>
    <s v="Imprimir-Cambios-De-Precio"/>
    <s v="Look&amp;Feel"/>
    <s v="QA-IntegraciónV0.13"/>
    <s v="Revisado"/>
    <s v="T3B20_BOT"/>
    <s v="Tienda2.0"/>
    <m/>
    <m/>
    <m/>
    <s v="Yubisleinys Mora Vega"/>
    <d v="2025-11-26T09:54:00"/>
    <s v="v0.16"/>
    <m/>
    <m/>
    <m/>
    <x v="1"/>
    <x v="7"/>
    <m/>
    <x v="1"/>
    <x v="1"/>
    <x v="1"/>
    <n v="0"/>
    <x v="0"/>
    <x v="6"/>
    <x v="0"/>
    <x v="0"/>
    <s v=""/>
    <n v="0"/>
  </r>
  <r>
    <s v="Error"/>
    <s v="T20-3044"/>
    <n v="114986"/>
    <s v="BOT - Eventos - &quot;Recibir mercancía Pie de Camión&quot; llega con nombres inconsistentes entre m_event_type y payload.event_type en IoT Hub y en Fabric"/>
    <x v="1"/>
    <x v="0"/>
    <m/>
    <m/>
    <m/>
    <m/>
    <m/>
    <m/>
    <m/>
    <m/>
    <m/>
    <m/>
    <m/>
    <s v="Eventos"/>
    <s v="Eventos_iOT"/>
    <s v="Eventos_Iothub"/>
    <s v="QA-IntegraciónV0.13"/>
    <s v="Recibir-Mercancía-Pie-De-Camión"/>
    <s v="Revisado"/>
    <m/>
    <m/>
    <m/>
    <s v="Yubisleinys Mora Vega"/>
    <d v="2025-11-26T09:00:00"/>
    <m/>
    <m/>
    <m/>
    <m/>
    <x v="1"/>
    <x v="7"/>
    <m/>
    <x v="1"/>
    <x v="1"/>
    <x v="0"/>
    <s v="No encontrado"/>
    <x v="3"/>
    <x v="33"/>
    <x v="0"/>
    <x v="0"/>
    <s v=""/>
    <n v="0"/>
  </r>
  <r>
    <s v="Error"/>
    <s v="T20-3039"/>
    <n v="114793"/>
    <s v="BOT - Cambio de precio - Clic fuera del modal y &quot;Previsualizar&quot;, cierran modal. (Pantalla gris)"/>
    <x v="3"/>
    <x v="3"/>
    <s v="T20 Sprint 24 2025"/>
    <s v="T20 Sprint 25 2025"/>
    <s v="T20 Sprint 26 2025"/>
    <m/>
    <m/>
    <m/>
    <m/>
    <m/>
    <m/>
    <m/>
    <m/>
    <s v="Funcional"/>
    <s v="Imprimir-Cambios-De-Precio"/>
    <s v="QA-IntegraciónV0.13"/>
    <s v="T3B20_BOT"/>
    <s v="Tienda2.0"/>
    <m/>
    <m/>
    <m/>
    <m/>
    <s v="Daniela Soto"/>
    <d v="2025-11-25T14:45:00"/>
    <s v="v0.14"/>
    <m/>
    <m/>
    <m/>
    <x v="1"/>
    <x v="7"/>
    <m/>
    <x v="1"/>
    <x v="1"/>
    <x v="3"/>
    <n v="24"/>
    <x v="1"/>
    <x v="6"/>
    <x v="0"/>
    <x v="0"/>
    <s v=""/>
    <n v="0"/>
  </r>
  <r>
    <s v="Error"/>
    <s v="T20-3038"/>
    <n v="114784"/>
    <s v="BOT - Cambio de precio - Errores en modal de &quot;Configuración&quot; "/>
    <x v="3"/>
    <x v="3"/>
    <s v="T20 Sprint 25 2025"/>
    <s v="T20 Sprint 26 2025"/>
    <m/>
    <m/>
    <m/>
    <m/>
    <m/>
    <m/>
    <m/>
    <m/>
    <m/>
    <s v="Bug_Devueltov0.14"/>
    <s v="Grooming_S25"/>
    <s v="Imprimir-Cambios-De-Precio"/>
    <s v="Look&amp;Feel"/>
    <s v="QA-IntegraciónV0.13"/>
    <s v="T3B20_BOT"/>
    <s v="Tienda2.0"/>
    <m/>
    <m/>
    <s v="Daniela Soto"/>
    <d v="2025-11-25T14:19:00"/>
    <s v="v0.15"/>
    <m/>
    <m/>
    <m/>
    <x v="1"/>
    <x v="7"/>
    <m/>
    <x v="1"/>
    <x v="1"/>
    <x v="2"/>
    <n v="25"/>
    <x v="0"/>
    <x v="6"/>
    <x v="0"/>
    <x v="0"/>
    <s v="SI"/>
    <n v="1"/>
  </r>
  <r>
    <s v="Error"/>
    <s v="T20-3037"/>
    <n v="114776"/>
    <s v="BOT - &quot;Imprimir cambio de precio&quot; no muestra paginado al aumentar la cantidad para mostrar"/>
    <x v="2"/>
    <x v="0"/>
    <s v="T20 Sprint 25 2025"/>
    <s v="T20 Sprint 26 2025"/>
    <m/>
    <m/>
    <m/>
    <m/>
    <m/>
    <m/>
    <m/>
    <m/>
    <m/>
    <s v="Funcional"/>
    <s v="Imprimir-Cambios-De-Precio"/>
    <s v="QA-IntegraciónV0.13"/>
    <s v="T3B20_BOT"/>
    <s v="Tienda2.0"/>
    <m/>
    <m/>
    <m/>
    <m/>
    <s v="Daniela Soto"/>
    <d v="2025-11-25T14:03:00"/>
    <s v="v0.15"/>
    <m/>
    <m/>
    <m/>
    <x v="1"/>
    <x v="7"/>
    <m/>
    <x v="1"/>
    <x v="1"/>
    <x v="2"/>
    <n v="25"/>
    <x v="1"/>
    <x v="6"/>
    <x v="0"/>
    <x v="0"/>
    <s v=""/>
    <n v="0"/>
  </r>
  <r>
    <s v="Error"/>
    <s v="T20-3035"/>
    <n v="114769"/>
    <s v="BOT - Múltiples errores en modal &quot;Impresión de cambio de precios&quot;"/>
    <x v="1"/>
    <x v="0"/>
    <s v="T20 Sprint 25 2025"/>
    <s v="T20 Sprint 26 2025"/>
    <m/>
    <m/>
    <m/>
    <m/>
    <m/>
    <m/>
    <m/>
    <m/>
    <m/>
    <s v="Imprimir-Cambios-De-Precio"/>
    <s v="Look&amp;Feel"/>
    <s v="QA-IntegraciónV0.13"/>
    <s v="T3B20_BOT"/>
    <s v="Tienda2.0"/>
    <m/>
    <m/>
    <m/>
    <m/>
    <s v="Daniela Soto"/>
    <d v="2025-11-25T13:45:00"/>
    <s v="v0.15"/>
    <m/>
    <m/>
    <m/>
    <x v="1"/>
    <x v="7"/>
    <m/>
    <x v="1"/>
    <x v="1"/>
    <x v="2"/>
    <n v="25"/>
    <x v="0"/>
    <x v="6"/>
    <x v="0"/>
    <x v="0"/>
    <s v=""/>
    <n v="0"/>
  </r>
  <r>
    <s v="Error"/>
    <s v="T20-2983"/>
    <n v="114523"/>
    <s v="POS - Eliminar artículo de Peso Variable, genera malos cálculos en el total de la venta."/>
    <x v="3"/>
    <x v="3"/>
    <s v="T20 Sprint 24 2025"/>
    <s v="T20 Sprint 25 2025"/>
    <s v="T20 Sprint 26 2025"/>
    <m/>
    <m/>
    <m/>
    <m/>
    <m/>
    <m/>
    <m/>
    <m/>
    <s v="Cobro-De-Productos-Peso-Variable"/>
    <s v="Funcional"/>
    <s v="QA-IntegraciónV0.13"/>
    <s v="QA-IntegraciónV0.14"/>
    <s v="T3B20_POS"/>
    <s v="Tienda2.0"/>
    <m/>
    <m/>
    <m/>
    <s v="Daniela Soto"/>
    <d v="2025-11-24T16:02:00"/>
    <s v="v0.14"/>
    <m/>
    <m/>
    <m/>
    <x v="0"/>
    <x v="7"/>
    <m/>
    <x v="1"/>
    <x v="1"/>
    <x v="3"/>
    <n v="24"/>
    <x v="1"/>
    <x v="28"/>
    <x v="0"/>
    <x v="0"/>
    <s v=""/>
    <n v="0"/>
  </r>
  <r>
    <s v="Error"/>
    <s v="T20-2912"/>
    <n v="113747"/>
    <s v="BOT - Recibir mercancía - Listar más de 50 productos, no muestra los botones &quot;Cancelar&quot; y &quot;Procesar&quot;"/>
    <x v="1"/>
    <x v="3"/>
    <s v="T20 Sprint 23 2025"/>
    <s v="T20 Sprint 24 2025"/>
    <s v="T20 Sprint 25 2025"/>
    <s v="T20 Sprint 26 2025"/>
    <m/>
    <m/>
    <m/>
    <m/>
    <m/>
    <m/>
    <m/>
    <s v="Funcional"/>
    <s v="Recibir-Mercancía-Almacén-Tienda"/>
    <s v="T3B20_BOT"/>
    <s v="Tienda2.0"/>
    <s v="UAT"/>
    <s v="UAT_V0.12"/>
    <m/>
    <m/>
    <m/>
    <s v="Daniela Soto"/>
    <d v="2025-11-21T08:25:00"/>
    <s v="v0.14"/>
    <m/>
    <m/>
    <m/>
    <x v="1"/>
    <x v="4"/>
    <m/>
    <x v="1"/>
    <x v="3"/>
    <x v="3"/>
    <n v="24"/>
    <x v="1"/>
    <x v="3"/>
    <x v="1"/>
    <x v="4"/>
    <s v=""/>
    <n v="0"/>
  </r>
  <r>
    <s v="Error"/>
    <s v="T20-2911"/>
    <n v="113744"/>
    <s v="BOT - Pie de camión - Campo &quot;cajas recibidas&quot; no habilita botón &quot;Continuar&quot;"/>
    <x v="2"/>
    <x v="4"/>
    <s v="T20 Sprint 23 2025"/>
    <s v="T20 Sprint 25 2025"/>
    <s v="T20 Sprint 26 2025"/>
    <m/>
    <m/>
    <m/>
    <m/>
    <m/>
    <m/>
    <m/>
    <m/>
    <s v="Funcional"/>
    <s v="QA-IntegraciónV0.12"/>
    <s v="Recibir-Mercancía-Pie-de-Camión"/>
    <s v="UAT"/>
    <s v="UAT_V0.12"/>
    <m/>
    <m/>
    <m/>
    <m/>
    <s v="Daniela Soto"/>
    <d v="2025-11-21T08:16:00"/>
    <m/>
    <m/>
    <m/>
    <m/>
    <x v="1"/>
    <x v="7"/>
    <m/>
    <x v="1"/>
    <x v="3"/>
    <x v="0"/>
    <s v="No encontrado"/>
    <x v="1"/>
    <x v="33"/>
    <x v="0"/>
    <x v="0"/>
    <s v=""/>
    <n v="0"/>
  </r>
  <r>
    <s v="Error"/>
    <s v="T20-2910"/>
    <n v="113741"/>
    <s v="POS - Bloqueo de sesión - Cancelar Cerrar turno desbloquea sesión"/>
    <x v="1"/>
    <x v="4"/>
    <s v="T20 Sprint 23 2025"/>
    <s v="T20 Sprint 24 2025"/>
    <s v="T20 Sprint 25 2025"/>
    <s v="T20 Sprint 26 2025"/>
    <m/>
    <m/>
    <m/>
    <m/>
    <m/>
    <m/>
    <m/>
    <s v="Bloqueo-De-Sesión"/>
    <s v="Funcional"/>
    <s v="QA-IntegraciónV0.12"/>
    <m/>
    <m/>
    <m/>
    <m/>
    <m/>
    <m/>
    <s v="Daniela Soto"/>
    <d v="2025-11-21T07:42:00"/>
    <m/>
    <m/>
    <m/>
    <m/>
    <x v="0"/>
    <x v="7"/>
    <m/>
    <x v="1"/>
    <x v="3"/>
    <x v="0"/>
    <s v="No encontrado"/>
    <x v="1"/>
    <x v="35"/>
    <x v="0"/>
    <x v="0"/>
    <s v=""/>
    <n v="0"/>
  </r>
  <r>
    <s v="Error"/>
    <s v="T20-2909"/>
    <n v="113739"/>
    <s v="BOT - Entrada pie de camión permite seleccionar dos proveedores"/>
    <x v="1"/>
    <x v="4"/>
    <s v="T20 Sprint 23 2025"/>
    <s v="T20 Sprint 25 2025"/>
    <s v="T20 Sprint 26 2025"/>
    <m/>
    <m/>
    <m/>
    <m/>
    <m/>
    <m/>
    <m/>
    <m/>
    <s v="Funcional"/>
    <s v="QA-IntegraciónV0.12"/>
    <s v="Recibir-Mercancía-Pie-de-Camión"/>
    <s v="UAT"/>
    <s v="UAT_V0.12"/>
    <m/>
    <m/>
    <m/>
    <m/>
    <s v="Daniela Soto"/>
    <d v="2025-11-21T06:59:00"/>
    <m/>
    <m/>
    <m/>
    <m/>
    <x v="1"/>
    <x v="7"/>
    <m/>
    <x v="1"/>
    <x v="3"/>
    <x v="0"/>
    <s v="No encontrado"/>
    <x v="1"/>
    <x v="33"/>
    <x v="0"/>
    <x v="0"/>
    <s v=""/>
    <n v="0"/>
  </r>
  <r>
    <s v="Error"/>
    <s v="T20-2908"/>
    <n v="113737"/>
    <s v="POS - Pago con CoDi bloquea sistema"/>
    <x v="2"/>
    <x v="4"/>
    <s v="T20 Sprint 23 2025"/>
    <s v="T20 Sprint 24 2025"/>
    <s v="T20 Sprint 25 2025"/>
    <s v="T20 Sprint 26 2025"/>
    <m/>
    <m/>
    <m/>
    <m/>
    <m/>
    <m/>
    <m/>
    <s v="Funcional"/>
    <s v="Pago-Codi"/>
    <s v="QA-IntegraciónV0.12"/>
    <s v="UAT"/>
    <m/>
    <m/>
    <m/>
    <m/>
    <m/>
    <s v="Daniela Soto"/>
    <d v="2025-11-21T06:46:00"/>
    <m/>
    <m/>
    <m/>
    <m/>
    <x v="1"/>
    <x v="7"/>
    <m/>
    <x v="1"/>
    <x v="3"/>
    <x v="0"/>
    <s v="No encontrado"/>
    <x v="1"/>
    <x v="12"/>
    <x v="0"/>
    <x v="0"/>
    <s v=""/>
    <n v="0"/>
  </r>
  <r>
    <s v="Error"/>
    <s v="T20-2907"/>
    <n v="112691"/>
    <s v="BOT - F1 inicia sesión sin credenciales"/>
    <x v="1"/>
    <x v="0"/>
    <m/>
    <m/>
    <m/>
    <m/>
    <m/>
    <m/>
    <m/>
    <m/>
    <m/>
    <m/>
    <m/>
    <s v="Funcional"/>
    <s v="Login"/>
    <s v="QA-IntegraciónV0.12"/>
    <s v="Revisado"/>
    <s v="UAT"/>
    <s v="UAT_V0.12"/>
    <m/>
    <m/>
    <m/>
    <s v="Daniela Soto"/>
    <d v="2025-11-20T16:19:00"/>
    <m/>
    <m/>
    <m/>
    <m/>
    <x v="1"/>
    <x v="7"/>
    <m/>
    <x v="1"/>
    <x v="3"/>
    <x v="0"/>
    <s v="No encontrado"/>
    <x v="1"/>
    <x v="36"/>
    <x v="0"/>
    <x v="0"/>
    <s v=""/>
    <n v="0"/>
  </r>
  <r>
    <s v="Error"/>
    <s v="T20-2903"/>
    <n v="112662"/>
    <s v="POS -  Al seleccionar un producto sin código se carga información de más que no coincide con Figma"/>
    <x v="0"/>
    <x v="0"/>
    <m/>
    <m/>
    <m/>
    <m/>
    <m/>
    <m/>
    <m/>
    <m/>
    <m/>
    <m/>
    <m/>
    <s v="Catálogo-de-Productos-Sin-Código"/>
    <s v="Look&amp;Feel"/>
    <s v="QA-IntegraciónV0.12"/>
    <m/>
    <m/>
    <m/>
    <m/>
    <m/>
    <m/>
    <s v="Yubisleinys Mora Vega"/>
    <d v="2025-11-20T14:50:00"/>
    <m/>
    <m/>
    <m/>
    <m/>
    <x v="0"/>
    <x v="7"/>
    <m/>
    <x v="1"/>
    <x v="3"/>
    <x v="0"/>
    <s v="No encontrado"/>
    <x v="0"/>
    <x v="37"/>
    <x v="0"/>
    <x v="0"/>
    <s v=""/>
    <n v="0"/>
  </r>
  <r>
    <s v="Error"/>
    <s v="T20-2902"/>
    <n v="112652"/>
    <s v="BOT - &quot;Jueves&quot; se lee con la J incompleta"/>
    <x v="0"/>
    <x v="0"/>
    <m/>
    <m/>
    <m/>
    <m/>
    <m/>
    <m/>
    <m/>
    <m/>
    <m/>
    <m/>
    <m/>
    <s v="Look&amp;Feel"/>
    <s v="Main-Dashboard"/>
    <s v="QA-IntegraciónV0.12"/>
    <s v="UAT"/>
    <s v="UAT_V0.12"/>
    <m/>
    <m/>
    <m/>
    <m/>
    <s v="Daniela Soto"/>
    <d v="2025-11-20T13:55:00"/>
    <s v="v0.12"/>
    <m/>
    <m/>
    <m/>
    <x v="1"/>
    <x v="7"/>
    <m/>
    <x v="1"/>
    <x v="3"/>
    <x v="4"/>
    <n v="23"/>
    <x v="0"/>
    <x v="17"/>
    <x v="0"/>
    <x v="0"/>
    <s v=""/>
    <n v="0"/>
  </r>
  <r>
    <s v="Error"/>
    <s v="T20-2901"/>
    <n v="112635"/>
    <s v="POS - Al multiplicar por grandes números, el total se muestra en negativo."/>
    <x v="2"/>
    <x v="0"/>
    <s v="T20 Sprint 23 2025"/>
    <m/>
    <m/>
    <m/>
    <m/>
    <m/>
    <m/>
    <m/>
    <m/>
    <m/>
    <m/>
    <s v="Funcional"/>
    <s v="Multiplicar-Producto"/>
    <s v="QA-IntegraciónV0.12"/>
    <s v="UAT"/>
    <s v="UAT_V0.12"/>
    <m/>
    <m/>
    <m/>
    <m/>
    <s v="Daniela Soto"/>
    <d v="2025-11-20T13:16:00"/>
    <m/>
    <m/>
    <m/>
    <m/>
    <x v="0"/>
    <x v="7"/>
    <m/>
    <x v="1"/>
    <x v="3"/>
    <x v="0"/>
    <s v="No encontrado"/>
    <x v="1"/>
    <x v="10"/>
    <x v="0"/>
    <x v="0"/>
    <s v=""/>
    <n v="0"/>
  </r>
  <r>
    <s v="Error"/>
    <s v="T20-2900"/>
    <n v="112628"/>
    <s v="POS - Tecla Esc Inicia sesión "/>
    <x v="1"/>
    <x v="3"/>
    <s v="T20 Sprint 24 2025"/>
    <s v="T20 Sprint 25 2025"/>
    <s v="T20 Sprint 26 2025"/>
    <m/>
    <m/>
    <m/>
    <m/>
    <m/>
    <m/>
    <m/>
    <m/>
    <s v="Funcional"/>
    <s v="Inicio-De-Turno"/>
    <s v="QA-IntegraciónV0.12"/>
    <s v="T3B20_POS"/>
    <s v="Tienda2.0"/>
    <s v="UAT"/>
    <s v="UAT_V0.12"/>
    <m/>
    <m/>
    <s v="Daniela Soto"/>
    <d v="2025-11-20T12:58:00"/>
    <s v="v0.14"/>
    <m/>
    <m/>
    <m/>
    <x v="0"/>
    <x v="7"/>
    <m/>
    <x v="1"/>
    <x v="3"/>
    <x v="3"/>
    <n v="24"/>
    <x v="1"/>
    <x v="31"/>
    <x v="0"/>
    <x v="0"/>
    <s v=""/>
    <n v="0"/>
  </r>
  <r>
    <s v="Error"/>
    <s v="T20-2899"/>
    <n v="112622"/>
    <s v="POS -  El shortcut F1 no se visualiza ni funciona en la pantalla &quot;Motivo de la devolución&quot;*****"/>
    <x v="2"/>
    <x v="4"/>
    <m/>
    <m/>
    <m/>
    <m/>
    <m/>
    <m/>
    <m/>
    <m/>
    <m/>
    <m/>
    <m/>
    <s v="Devoluciones"/>
    <s v="Look&amp;Feel"/>
    <s v="QA-IntegraciónV0.12"/>
    <s v="UAT"/>
    <s v="UAT_V0.12"/>
    <m/>
    <m/>
    <m/>
    <m/>
    <s v="Yubisleinys Mora Vega"/>
    <d v="2025-11-20T12:48:00"/>
    <m/>
    <m/>
    <m/>
    <m/>
    <x v="0"/>
    <x v="7"/>
    <m/>
    <x v="1"/>
    <x v="3"/>
    <x v="0"/>
    <s v="No encontrado"/>
    <x v="0"/>
    <x v="24"/>
    <x v="0"/>
    <x v="0"/>
    <s v=""/>
    <n v="0"/>
  </r>
  <r>
    <s v="Error"/>
    <s v="T20-2897"/>
    <n v="112609"/>
    <s v="POS - Al iniciar nuevo turno, se muestran notificaciones pospuestas del turno anterior"/>
    <x v="1"/>
    <x v="4"/>
    <s v="T20 Sprint 23 2025"/>
    <s v="T20 Sprint 24 2025"/>
    <s v="T20 Sprint 25 2025"/>
    <s v="T20 Sprint 26 2025"/>
    <m/>
    <m/>
    <m/>
    <m/>
    <m/>
    <m/>
    <m/>
    <s v="Inicio-De-Turno"/>
    <s v="Look&amp;Feel"/>
    <s v="QA-IntegraciónV0.12"/>
    <s v="UAT"/>
    <s v="UAT_V0.12"/>
    <m/>
    <m/>
    <m/>
    <m/>
    <s v="Daniela Soto"/>
    <d v="2025-11-20T12:32:00"/>
    <m/>
    <m/>
    <m/>
    <m/>
    <x v="0"/>
    <x v="7"/>
    <m/>
    <x v="1"/>
    <x v="3"/>
    <x v="0"/>
    <s v="No encontrado"/>
    <x v="0"/>
    <x v="31"/>
    <x v="0"/>
    <x v="0"/>
    <s v=""/>
    <n v="0"/>
  </r>
  <r>
    <s v="Error"/>
    <s v="T20-2853"/>
    <n v="112487"/>
    <s v="POS -  No se imprime el ticket al cancelar una venta"/>
    <x v="3"/>
    <x v="3"/>
    <s v="T20 Sprint 24 2025"/>
    <s v="T20 Sprint 25 2025"/>
    <s v="T20 Sprint 26 2025"/>
    <m/>
    <m/>
    <m/>
    <m/>
    <m/>
    <m/>
    <m/>
    <m/>
    <s v="-"/>
    <s v="Cancelar-venta"/>
    <s v="Funcional"/>
    <s v="POS"/>
    <s v="QA-IntegraciónV0.12"/>
    <s v="T3B20_POS"/>
    <s v="Tienda2.0"/>
    <s v="UAT"/>
    <s v="UAT_V0.12"/>
    <s v="Yubisleinys Mora Vega"/>
    <d v="2025-11-20T09:21:00"/>
    <s v="v0.14"/>
    <m/>
    <m/>
    <m/>
    <x v="0"/>
    <x v="7"/>
    <m/>
    <x v="1"/>
    <x v="3"/>
    <x v="3"/>
    <n v="24"/>
    <x v="1"/>
    <x v="38"/>
    <x v="0"/>
    <x v="0"/>
    <s v=""/>
    <n v="0"/>
  </r>
  <r>
    <s v="Error"/>
    <s v="T20-2852"/>
    <n v="112471"/>
    <s v="POS -  Shortcut F8 ejecuta la misma acción que Ctrl+V (Realizar Alivio)"/>
    <x v="0"/>
    <x v="3"/>
    <s v="T20 Sprint 24 2025"/>
    <s v="T20 Sprint 25 2025"/>
    <s v="T20 Sprint 26 2025"/>
    <m/>
    <m/>
    <m/>
    <m/>
    <m/>
    <m/>
    <m/>
    <m/>
    <s v="Atajos-Teclado"/>
    <s v="Bug_Devuelto_v0.15"/>
    <s v="Funcional"/>
    <s v="Grooming_S25"/>
    <s v="QA-IntegraciónV0.12"/>
    <s v="T3B20_POS"/>
    <s v="UAT"/>
    <s v="UAT_V0.12"/>
    <m/>
    <s v="Yubisleinys Mora Vega"/>
    <d v="2025-11-20T08:43:00"/>
    <s v="v0.15"/>
    <m/>
    <m/>
    <m/>
    <x v="0"/>
    <x v="7"/>
    <m/>
    <x v="1"/>
    <x v="3"/>
    <x v="2"/>
    <n v="25"/>
    <x v="1"/>
    <x v="22"/>
    <x v="0"/>
    <x v="0"/>
    <s v="SI"/>
    <n v="1"/>
  </r>
  <r>
    <s v="Error"/>
    <s v="T20-2850"/>
    <n v="112460"/>
    <s v="BOT -  Estadísticos de panel de productos, ventas y efectivo no se ajustan a cero al inicio de día"/>
    <x v="1"/>
    <x v="2"/>
    <s v="T20 Sprint 24 2025"/>
    <s v="T20 Sprint 25 2025"/>
    <s v="T20 Sprint 26 2025"/>
    <m/>
    <m/>
    <m/>
    <m/>
    <m/>
    <m/>
    <m/>
    <m/>
    <s v="Bug_Devueltov0.14"/>
    <s v="Funcional"/>
    <s v="Grooming_S25"/>
    <s v="Main-Dashboard"/>
    <s v="QA-IntegraciónV0.12"/>
    <s v="T3B20_BOT"/>
    <s v="Tienda2.0"/>
    <s v="UAT"/>
    <s v="UAT_V0.12"/>
    <s v="Yubisleinys Mora Vega"/>
    <d v="2025-11-20T07:07:00"/>
    <s v="v0.16"/>
    <m/>
    <m/>
    <m/>
    <x v="1"/>
    <x v="7"/>
    <m/>
    <x v="1"/>
    <x v="3"/>
    <x v="1"/>
    <n v="0"/>
    <x v="1"/>
    <x v="17"/>
    <x v="0"/>
    <x v="0"/>
    <s v="SI"/>
    <n v="1"/>
  </r>
  <r>
    <s v="Error"/>
    <s v="T20-2840"/>
    <n v="111990"/>
    <s v="POS -  Transacciones Santander no imprime ticket"/>
    <x v="3"/>
    <x v="3"/>
    <s v="T20 Sprint 24 2025"/>
    <s v="T20 Sprint 25 2025"/>
    <s v="T20 Sprint 26 2025"/>
    <m/>
    <m/>
    <m/>
    <m/>
    <m/>
    <m/>
    <m/>
    <m/>
    <s v="Consulta-Transacción-SANTANDER"/>
    <s v="Funcional"/>
    <s v="QA-IntegraciónV0.11"/>
    <s v="T3B20_POS"/>
    <s v="Tienda2.0"/>
    <m/>
    <m/>
    <m/>
    <m/>
    <s v="Daniela Soto"/>
    <d v="2025-11-18T16:08:00"/>
    <s v="v0.14"/>
    <m/>
    <m/>
    <m/>
    <x v="0"/>
    <x v="7"/>
    <m/>
    <x v="3"/>
    <x v="4"/>
    <x v="3"/>
    <n v="24"/>
    <x v="1"/>
    <x v="39"/>
    <x v="0"/>
    <x v="0"/>
    <s v=""/>
    <n v="0"/>
  </r>
  <r>
    <s v="Error"/>
    <s v="T20-2839"/>
    <n v="111986"/>
    <s v="BOT - MERMA - Impresión de Carátulas de manera incorrecta"/>
    <x v="1"/>
    <x v="0"/>
    <s v="T20 Sprint 25 2025"/>
    <s v="T20 Sprint 26 2025"/>
    <m/>
    <m/>
    <m/>
    <m/>
    <m/>
    <m/>
    <m/>
    <m/>
    <m/>
    <s v="Funcional"/>
    <s v="Grooming_S25"/>
    <s v="QA-IntegraciónV0.12"/>
    <s v="Registrar-Merma"/>
    <s v="REVISAR_QA"/>
    <s v="T3B20_BOT"/>
    <s v="Tienda2.0"/>
    <m/>
    <m/>
    <s v="Daniela Soto"/>
    <d v="2025-11-18T16:04:00"/>
    <m/>
    <m/>
    <m/>
    <m/>
    <x v="1"/>
    <x v="7"/>
    <m/>
    <x v="1"/>
    <x v="3"/>
    <x v="0"/>
    <s v="No encontrado"/>
    <x v="1"/>
    <x v="4"/>
    <x v="0"/>
    <x v="0"/>
    <s v=""/>
    <n v="0"/>
  </r>
  <r>
    <s v="Error"/>
    <s v="T20-2827"/>
    <n v="111799"/>
    <s v="BOT - al presionar CTRL+A se eliminala fecha de inicio  de la parte superior del tablero principal"/>
    <x v="2"/>
    <x v="0"/>
    <m/>
    <m/>
    <m/>
    <m/>
    <m/>
    <m/>
    <m/>
    <m/>
    <m/>
    <m/>
    <m/>
    <s v="Funcional"/>
    <s v="Main-Dashboard"/>
    <s v="UAT"/>
    <s v="UAT_V0.12"/>
    <m/>
    <m/>
    <m/>
    <m/>
    <m/>
    <s v="Maria Pilar Albacete Occhi"/>
    <d v="2025-11-18T06:40:00"/>
    <m/>
    <m/>
    <m/>
    <m/>
    <x v="0"/>
    <x v="7"/>
    <m/>
    <x v="1"/>
    <x v="3"/>
    <x v="0"/>
    <s v="No encontrado"/>
    <x v="1"/>
    <x v="17"/>
    <x v="1"/>
    <x v="4"/>
    <s v=""/>
    <n v="0"/>
  </r>
  <r>
    <s v="Error"/>
    <s v="T20-2826"/>
    <n v="111798"/>
    <s v="POS - No se procesa el pago de CoDi en el POS pero en la aplicacion aparece como pago pendiente y en el tablero de ventas se visualiza que ya se cobro"/>
    <x v="1"/>
    <x v="0"/>
    <m/>
    <m/>
    <m/>
    <m/>
    <m/>
    <m/>
    <m/>
    <m/>
    <m/>
    <m/>
    <m/>
    <s v="Funcional"/>
    <s v="Pago-Codi"/>
    <s v="Revisado"/>
    <s v="REVISAR_QA"/>
    <s v="UAT"/>
    <s v="UAT_V0.12"/>
    <m/>
    <m/>
    <m/>
    <s v="Maria Pilar Albacete Occhi"/>
    <d v="2025-11-18T06:39:00"/>
    <m/>
    <m/>
    <m/>
    <m/>
    <x v="0"/>
    <x v="7"/>
    <m/>
    <x v="1"/>
    <x v="3"/>
    <x v="0"/>
    <s v="No encontrado"/>
    <x v="1"/>
    <x v="12"/>
    <x v="1"/>
    <x v="4"/>
    <s v=""/>
    <n v="0"/>
  </r>
  <r>
    <s v="Error"/>
    <s v="T20-2825"/>
    <n v="111797"/>
    <s v="BOT - Al minimizar la ventana de merma y se cambia de pantalla no se guarda lo registrado"/>
    <x v="2"/>
    <x v="0"/>
    <m/>
    <m/>
    <m/>
    <m/>
    <m/>
    <m/>
    <m/>
    <m/>
    <m/>
    <m/>
    <m/>
    <s v="Funcional"/>
    <s v="Registrar-Merma"/>
    <s v="UAT"/>
    <s v="UAT_V0.12"/>
    <m/>
    <m/>
    <m/>
    <m/>
    <m/>
    <s v="Maria Pilar Albacete Occhi"/>
    <d v="2025-11-18T06:36:00"/>
    <m/>
    <m/>
    <m/>
    <m/>
    <x v="1"/>
    <x v="7"/>
    <m/>
    <x v="1"/>
    <x v="3"/>
    <x v="0"/>
    <s v="No encontrado"/>
    <x v="1"/>
    <x v="4"/>
    <x v="1"/>
    <x v="4"/>
    <s v=""/>
    <n v="0"/>
  </r>
  <r>
    <s v="Error"/>
    <s v="T20-2824"/>
    <n v="111796"/>
    <s v="POS - NO APARECE LA DESCRIPCIÓN DEL  PRODUCTO  EN LA PANTALLA DE COBRO - CON PRESENTACION"/>
    <x v="0"/>
    <x v="3"/>
    <s v="T20 Sprint 24 2025"/>
    <s v="T20 Sprint 25 2025"/>
    <s v="T20 Sprint 26 2025"/>
    <m/>
    <m/>
    <m/>
    <m/>
    <m/>
    <m/>
    <m/>
    <m/>
    <s v="Funcional"/>
    <s v="Iniciar_Venta"/>
    <s v="UAT"/>
    <s v="UAT_V0.12"/>
    <m/>
    <m/>
    <m/>
    <m/>
    <m/>
    <s v="Maria Pilar Albacete Occhi"/>
    <d v="2025-11-18T06:34:00"/>
    <m/>
    <m/>
    <m/>
    <m/>
    <x v="0"/>
    <x v="4"/>
    <m/>
    <x v="1"/>
    <x v="3"/>
    <x v="0"/>
    <s v="No encontrado"/>
    <x v="1"/>
    <x v="40"/>
    <x v="1"/>
    <x v="4"/>
    <s v=""/>
    <n v="0"/>
  </r>
  <r>
    <s v="Error"/>
    <s v="T20-2823"/>
    <n v="111795"/>
    <s v="POS - CTRL + L PERMITE REALIZAR FONDEO ADICIONAL POR $200.00"/>
    <x v="1"/>
    <x v="3"/>
    <s v="T20 Sprint 24 2025"/>
    <s v="T20 Sprint 25 2025"/>
    <s v="T20 Sprint 26 2025"/>
    <m/>
    <m/>
    <m/>
    <m/>
    <m/>
    <m/>
    <m/>
    <m/>
    <s v="Atajos-Teclado"/>
    <s v="Funcional"/>
    <s v="Grooming_S25"/>
    <s v="T3B20_POS"/>
    <s v="Tienda2.0"/>
    <s v="UAT"/>
    <s v="UAT_V0.12"/>
    <m/>
    <m/>
    <s v="Maria Pilar Albacete Occhi"/>
    <d v="2025-11-18T06:33:00"/>
    <s v="v0.14"/>
    <m/>
    <m/>
    <m/>
    <x v="0"/>
    <x v="7"/>
    <m/>
    <x v="1"/>
    <x v="3"/>
    <x v="3"/>
    <n v="24"/>
    <x v="1"/>
    <x v="22"/>
    <x v="1"/>
    <x v="4"/>
    <s v=""/>
    <n v="0"/>
  </r>
  <r>
    <s v="Error"/>
    <s v="T20-2822"/>
    <n v="111794"/>
    <s v="BOT - La información del panel de ventas desaparece despues de hacer una devolución"/>
    <x v="1"/>
    <x v="4"/>
    <m/>
    <m/>
    <m/>
    <m/>
    <m/>
    <m/>
    <m/>
    <m/>
    <m/>
    <m/>
    <m/>
    <s v="Dashboard-Ventas"/>
    <s v="Funcional"/>
    <s v="UAT"/>
    <s v="UAT_V0.12"/>
    <m/>
    <m/>
    <m/>
    <m/>
    <m/>
    <s v="Maria Pilar Albacete Occhi"/>
    <d v="2025-11-18T06:31:00"/>
    <m/>
    <m/>
    <m/>
    <m/>
    <x v="1"/>
    <x v="4"/>
    <m/>
    <x v="1"/>
    <x v="3"/>
    <x v="0"/>
    <s v="No encontrado"/>
    <x v="1"/>
    <x v="21"/>
    <x v="1"/>
    <x v="4"/>
    <s v=""/>
    <n v="0"/>
  </r>
  <r>
    <s v="Error"/>
    <s v="T20-2821"/>
    <n v="111793"/>
    <s v="POS - Al buscar la harina en el buscador de productos sin codigo, se visualiza el producto Botana chicharron mix, siendo este un producto con codigo."/>
    <x v="0"/>
    <x v="4"/>
    <s v="T20 Sprint 24 2025"/>
    <s v="T20 Sprint 25 2025"/>
    <s v="T20 Sprint 26 2025"/>
    <m/>
    <m/>
    <m/>
    <m/>
    <m/>
    <m/>
    <m/>
    <m/>
    <s v="Catálogo-de-Productos-Sin-Código"/>
    <s v="Configuración"/>
    <s v="UAT"/>
    <s v="UAT_V0.12"/>
    <m/>
    <m/>
    <m/>
    <m/>
    <m/>
    <s v="Maria Pilar Albacete Occhi"/>
    <d v="2025-11-18T06:19:00"/>
    <m/>
    <m/>
    <m/>
    <m/>
    <x v="0"/>
    <x v="4"/>
    <m/>
    <x v="1"/>
    <x v="3"/>
    <x v="0"/>
    <s v="No encontrado"/>
    <x v="2"/>
    <x v="37"/>
    <x v="1"/>
    <x v="4"/>
    <s v=""/>
    <n v="0"/>
  </r>
  <r>
    <s v="Error"/>
    <s v="T20-2820"/>
    <n v="111792"/>
    <s v="BOT - Descripción en otro idioma diferente al de la fuente original"/>
    <x v="0"/>
    <x v="4"/>
    <m/>
    <m/>
    <m/>
    <m/>
    <m/>
    <m/>
    <m/>
    <m/>
    <m/>
    <m/>
    <m/>
    <s v="Contenido/Datos"/>
    <s v="Registro-de-Gastos"/>
    <s v="UAT"/>
    <s v="UAT_V0.12"/>
    <m/>
    <m/>
    <m/>
    <m/>
    <m/>
    <s v="Maria Pilar Albacete Occhi"/>
    <d v="2025-11-18T06:18:00"/>
    <m/>
    <m/>
    <m/>
    <m/>
    <x v="1"/>
    <x v="4"/>
    <m/>
    <x v="1"/>
    <x v="3"/>
    <x v="0"/>
    <s v="No encontrado"/>
    <x v="4"/>
    <x v="27"/>
    <x v="1"/>
    <x v="4"/>
    <s v=""/>
    <n v="0"/>
  </r>
  <r>
    <s v="Error"/>
    <s v="T20-2819"/>
    <n v="111791"/>
    <s v="BOT - La flecha de menu desplegable no esta activa y no se puede navegar con cursores."/>
    <x v="0"/>
    <x v="4"/>
    <m/>
    <m/>
    <m/>
    <m/>
    <m/>
    <m/>
    <m/>
    <m/>
    <m/>
    <m/>
    <m/>
    <s v="Look&amp;Feel"/>
    <s v="QA-IntegraciónV0.12"/>
    <s v="Registro-de-Gastos"/>
    <s v="UAT"/>
    <m/>
    <m/>
    <m/>
    <m/>
    <m/>
    <s v="Maria Pilar Albacete Occhi"/>
    <d v="2025-11-18T06:14:00"/>
    <m/>
    <m/>
    <m/>
    <m/>
    <x v="1"/>
    <x v="7"/>
    <m/>
    <x v="1"/>
    <x v="3"/>
    <x v="0"/>
    <s v="No encontrado"/>
    <x v="0"/>
    <x v="27"/>
    <x v="0"/>
    <x v="0"/>
    <s v=""/>
    <n v="0"/>
  </r>
  <r>
    <s v="Error"/>
    <s v="T20-2818"/>
    <n v="111790"/>
    <s v="POS - Al cerra la ventana o posponer la solicitud de alivio en el POS este se bloquea"/>
    <x v="1"/>
    <x v="4"/>
    <m/>
    <m/>
    <m/>
    <m/>
    <m/>
    <m/>
    <m/>
    <m/>
    <m/>
    <m/>
    <m/>
    <s v="Alivios"/>
    <s v="Funcional"/>
    <s v="UAT"/>
    <s v="UAT_V0.12"/>
    <m/>
    <m/>
    <m/>
    <m/>
    <m/>
    <s v="Maria Pilar Albacete Occhi"/>
    <d v="2025-11-18T06:12:00"/>
    <m/>
    <m/>
    <m/>
    <m/>
    <x v="0"/>
    <x v="7"/>
    <m/>
    <x v="1"/>
    <x v="3"/>
    <x v="0"/>
    <s v="No encontrado"/>
    <x v="1"/>
    <x v="5"/>
    <x v="1"/>
    <x v="4"/>
    <s v=""/>
    <n v="0"/>
  </r>
  <r>
    <s v="Error"/>
    <s v="T20-2817"/>
    <n v="111789"/>
    <s v="POS - En los tickets de devolucion se imprimen con una fila adicional en 0"/>
    <x v="0"/>
    <x v="3"/>
    <s v="T20 Sprint 24 2025"/>
    <s v="T20 Sprint 25 2025"/>
    <s v="T20 Sprint 26 2025"/>
    <m/>
    <m/>
    <m/>
    <m/>
    <m/>
    <m/>
    <m/>
    <m/>
    <s v="Devoluciones"/>
    <s v="Look&amp;Feel"/>
    <s v="T3B20_POS"/>
    <s v="Tienda2.0"/>
    <s v="UAT"/>
    <s v="UAT_V0.12"/>
    <m/>
    <m/>
    <m/>
    <s v="Maria Pilar Albacete Occhi"/>
    <d v="2025-11-18T06:10:00"/>
    <s v="v0.14"/>
    <m/>
    <m/>
    <m/>
    <x v="0"/>
    <x v="7"/>
    <m/>
    <x v="1"/>
    <x v="3"/>
    <x v="3"/>
    <n v="24"/>
    <x v="0"/>
    <x v="24"/>
    <x v="1"/>
    <x v="4"/>
    <s v=""/>
    <n v="0"/>
  </r>
  <r>
    <s v="Error"/>
    <s v="T20-2816"/>
    <n v="111788"/>
    <s v="BOT - Al registrar gasto y cambiar la seleccion de tipo de gastos, el sistema se traba siendo necesario reiniciar la maquina"/>
    <x v="3"/>
    <x v="3"/>
    <s v="T20 Sprint 25 2025"/>
    <s v="T20 Sprint 26 2025"/>
    <m/>
    <m/>
    <m/>
    <m/>
    <m/>
    <m/>
    <m/>
    <m/>
    <m/>
    <s v="Funcional"/>
    <s v="Grooming_S25"/>
    <s v="Registro-de-Gastos"/>
    <s v="T3B20_BOT"/>
    <s v="Tienda2.0"/>
    <s v="UAT"/>
    <s v="UAT_V0.12"/>
    <m/>
    <m/>
    <s v="Maria Pilar Albacete Occhi"/>
    <d v="2025-11-18T06:07:00"/>
    <s v="v0.15"/>
    <m/>
    <m/>
    <m/>
    <x v="1"/>
    <x v="7"/>
    <m/>
    <x v="1"/>
    <x v="3"/>
    <x v="2"/>
    <n v="25"/>
    <x v="1"/>
    <x v="27"/>
    <x v="1"/>
    <x v="4"/>
    <s v=""/>
    <n v="0"/>
  </r>
  <r>
    <s v="Error"/>
    <s v="T20-2815"/>
    <n v="111787"/>
    <s v="BOT - El total de ventas en el panel del Pos 2 no se actualiza"/>
    <x v="2"/>
    <x v="2"/>
    <s v="T20 Sprint 25 2025"/>
    <s v="T20 Sprint 26 2025"/>
    <m/>
    <m/>
    <m/>
    <m/>
    <m/>
    <m/>
    <m/>
    <m/>
    <m/>
    <s v="Bug_Devuelto_v0.15"/>
    <s v="Dashboard-Ventas"/>
    <s v="Funcional"/>
    <s v="T3B20_POS"/>
    <s v="Tienda2.0"/>
    <s v="UAT"/>
    <s v="UAT_V0.12"/>
    <m/>
    <m/>
    <s v="Maria Pilar Albacete Occhi"/>
    <d v="2025-11-18T06:06:00"/>
    <s v="v0.16"/>
    <m/>
    <m/>
    <m/>
    <x v="0"/>
    <x v="7"/>
    <m/>
    <x v="1"/>
    <x v="3"/>
    <x v="1"/>
    <n v="0"/>
    <x v="1"/>
    <x v="21"/>
    <x v="1"/>
    <x v="4"/>
    <s v="SI"/>
    <n v="1"/>
  </r>
  <r>
    <s v="Error"/>
    <s v="T20-2814"/>
    <n v="111786"/>
    <s v="POS - El sistema no pidio la entrega del fondo y en el pico no se suma el monto del fondo y lo marca como diferencia faltante"/>
    <x v="2"/>
    <x v="4"/>
    <m/>
    <m/>
    <m/>
    <m/>
    <m/>
    <m/>
    <m/>
    <m/>
    <m/>
    <m/>
    <m/>
    <s v="Fondeo-Adicional"/>
    <s v="Funcional"/>
    <s v="UAT"/>
    <s v="UAT_V0.12"/>
    <m/>
    <m/>
    <m/>
    <m/>
    <m/>
    <s v="Maria Pilar Albacete Occhi"/>
    <d v="2025-11-18T05:37:00"/>
    <m/>
    <m/>
    <m/>
    <m/>
    <x v="0"/>
    <x v="7"/>
    <m/>
    <x v="1"/>
    <x v="3"/>
    <x v="0"/>
    <s v="No encontrado"/>
    <x v="1"/>
    <x v="41"/>
    <x v="1"/>
    <x v="4"/>
    <s v=""/>
    <n v="0"/>
  </r>
  <r>
    <s v="Error"/>
    <s v="T20-2813"/>
    <n v="111785"/>
    <s v="POS - En el ticket al momento de multiplicar aparece precio por unidad y no precio total como en pantalla de POS"/>
    <x v="2"/>
    <x v="3"/>
    <s v="T20 Sprint 24 2025"/>
    <s v="T20 Sprint 25 2025"/>
    <s v="T20 Sprint 26 2025"/>
    <m/>
    <m/>
    <m/>
    <m/>
    <m/>
    <m/>
    <m/>
    <m/>
    <s v="Contenido/Datos"/>
    <s v="Imprimir-Ticket"/>
    <s v="UAT"/>
    <s v="UAT_V0.12"/>
    <m/>
    <m/>
    <m/>
    <m/>
    <m/>
    <s v="Maria Pilar Albacete Occhi"/>
    <d v="2025-11-18T05:29:00"/>
    <m/>
    <m/>
    <m/>
    <m/>
    <x v="0"/>
    <x v="7"/>
    <m/>
    <x v="1"/>
    <x v="3"/>
    <x v="0"/>
    <s v="No encontrado"/>
    <x v="4"/>
    <x v="42"/>
    <x v="1"/>
    <x v="4"/>
    <s v=""/>
    <n v="0"/>
  </r>
  <r>
    <s v="Error"/>
    <s v="T20-2812"/>
    <n v="111784"/>
    <s v="POS - NO APARECE LA LEYENDA SALIR/CERRAR SESION"/>
    <x v="0"/>
    <x v="4"/>
    <m/>
    <m/>
    <m/>
    <m/>
    <m/>
    <m/>
    <m/>
    <m/>
    <m/>
    <m/>
    <m/>
    <s v="Look&amp;Feel"/>
    <s v="Main-Dashboard"/>
    <s v="UAT"/>
    <s v="UAT_V0.12"/>
    <m/>
    <m/>
    <m/>
    <m/>
    <m/>
    <s v="Maria Pilar Albacete Occhi"/>
    <d v="2025-11-18T05:19:00"/>
    <m/>
    <m/>
    <m/>
    <m/>
    <x v="0"/>
    <x v="7"/>
    <m/>
    <x v="1"/>
    <x v="3"/>
    <x v="0"/>
    <s v="No encontrado"/>
    <x v="0"/>
    <x v="17"/>
    <x v="1"/>
    <x v="4"/>
    <s v=""/>
    <n v="0"/>
  </r>
  <r>
    <s v="Error"/>
    <s v="T20-2811"/>
    <n v="111783"/>
    <s v="POS - Se bloquea el POS al pagar con tarjeta o CODI"/>
    <x v="3"/>
    <x v="3"/>
    <s v="T20 Sprint 24 2025"/>
    <s v="T20 Sprint 25 2025"/>
    <s v="T20 Sprint 26 2025"/>
    <m/>
    <m/>
    <m/>
    <m/>
    <m/>
    <m/>
    <m/>
    <m/>
    <s v="Funcional"/>
    <s v="Grooming_S25"/>
    <s v="Pago-Con-Tarjeta"/>
    <s v="UAT"/>
    <s v="UAT_V0.12"/>
    <m/>
    <m/>
    <m/>
    <m/>
    <s v="Maria Pilar Albacete Occhi"/>
    <d v="2025-11-18T05:17:00"/>
    <s v="v0.13"/>
    <m/>
    <m/>
    <m/>
    <x v="0"/>
    <x v="7"/>
    <m/>
    <x v="1"/>
    <x v="3"/>
    <x v="5"/>
    <n v="23"/>
    <x v="1"/>
    <x v="15"/>
    <x v="1"/>
    <x v="4"/>
    <s v=""/>
    <n v="0"/>
  </r>
  <r>
    <s v="Error"/>
    <s v="T20-2810"/>
    <n v="111782"/>
    <s v="POS - Pagos con tarjeta, no efectua cobro por cantidades superiores a $1,000,00"/>
    <x v="3"/>
    <x v="3"/>
    <s v="T20 Sprint 24 2025"/>
    <s v="T20 Sprint 25 2025"/>
    <s v="T20 Sprint 26 2025"/>
    <m/>
    <m/>
    <m/>
    <m/>
    <m/>
    <m/>
    <m/>
    <m/>
    <s v="Funcional"/>
    <s v="Grooming_S25"/>
    <s v="Pago-Con-Tarjeta"/>
    <s v="T3B20_POS"/>
    <s v="Tienda2.0"/>
    <s v="UAT"/>
    <s v="UAT_V0.12"/>
    <m/>
    <m/>
    <s v="Maria Pilar Albacete Occhi"/>
    <d v="2025-11-18T05:17:00"/>
    <s v="v0.14"/>
    <m/>
    <m/>
    <m/>
    <x v="0"/>
    <x v="7"/>
    <m/>
    <x v="1"/>
    <x v="3"/>
    <x v="3"/>
    <n v="24"/>
    <x v="1"/>
    <x v="15"/>
    <x v="1"/>
    <x v="4"/>
    <s v=""/>
    <n v="0"/>
  </r>
  <r>
    <s v="Error"/>
    <s v="T20-2809"/>
    <n v="111781"/>
    <s v="POS - la tecla de retroceso brinca 3 caracteres "/>
    <x v="0"/>
    <x v="3"/>
    <s v="T20 Sprint 24 2025"/>
    <s v="T20 Sprint 25 2025"/>
    <s v="T20 Sprint 26 2025"/>
    <m/>
    <m/>
    <m/>
    <m/>
    <m/>
    <m/>
    <m/>
    <m/>
    <s v="Bugs-En-Inputs"/>
    <s v="Funcional"/>
    <s v="Grooming"/>
    <s v="T3B20_POS"/>
    <s v="Tienda2.0"/>
    <s v="UAT"/>
    <s v="UAT_V0.12"/>
    <m/>
    <m/>
    <s v="Maria Pilar Albacete Occhi"/>
    <d v="2025-11-18T05:15:00"/>
    <s v="v0.14"/>
    <m/>
    <m/>
    <m/>
    <x v="0"/>
    <x v="7"/>
    <m/>
    <x v="1"/>
    <x v="3"/>
    <x v="3"/>
    <n v="24"/>
    <x v="1"/>
    <x v="18"/>
    <x v="1"/>
    <x v="4"/>
    <s v=""/>
    <n v="0"/>
  </r>
  <r>
    <s v="Error"/>
    <s v="T20-2764"/>
    <n v="111394"/>
    <s v="BOT - Inventario - Error para descargar archivo"/>
    <x v="3"/>
    <x v="3"/>
    <s v="T20 Sprint 23 2025"/>
    <s v="T20 Sprint 24 2025"/>
    <s v="T20 Sprint 25 2025"/>
    <s v="T20 Sprint 26 2025"/>
    <m/>
    <m/>
    <m/>
    <m/>
    <m/>
    <m/>
    <m/>
    <s v="Funcional"/>
    <s v="QA-IntegraciónV0.12"/>
    <s v="Realizar-Inventario"/>
    <m/>
    <m/>
    <m/>
    <m/>
    <m/>
    <m/>
    <s v="Daniela Soto"/>
    <d v="2025-11-14T15:05:00"/>
    <m/>
    <m/>
    <m/>
    <m/>
    <x v="1"/>
    <x v="7"/>
    <m/>
    <x v="1"/>
    <x v="3"/>
    <x v="0"/>
    <s v="No encontrado"/>
    <x v="1"/>
    <x v="29"/>
    <x v="0"/>
    <x v="0"/>
    <s v=""/>
    <n v="0"/>
  </r>
  <r>
    <s v="Error"/>
    <s v="T20-2763"/>
    <n v="111365"/>
    <s v="BOT - Al aceptar &quot;Recibir mercancía&quot; desde mensajes entrantes, se muestra un modal para &quot;Seleccionar folio&quot; que está de más."/>
    <x v="1"/>
    <x v="3"/>
    <s v="T20 Sprint 23 2025"/>
    <s v="T20 Sprint 24 2025"/>
    <s v="T20 Sprint 25 2025"/>
    <s v="T20 Sprint 26 2025"/>
    <m/>
    <m/>
    <m/>
    <m/>
    <m/>
    <m/>
    <m/>
    <s v="Funcional"/>
    <s v="QA-IntegraciónV0.12"/>
    <s v="Recibir-Mercancía-Almacén-Tienda"/>
    <s v="T3B20_BOT"/>
    <s v="Tienda2.0"/>
    <s v="UAT"/>
    <m/>
    <m/>
    <m/>
    <s v="Daniela Soto"/>
    <d v="2025-11-14T13:58:00"/>
    <s v="v0.14"/>
    <m/>
    <m/>
    <m/>
    <x v="1"/>
    <x v="7"/>
    <m/>
    <x v="1"/>
    <x v="3"/>
    <x v="3"/>
    <n v="24"/>
    <x v="1"/>
    <x v="3"/>
    <x v="0"/>
    <x v="0"/>
    <s v=""/>
    <n v="0"/>
  </r>
  <r>
    <s v="Error"/>
    <s v="T20-2762"/>
    <n v="111346"/>
    <s v="BOT - Realizar transferencia permite transferir a la misma tienda que realiza el envío."/>
    <x v="1"/>
    <x v="0"/>
    <s v="T20 Sprint 23 2025"/>
    <m/>
    <m/>
    <m/>
    <m/>
    <m/>
    <m/>
    <m/>
    <m/>
    <m/>
    <m/>
    <s v="Funcional"/>
    <s v="QA-IntegraciónV0.12"/>
    <s v="Realizar-Transferencia"/>
    <s v="Revisado"/>
    <s v="UAT"/>
    <m/>
    <m/>
    <m/>
    <m/>
    <s v="Daniela Soto"/>
    <d v="2025-11-14T13:18:00"/>
    <m/>
    <m/>
    <m/>
    <m/>
    <x v="1"/>
    <x v="7"/>
    <m/>
    <x v="1"/>
    <x v="3"/>
    <x v="0"/>
    <s v="No encontrado"/>
    <x v="1"/>
    <x v="14"/>
    <x v="0"/>
    <x v="0"/>
    <s v=""/>
    <n v="0"/>
  </r>
  <r>
    <s v="Error"/>
    <s v="T20-2761"/>
    <n v="111330"/>
    <s v="BOT - El mensaje entrante de &quot;Recibir mercancía&quot; no se elimina del dashboard principal al ser aceptado"/>
    <x v="1"/>
    <x v="3"/>
    <s v="T20 Sprint 23 2025"/>
    <s v="T20 Sprint 24 2025"/>
    <s v="T20 Sprint 25 2025"/>
    <s v="T20 Sprint 26 2025"/>
    <m/>
    <m/>
    <m/>
    <m/>
    <m/>
    <m/>
    <m/>
    <s v="Funcional"/>
    <s v="Main-Dashboard"/>
    <s v="QA-IntegraciónV0.12"/>
    <s v="T3B20_BOT"/>
    <s v="Tienda2.0"/>
    <m/>
    <m/>
    <m/>
    <m/>
    <s v="Daniela Soto"/>
    <d v="2025-11-14T12:57:00"/>
    <s v="v0.14"/>
    <m/>
    <m/>
    <m/>
    <x v="1"/>
    <x v="7"/>
    <m/>
    <x v="1"/>
    <x v="3"/>
    <x v="3"/>
    <n v="24"/>
    <x v="1"/>
    <x v="17"/>
    <x v="0"/>
    <x v="0"/>
    <s v=""/>
    <n v="0"/>
  </r>
  <r>
    <s v="Error"/>
    <s v="T20-2760"/>
    <n v="111324"/>
    <s v="BOT - Errores en modal &quot;Recibir mercancia&quot;"/>
    <x v="1"/>
    <x v="4"/>
    <s v="T20 Sprint 23 2025"/>
    <s v="T20 Sprint 25 2025"/>
    <s v="T20 Sprint 26 2025"/>
    <m/>
    <m/>
    <m/>
    <m/>
    <m/>
    <m/>
    <m/>
    <m/>
    <s v="Funcional"/>
    <s v="QA-IntegraciónV0.12"/>
    <s v="Recibir-Mercancía-Almacén-Tienda"/>
    <s v="T3B20_BOT"/>
    <s v="Tienda2.0"/>
    <s v="UAT"/>
    <m/>
    <m/>
    <m/>
    <s v="Yubisleinys Mora Vega"/>
    <d v="2025-11-14T12:51:00"/>
    <s v="v0.13"/>
    <m/>
    <m/>
    <m/>
    <x v="1"/>
    <x v="7"/>
    <m/>
    <x v="1"/>
    <x v="3"/>
    <x v="5"/>
    <n v="23"/>
    <x v="1"/>
    <x v="3"/>
    <x v="0"/>
    <x v="0"/>
    <s v=""/>
    <n v="0"/>
  </r>
  <r>
    <s v="Error"/>
    <s v="T20-2759"/>
    <n v="111233"/>
    <s v="BOT - Errores en modal Inventario - &quot;Grupo&quot; en ingles - &quot;Checks&quot; errados."/>
    <x v="2"/>
    <x v="3"/>
    <s v="T20 Sprint 23 2025"/>
    <s v="T20 Sprint 25 2025"/>
    <s v="T20 Sprint 26 2025"/>
    <m/>
    <m/>
    <m/>
    <m/>
    <m/>
    <m/>
    <m/>
    <m/>
    <s v="Grooming_S25"/>
    <s v="Look&amp;Feel"/>
    <s v="QA-IntegraciónV0.12"/>
    <s v="Realizar-Inventario"/>
    <m/>
    <m/>
    <m/>
    <m/>
    <m/>
    <s v="Daniela Soto"/>
    <d v="2025-11-14T09:40:00"/>
    <s v="v0.15"/>
    <m/>
    <m/>
    <m/>
    <x v="1"/>
    <x v="7"/>
    <m/>
    <x v="1"/>
    <x v="3"/>
    <x v="2"/>
    <n v="25"/>
    <x v="0"/>
    <x v="29"/>
    <x v="0"/>
    <x v="0"/>
    <s v=""/>
    <n v="0"/>
  </r>
  <r>
    <s v="Error"/>
    <s v="T20-2758"/>
    <n v="111225"/>
    <s v="BOT - Inventario -  Errores en modal autentificación"/>
    <x v="2"/>
    <x v="3"/>
    <s v="T20 Sprint 25 2025"/>
    <s v="T20 Sprint 26 2025"/>
    <m/>
    <m/>
    <m/>
    <m/>
    <m/>
    <m/>
    <m/>
    <m/>
    <m/>
    <s v="Grooming_S25"/>
    <s v="Look&amp;Feel"/>
    <s v="QA-IntegraciónV0.12"/>
    <s v="Realizar-Inventario"/>
    <s v="T3B20_BOT"/>
    <s v="Tienda2.0"/>
    <m/>
    <m/>
    <m/>
    <s v="Daniela Soto"/>
    <d v="2025-11-14T09:09:00"/>
    <s v="v0.15"/>
    <m/>
    <m/>
    <m/>
    <x v="1"/>
    <x v="7"/>
    <m/>
    <x v="1"/>
    <x v="3"/>
    <x v="2"/>
    <n v="25"/>
    <x v="0"/>
    <x v="29"/>
    <x v="0"/>
    <x v="0"/>
    <s v=""/>
    <n v="0"/>
  </r>
  <r>
    <s v="Error"/>
    <s v="T20-2756"/>
    <n v="111201"/>
    <s v="BOT - Modal &quot;Inventario&quot; se abre con fondo gris en lugar de mantener &quot;Tablero principal&quot; de fondo."/>
    <x v="2"/>
    <x v="0"/>
    <s v="T20 Sprint 23 2025"/>
    <m/>
    <m/>
    <m/>
    <m/>
    <m/>
    <m/>
    <m/>
    <m/>
    <m/>
    <m/>
    <s v="Funcional"/>
    <s v="QA-IntegraciónV0.12"/>
    <s v="Realizar-Inventario"/>
    <m/>
    <m/>
    <m/>
    <m/>
    <m/>
    <m/>
    <s v="Daniela Soto"/>
    <d v="2025-11-14T08:04:00"/>
    <m/>
    <m/>
    <m/>
    <m/>
    <x v="1"/>
    <x v="7"/>
    <m/>
    <x v="1"/>
    <x v="3"/>
    <x v="0"/>
    <s v="No encontrado"/>
    <x v="1"/>
    <x v="29"/>
    <x v="0"/>
    <x v="0"/>
    <s v=""/>
    <n v="0"/>
  </r>
  <r>
    <s v="Error"/>
    <s v="T20-2754"/>
    <n v="111137"/>
    <s v="POS- Eventos Iothub - Diferencia horaria"/>
    <x v="1"/>
    <x v="0"/>
    <s v="T20 Sprint 25 2025"/>
    <s v="T20 Sprint 26 2025"/>
    <m/>
    <m/>
    <m/>
    <m/>
    <m/>
    <m/>
    <m/>
    <m/>
    <m/>
    <s v="Eventos_iOT"/>
    <s v="Eventos_Iothub"/>
    <s v="Pago-En-Efectivo"/>
    <s v="QA-IntegraciónV0.12"/>
    <s v="Revisado"/>
    <s v="T3B20_POS"/>
    <s v="Tienda2.0"/>
    <s v="UAT_1_WEEK"/>
    <m/>
    <s v="Yubisleinys Mora Vega"/>
    <d v="2025-11-13T17:24:00"/>
    <m/>
    <m/>
    <m/>
    <m/>
    <x v="0"/>
    <x v="7"/>
    <m/>
    <x v="1"/>
    <x v="3"/>
    <x v="0"/>
    <s v="No encontrado"/>
    <x v="3"/>
    <x v="43"/>
    <x v="0"/>
    <x v="0"/>
    <s v=""/>
    <n v="0"/>
  </r>
  <r>
    <s v="Error"/>
    <s v="T20-2753"/>
    <n v="111042"/>
    <s v="BOT - Error en tablero Realizar transferencia"/>
    <x v="1"/>
    <x v="0"/>
    <m/>
    <m/>
    <m/>
    <m/>
    <m/>
    <m/>
    <m/>
    <m/>
    <m/>
    <m/>
    <m/>
    <s v="Funcional"/>
    <s v="QA-IntegraciónV0.12"/>
    <s v="Realizar-Transferencia"/>
    <m/>
    <m/>
    <m/>
    <m/>
    <m/>
    <m/>
    <s v="Yubisleinys Mora Vega"/>
    <d v="2025-11-13T13:41:00"/>
    <m/>
    <m/>
    <m/>
    <m/>
    <x v="1"/>
    <x v="7"/>
    <m/>
    <x v="1"/>
    <x v="3"/>
    <x v="0"/>
    <s v="No encontrado"/>
    <x v="1"/>
    <x v="14"/>
    <x v="0"/>
    <x v="0"/>
    <s v=""/>
    <n v="0"/>
  </r>
  <r>
    <s v="Error"/>
    <s v="T20-2711"/>
    <n v="110732"/>
    <s v="BOT - Toast de Recibir mercancía no coincide con el Figma"/>
    <x v="2"/>
    <x v="3"/>
    <s v="T20 Sprint 23 2025"/>
    <s v="T20 Sprint 25 2025"/>
    <s v="T20 Sprint 26 2025"/>
    <m/>
    <m/>
    <m/>
    <m/>
    <m/>
    <m/>
    <m/>
    <m/>
    <s v="Grooming_S25"/>
    <s v="Look&amp;Feel"/>
    <s v="QA-IntegraciónV0.12"/>
    <s v="Recibir-Mercancía-Almacén-Tienda"/>
    <s v="T3B20_BOT"/>
    <s v="Tienda2.0"/>
    <m/>
    <m/>
    <m/>
    <s v="Daniela Soto"/>
    <d v="2025-11-12T16:07:00"/>
    <s v="v0.15"/>
    <m/>
    <m/>
    <m/>
    <x v="1"/>
    <x v="7"/>
    <m/>
    <x v="1"/>
    <x v="3"/>
    <x v="2"/>
    <n v="25"/>
    <x v="0"/>
    <x v="3"/>
    <x v="0"/>
    <x v="0"/>
    <s v=""/>
    <n v="0"/>
  </r>
  <r>
    <s v="Error"/>
    <s v="T20-2710"/>
    <n v="110727"/>
    <s v="BOT - modal Recibir mercancía trae información incorrecta"/>
    <x v="1"/>
    <x v="4"/>
    <s v="T20 Sprint 23 2025"/>
    <s v="T20 Sprint 25 2025"/>
    <s v="T20 Sprint 26 2025"/>
    <m/>
    <m/>
    <m/>
    <m/>
    <m/>
    <m/>
    <m/>
    <m/>
    <s v="Funcional"/>
    <s v="QA-IntegraciónV0.12"/>
    <s v="Recibir-Mercancía-Almacén-Tienda"/>
    <m/>
    <m/>
    <m/>
    <m/>
    <m/>
    <m/>
    <s v="Daniela Soto"/>
    <d v="2025-11-12T16:00:00"/>
    <m/>
    <m/>
    <m/>
    <m/>
    <x v="1"/>
    <x v="7"/>
    <m/>
    <x v="1"/>
    <x v="3"/>
    <x v="0"/>
    <s v="No encontrado"/>
    <x v="1"/>
    <x v="3"/>
    <x v="0"/>
    <x v="0"/>
    <s v=""/>
    <n v="0"/>
  </r>
  <r>
    <s v="Error"/>
    <s v="T20-2707"/>
    <n v="110709"/>
    <s v="BOT - Pie de camión - Piezas recibidas no se calcula correctamente"/>
    <x v="1"/>
    <x v="0"/>
    <s v="T20 Sprint 23 2025"/>
    <s v="T20 Sprint 25 2025"/>
    <s v="T20 Sprint 26 2025"/>
    <m/>
    <m/>
    <m/>
    <m/>
    <m/>
    <m/>
    <m/>
    <m/>
    <s v="Funcional"/>
    <s v="QA-IntegraciónV0.12"/>
    <s v="Recibir-Mercancía-Pie-De-Camión"/>
    <s v="UAT"/>
    <m/>
    <m/>
    <m/>
    <m/>
    <m/>
    <s v="Daniela Soto"/>
    <d v="2025-11-12T15:20:00"/>
    <m/>
    <m/>
    <m/>
    <m/>
    <x v="1"/>
    <x v="7"/>
    <m/>
    <x v="1"/>
    <x v="3"/>
    <x v="0"/>
    <s v="No encontrado"/>
    <x v="1"/>
    <x v="33"/>
    <x v="0"/>
    <x v="0"/>
    <s v=""/>
    <n v="0"/>
  </r>
  <r>
    <s v="Error"/>
    <s v="T20-2685"/>
    <n v="110536"/>
    <s v="BOT - Pie de camión - Errores en proveedores"/>
    <x v="3"/>
    <x v="0"/>
    <s v="T20 Sprint 23 2025"/>
    <s v="T20 Sprint 25 2025"/>
    <s v="T20 Sprint 26 2025"/>
    <m/>
    <m/>
    <m/>
    <m/>
    <m/>
    <m/>
    <m/>
    <m/>
    <s v="Funcional"/>
    <s v="Grooming_S25"/>
    <s v="QA-IntegraciónV0.12"/>
    <s v="Recibir-Mercancía-Pie-De-Camión"/>
    <m/>
    <m/>
    <m/>
    <m/>
    <m/>
    <s v="Daniela Soto"/>
    <d v="2025-11-12T09:14:00"/>
    <m/>
    <m/>
    <m/>
    <m/>
    <x v="1"/>
    <x v="7"/>
    <m/>
    <x v="1"/>
    <x v="3"/>
    <x v="0"/>
    <s v="No encontrado"/>
    <x v="1"/>
    <x v="33"/>
    <x v="0"/>
    <x v="0"/>
    <s v=""/>
    <n v="0"/>
  </r>
  <r>
    <s v="Error"/>
    <s v="T20-2574"/>
    <n v="109957"/>
    <s v="POS/BOT - Eventos -Inconsistencia en el formato del atributo operation_date entre IoT Hub y Fabric"/>
    <x v="1"/>
    <x v="0"/>
    <m/>
    <m/>
    <m/>
    <m/>
    <m/>
    <m/>
    <m/>
    <m/>
    <m/>
    <m/>
    <m/>
    <s v="Eventos_Fabric"/>
    <s v="Pago-Con-Tarjeta"/>
    <s v="QA-IntegraciónV0.11"/>
    <s v="Revisado"/>
    <s v="UAT_1_WEEK"/>
    <m/>
    <m/>
    <m/>
    <m/>
    <s v="Yubisleinys Mora Vega"/>
    <d v="2025-11-10T20:46:00"/>
    <s v="v0.11"/>
    <m/>
    <m/>
    <m/>
    <x v="1"/>
    <x v="7"/>
    <m/>
    <x v="3"/>
    <x v="4"/>
    <x v="6"/>
    <n v="22"/>
    <x v="5"/>
    <x v="15"/>
    <x v="0"/>
    <x v="0"/>
    <s v=""/>
    <n v="0"/>
  </r>
  <r>
    <s v="Error"/>
    <s v="T20-2488"/>
    <n v="109837"/>
    <s v="BOT - Dashboard Productos - Error en filtros"/>
    <x v="1"/>
    <x v="0"/>
    <s v="T20 Sprint 23 2025"/>
    <s v="T20 Sprint 26 2025"/>
    <m/>
    <m/>
    <m/>
    <m/>
    <m/>
    <m/>
    <m/>
    <m/>
    <m/>
    <s v="Dashboard-Productos"/>
    <s v="Funcional"/>
    <s v="QA-IntegraciónV0.12"/>
    <s v="T3B20_BOT"/>
    <s v="Tienda2.0"/>
    <m/>
    <m/>
    <m/>
    <m/>
    <s v="Daniela Soto"/>
    <d v="2025-11-10T16:40:00"/>
    <s v="v0.16"/>
    <m/>
    <m/>
    <m/>
    <x v="1"/>
    <x v="7"/>
    <m/>
    <x v="1"/>
    <x v="3"/>
    <x v="1"/>
    <n v="0"/>
    <x v="1"/>
    <x v="16"/>
    <x v="0"/>
    <x v="0"/>
    <s v=""/>
    <n v="0"/>
  </r>
  <r>
    <s v="Error"/>
    <s v="T20-2486"/>
    <n v="109821"/>
    <s v="BOT - Problemas en la barra de búsqueda del Dashboard Productos"/>
    <x v="2"/>
    <x v="0"/>
    <s v="T20 Sprint 23 2025"/>
    <s v="T20 Sprint 25 2025"/>
    <s v="T20 Sprint 26 2025"/>
    <m/>
    <m/>
    <m/>
    <m/>
    <m/>
    <m/>
    <m/>
    <m/>
    <s v="Dashboard-Productos"/>
    <s v="Funcional"/>
    <s v="QA-IntegraciónV0.12"/>
    <s v="Revisado"/>
    <s v="UAT"/>
    <m/>
    <m/>
    <m/>
    <m/>
    <s v="Yubisleinys Mora Vega"/>
    <d v="2025-11-10T15:55:00"/>
    <m/>
    <m/>
    <m/>
    <m/>
    <x v="1"/>
    <x v="7"/>
    <m/>
    <x v="1"/>
    <x v="3"/>
    <x v="0"/>
    <s v="No encontrado"/>
    <x v="1"/>
    <x v="16"/>
    <x v="0"/>
    <x v="0"/>
    <s v=""/>
    <n v="0"/>
  </r>
  <r>
    <s v="Error"/>
    <s v="T20-2367"/>
    <n v="109248"/>
    <s v="BOT - Error en tablero Registro de gastos"/>
    <x v="2"/>
    <x v="0"/>
    <m/>
    <m/>
    <m/>
    <m/>
    <m/>
    <m/>
    <m/>
    <m/>
    <m/>
    <m/>
    <m/>
    <s v="Grooming_S25"/>
    <s v="Look&amp;Feel"/>
    <s v="QA-IntegraciónV0.11"/>
    <s v="Registro-de-Gastos"/>
    <m/>
    <m/>
    <m/>
    <m/>
    <m/>
    <s v="Daniela Soto"/>
    <d v="2025-11-07T15:08:00"/>
    <m/>
    <m/>
    <m/>
    <m/>
    <x v="1"/>
    <x v="7"/>
    <m/>
    <x v="3"/>
    <x v="4"/>
    <x v="0"/>
    <s v="No encontrado"/>
    <x v="0"/>
    <x v="27"/>
    <x v="0"/>
    <x v="0"/>
    <s v=""/>
    <n v="0"/>
  </r>
  <r>
    <s v="Error"/>
    <s v="T20-2366"/>
    <n v="109243"/>
    <s v="BOT - El botón &quot;entrega de valores manual&quot; no figura en el diseño de Figma"/>
    <x v="2"/>
    <x v="3"/>
    <s v="T20 Sprint 25 2025"/>
    <s v="T20 Sprint 26 2025"/>
    <m/>
    <m/>
    <m/>
    <m/>
    <m/>
    <m/>
    <m/>
    <m/>
    <m/>
    <s v="Entrega-de-Valores"/>
    <s v="Grooming_S25"/>
    <s v="Look&amp;Feel"/>
    <s v="QA-IntegraciónV0.11"/>
    <s v="T3B20_BOT"/>
    <s v="Tienda2.0"/>
    <s v="UAT_1_WEEK"/>
    <m/>
    <m/>
    <s v="Yubisleinys Mora Vega"/>
    <d v="2025-11-07T15:02:00"/>
    <s v="v0.15"/>
    <m/>
    <m/>
    <m/>
    <x v="1"/>
    <x v="7"/>
    <m/>
    <x v="3"/>
    <x v="4"/>
    <x v="2"/>
    <n v="25"/>
    <x v="0"/>
    <x v="11"/>
    <x v="0"/>
    <x v="0"/>
    <s v=""/>
    <n v="0"/>
  </r>
  <r>
    <s v="Error"/>
    <s v="T20-2365"/>
    <n v="109245"/>
    <s v="BOT - Registro de gastos no muestra Toast de confirmación"/>
    <x v="1"/>
    <x v="4"/>
    <s v="T20 Sprint 22 2025"/>
    <s v="T20 Sprint 23 2025"/>
    <s v="T20 Sprint 24 2025"/>
    <s v="T20 Sprint 25 2025"/>
    <s v="T20 Sprint 26 2025"/>
    <m/>
    <m/>
    <m/>
    <m/>
    <m/>
    <m/>
    <s v="Funcional"/>
    <s v="QA-IntegraciónV0.11"/>
    <s v="Registro-de-Gastos"/>
    <m/>
    <m/>
    <m/>
    <m/>
    <m/>
    <m/>
    <s v="Daniela Soto"/>
    <d v="2025-11-07T15:02:00"/>
    <m/>
    <m/>
    <m/>
    <m/>
    <x v="1"/>
    <x v="7"/>
    <m/>
    <x v="3"/>
    <x v="4"/>
    <x v="0"/>
    <s v="No encontrado"/>
    <x v="1"/>
    <x v="27"/>
    <x v="0"/>
    <x v="0"/>
    <s v=""/>
    <n v="0"/>
  </r>
  <r>
    <s v="Error"/>
    <s v="T20-2364"/>
    <n v="109240"/>
    <s v="BOT - Header Merma no se actualiza correctamente al completar un Registro de Merma"/>
    <x v="2"/>
    <x v="0"/>
    <s v="T20 Sprint 22 2025"/>
    <s v="T20 Sprint 23 2025"/>
    <s v="T20 Sprint 25 2025"/>
    <s v="T20 Sprint 26 2025"/>
    <m/>
    <m/>
    <m/>
    <m/>
    <m/>
    <m/>
    <m/>
    <s v="Funcional"/>
    <s v="QA-IntegraciónV0.11"/>
    <s v="Registrar-Merma"/>
    <s v="UAT"/>
    <m/>
    <m/>
    <m/>
    <m/>
    <m/>
    <s v="Daniela Soto"/>
    <d v="2025-11-07T14:41:00"/>
    <m/>
    <m/>
    <m/>
    <m/>
    <x v="1"/>
    <x v="7"/>
    <m/>
    <x v="3"/>
    <x v="4"/>
    <x v="0"/>
    <s v="No encontrado"/>
    <x v="1"/>
    <x v="4"/>
    <x v="0"/>
    <x v="0"/>
    <s v=""/>
    <n v="0"/>
  </r>
  <r>
    <s v="Error"/>
    <s v="T20-2351"/>
    <n v="108819"/>
    <s v="BOT - Se visualizan líneas en la pantalla al listar productos"/>
    <x v="2"/>
    <x v="0"/>
    <m/>
    <m/>
    <m/>
    <m/>
    <m/>
    <m/>
    <m/>
    <m/>
    <m/>
    <m/>
    <m/>
    <s v="Dashboard-Productos"/>
    <s v="Grooming_S25"/>
    <s v="Look&amp;Feel"/>
    <s v="QA-IntegraciónV0.11"/>
    <m/>
    <m/>
    <m/>
    <m/>
    <m/>
    <s v="Daniela Soto"/>
    <d v="2025-11-06T13:42:00"/>
    <s v="v0.11"/>
    <m/>
    <m/>
    <m/>
    <x v="0"/>
    <x v="7"/>
    <m/>
    <x v="3"/>
    <x v="4"/>
    <x v="6"/>
    <n v="22"/>
    <x v="0"/>
    <x v="16"/>
    <x v="0"/>
    <x v="0"/>
    <s v=""/>
    <n v="0"/>
  </r>
  <r>
    <s v="Error"/>
    <s v="T20-2349"/>
    <n v="108505"/>
    <s v="BOT - Pantalla queda en gris al hacer clic fuera de la ventana emergente de &quot;entrega de valores&quot;"/>
    <x v="1"/>
    <x v="0"/>
    <m/>
    <m/>
    <m/>
    <m/>
    <m/>
    <m/>
    <m/>
    <m/>
    <m/>
    <m/>
    <m/>
    <s v="Entrega-de-Valores"/>
    <s v="Funcional"/>
    <s v="QA-IntegraciónV0.11"/>
    <s v="Revisado"/>
    <s v="UAT_1_WEEK"/>
    <m/>
    <m/>
    <m/>
    <m/>
    <s v="Yubisleinys Mora Vega"/>
    <d v="2025-11-05T16:08:00"/>
    <m/>
    <m/>
    <m/>
    <m/>
    <x v="1"/>
    <x v="7"/>
    <m/>
    <x v="3"/>
    <x v="4"/>
    <x v="0"/>
    <s v="No encontrado"/>
    <x v="1"/>
    <x v="11"/>
    <x v="0"/>
    <x v="0"/>
    <s v=""/>
    <n v="0"/>
  </r>
  <r>
    <s v="Error"/>
    <s v="T20-2348"/>
    <n v="108502"/>
    <s v="POS - Modal Pago con CoDi muestra el doble del valor de la transacción exitosa"/>
    <x v="1"/>
    <x v="4"/>
    <s v="T20 Sprint 22 2025"/>
    <s v="T20 Sprint 23 2025"/>
    <s v="T20 Sprint 25 2025"/>
    <s v="T20 Sprint 26 2025"/>
    <m/>
    <m/>
    <m/>
    <m/>
    <m/>
    <m/>
    <m/>
    <s v="Funcional"/>
    <s v="Pago-CODI"/>
    <s v="QA-IntegraciónV0.11"/>
    <s v="T3B20_POS"/>
    <s v="Tienda2.0"/>
    <m/>
    <m/>
    <m/>
    <m/>
    <s v="Daniela Soto"/>
    <d v="2025-11-05T15:59:00"/>
    <m/>
    <m/>
    <m/>
    <m/>
    <x v="0"/>
    <x v="7"/>
    <m/>
    <x v="3"/>
    <x v="4"/>
    <x v="0"/>
    <s v="No encontrado"/>
    <x v="1"/>
    <x v="12"/>
    <x v="0"/>
    <x v="0"/>
    <s v=""/>
    <n v="0"/>
  </r>
  <r>
    <s v="Error"/>
    <s v="T20-2346"/>
    <n v="108496"/>
    <s v="BOT - Comportamiento inesperado al registrar mermas para productos con la misma clave"/>
    <x v="3"/>
    <x v="4"/>
    <s v="T20 Sprint 25 2025"/>
    <s v="T20 Sprint 26 2025"/>
    <m/>
    <m/>
    <m/>
    <m/>
    <m/>
    <m/>
    <m/>
    <m/>
    <m/>
    <s v="Funcional"/>
    <s v="Grooming_S25"/>
    <s v="QA-IntegraciónV0.11"/>
    <s v="Registrar-Merma"/>
    <s v="T3B20_BOT"/>
    <s v="Tienda2.0"/>
    <s v="UAT_1_WEEK"/>
    <m/>
    <m/>
    <s v="Yubisleinys Mora Vega"/>
    <d v="2025-11-05T15:54:00"/>
    <m/>
    <m/>
    <m/>
    <m/>
    <x v="1"/>
    <x v="2"/>
    <m/>
    <x v="3"/>
    <x v="4"/>
    <x v="0"/>
    <s v="No encontrado"/>
    <x v="1"/>
    <x v="4"/>
    <x v="0"/>
    <x v="0"/>
    <s v=""/>
    <n v="0"/>
  </r>
  <r>
    <s v="Error"/>
    <s v="T20-2344"/>
    <n v="108490"/>
    <s v="POS - No se abre gaveta a realizar una Devolución"/>
    <x v="1"/>
    <x v="0"/>
    <s v="T20 Sprint 22 2025"/>
    <s v="T20 Sprint 23 2025"/>
    <s v="T20 Sprint 25 2025"/>
    <s v="T20 Sprint 26 2025"/>
    <m/>
    <m/>
    <m/>
    <m/>
    <m/>
    <m/>
    <m/>
    <s v="Devoluciones"/>
    <s v="Funcional"/>
    <s v="QA-IntegraciónV0.11"/>
    <s v="REVISAR_QA"/>
    <m/>
    <m/>
    <m/>
    <m/>
    <m/>
    <s v="Daniela Soto"/>
    <d v="2025-11-05T15:03:00"/>
    <m/>
    <m/>
    <m/>
    <m/>
    <x v="0"/>
    <x v="2"/>
    <m/>
    <x v="3"/>
    <x v="4"/>
    <x v="0"/>
    <s v="No encontrado"/>
    <x v="1"/>
    <x v="24"/>
    <x v="0"/>
    <x v="0"/>
    <s v=""/>
    <n v="0"/>
  </r>
  <r>
    <s v="Error"/>
    <s v="T20-2342"/>
    <n v="108481"/>
    <s v="POS - &quot;Reimprimir&quot; imprime 2 tickets en lugar de 1"/>
    <x v="0"/>
    <x v="0"/>
    <s v="T20 Sprint 22 2025"/>
    <s v="T20 Sprint 23 2025"/>
    <s v="T20 Sprint 25 2025"/>
    <s v="T20 Sprint 26 2025"/>
    <m/>
    <m/>
    <m/>
    <m/>
    <m/>
    <m/>
    <m/>
    <s v="Bug_Devuelto_v0.15"/>
    <s v="Funcional"/>
    <s v="QA-IntegraciónV0.11"/>
    <s v="Reimprimir-Ticket"/>
    <s v="T3B20_POS"/>
    <s v="Tienda2.0"/>
    <s v="UAT"/>
    <m/>
    <m/>
    <s v="Daniela Soto"/>
    <d v="2025-11-05T14:25:00"/>
    <s v="v0.15"/>
    <m/>
    <m/>
    <m/>
    <x v="0"/>
    <x v="2"/>
    <m/>
    <x v="3"/>
    <x v="4"/>
    <x v="2"/>
    <n v="25"/>
    <x v="1"/>
    <x v="44"/>
    <x v="0"/>
    <x v="0"/>
    <s v="SI"/>
    <n v="1"/>
  </r>
  <r>
    <s v="Error"/>
    <s v="T20-2341"/>
    <n v="108479"/>
    <s v="POS - F8 genera error y se cierra el POS"/>
    <x v="3"/>
    <x v="3"/>
    <s v="T20 Sprint 22 2025"/>
    <s v="T20 Sprint 23 2025"/>
    <s v="T20 Sprint 25 2025"/>
    <s v="T20 Sprint 26 2025"/>
    <m/>
    <m/>
    <m/>
    <m/>
    <m/>
    <m/>
    <m/>
    <s v="Bug_Devuelto_v0.13"/>
    <s v="Bug_Devuelto_v0.15"/>
    <s v="Bug_Devueltov0.14"/>
    <s v="Controlar-Gaveta"/>
    <s v="Funcional"/>
    <s v="QA-IntegraciónV0.11"/>
    <s v="Shortcuts"/>
    <s v="T3B20_POS"/>
    <s v="Tienda2.0"/>
    <s v="Daniela Soto"/>
    <d v="2025-11-05T14:21:00"/>
    <s v="v0.12"/>
    <s v="v0.14"/>
    <s v="v0.15"/>
    <m/>
    <x v="0"/>
    <x v="0"/>
    <m/>
    <x v="3"/>
    <x v="4"/>
    <x v="2"/>
    <n v="25"/>
    <x v="1"/>
    <x v="0"/>
    <x v="0"/>
    <x v="0"/>
    <s v="SI"/>
    <n v="3"/>
  </r>
  <r>
    <s v="Error"/>
    <s v="T20-2335"/>
    <n v="108329"/>
    <s v="BOT - No se visualiza la ventana para agregar envases en entrega de valores"/>
    <x v="2"/>
    <x v="0"/>
    <m/>
    <m/>
    <m/>
    <m/>
    <m/>
    <m/>
    <m/>
    <m/>
    <m/>
    <m/>
    <m/>
    <s v="Entrega-de-Valores"/>
    <s v="Funcional"/>
    <s v="QA-IntegraciónV0.11"/>
    <s v="UAT_1_WEEK"/>
    <m/>
    <m/>
    <m/>
    <m/>
    <m/>
    <s v="Yubisleinys Mora Vega"/>
    <d v="2025-11-05T08:54:00"/>
    <m/>
    <m/>
    <m/>
    <m/>
    <x v="1"/>
    <x v="2"/>
    <m/>
    <x v="3"/>
    <x v="4"/>
    <x v="0"/>
    <s v="No encontrado"/>
    <x v="1"/>
    <x v="11"/>
    <x v="0"/>
    <x v="0"/>
    <s v=""/>
    <n v="0"/>
  </r>
  <r>
    <s v="Error"/>
    <s v="T20-2334"/>
    <n v="108319"/>
    <s v="BOT - Errores de interfaz en la funcionalidad de entrega de valores"/>
    <x v="2"/>
    <x v="4"/>
    <m/>
    <m/>
    <m/>
    <m/>
    <m/>
    <m/>
    <m/>
    <m/>
    <m/>
    <m/>
    <m/>
    <s v="Entrega-de-Valores"/>
    <s v="Grooming_S25"/>
    <s v="Look&amp;Feel"/>
    <s v="QA-IntegraciónV0.11"/>
    <s v="T3B20_BOT"/>
    <s v="Tienda2.0"/>
    <s v="UAT_1_WEEK"/>
    <m/>
    <m/>
    <s v="Yubisleinys Mora Vega"/>
    <d v="2025-11-05T08:20:00"/>
    <m/>
    <m/>
    <m/>
    <m/>
    <x v="1"/>
    <x v="0"/>
    <m/>
    <x v="3"/>
    <x v="4"/>
    <x v="0"/>
    <s v="No encontrado"/>
    <x v="0"/>
    <x v="11"/>
    <x v="0"/>
    <x v="0"/>
    <s v=""/>
    <n v="0"/>
  </r>
  <r>
    <s v="Error"/>
    <s v="T20-2297"/>
    <n v="108106"/>
    <s v="BOT - La ventana se bloquea al finalizar la operación en el módulo Entrega de valores"/>
    <x v="3"/>
    <x v="3"/>
    <s v="T20 Sprint 24 2025"/>
    <s v="T20 Sprint 25 2025"/>
    <s v="T20 Sprint 26 2025"/>
    <m/>
    <m/>
    <m/>
    <m/>
    <m/>
    <m/>
    <m/>
    <m/>
    <s v="Entrega-de-Valores"/>
    <s v="Funcional"/>
    <s v="QA-IntegraciónV0.11"/>
    <s v="T3B20_BOT"/>
    <s v="Tienda2.0"/>
    <s v="UAT_1_WEEK"/>
    <m/>
    <m/>
    <m/>
    <s v="Yubisleinys Mora Vega"/>
    <d v="2025-11-04T17:19:00"/>
    <s v="v0.14"/>
    <m/>
    <m/>
    <m/>
    <x v="1"/>
    <x v="8"/>
    <m/>
    <x v="3"/>
    <x v="4"/>
    <x v="3"/>
    <n v="24"/>
    <x v="1"/>
    <x v="11"/>
    <x v="0"/>
    <x v="0"/>
    <s v=""/>
    <n v="0"/>
  </r>
  <r>
    <s v="Error"/>
    <s v="T20-2296"/>
    <n v="108099"/>
    <s v="BOT - Input del número de comprobante permite cantidad incorrecta de números"/>
    <x v="1"/>
    <x v="0"/>
    <m/>
    <m/>
    <m/>
    <m/>
    <m/>
    <m/>
    <m/>
    <m/>
    <m/>
    <m/>
    <m/>
    <s v="Entrega-de-Valores"/>
    <s v="Funcional"/>
    <s v="QA-IntegraciónV0.11"/>
    <s v="UAT_1_WEEK"/>
    <m/>
    <m/>
    <m/>
    <m/>
    <m/>
    <s v="Yubisleinys Mora Vega"/>
    <d v="2025-11-04T17:09:00"/>
    <m/>
    <m/>
    <m/>
    <m/>
    <x v="1"/>
    <x v="2"/>
    <m/>
    <x v="3"/>
    <x v="4"/>
    <x v="0"/>
    <s v="No encontrado"/>
    <x v="1"/>
    <x v="11"/>
    <x v="0"/>
    <x v="0"/>
    <s v=""/>
    <n v="0"/>
  </r>
  <r>
    <s v="Error"/>
    <s v="T20-2295"/>
    <n v="108095"/>
    <s v="BOT - Botón Cancelar en las ventanas de Entrega de Valores no funciona"/>
    <x v="1"/>
    <x v="0"/>
    <m/>
    <m/>
    <m/>
    <m/>
    <m/>
    <m/>
    <m/>
    <m/>
    <m/>
    <m/>
    <m/>
    <s v="Entrega-de-Valores"/>
    <s v="Funcional"/>
    <s v="QA-IntegraciónV0.11"/>
    <s v="UAT_1_WEEK"/>
    <m/>
    <m/>
    <m/>
    <m/>
    <m/>
    <s v="Yubisleinys Mora Vega"/>
    <d v="2025-11-04T16:55:00"/>
    <m/>
    <m/>
    <m/>
    <m/>
    <x v="1"/>
    <x v="5"/>
    <m/>
    <x v="3"/>
    <x v="4"/>
    <x v="0"/>
    <s v="No encontrado"/>
    <x v="1"/>
    <x v="11"/>
    <x v="0"/>
    <x v="0"/>
    <s v=""/>
    <n v="0"/>
  </r>
  <r>
    <s v="Error"/>
    <s v="T20-2294"/>
    <n v="108036"/>
    <s v="POS - El Ticket impreso no muestra las Transacciones Santander"/>
    <x v="1"/>
    <x v="3"/>
    <s v="T20 Sprint 25 2025"/>
    <s v="T20 Sprint 26 2025"/>
    <m/>
    <m/>
    <m/>
    <m/>
    <m/>
    <m/>
    <m/>
    <m/>
    <m/>
    <s v="Consulta-Transacción-SANTANDER"/>
    <s v="Funcional"/>
    <s v="Grooming_S25"/>
    <s v="QA-IntegraciónV0.11"/>
    <s v="T3B20_POS"/>
    <s v="Tienda2.0"/>
    <m/>
    <m/>
    <m/>
    <s v="Daniela Soto"/>
    <d v="2025-11-04T16:02:00"/>
    <s v="v0.15"/>
    <m/>
    <m/>
    <m/>
    <x v="0"/>
    <x v="4"/>
    <m/>
    <x v="3"/>
    <x v="4"/>
    <x v="2"/>
    <n v="25"/>
    <x v="1"/>
    <x v="39"/>
    <x v="0"/>
    <x v="0"/>
    <s v=""/>
    <n v="0"/>
  </r>
  <r>
    <s v="Error"/>
    <s v="T20-2293"/>
    <n v="108034"/>
    <s v="POS - No se visualiza correctamente la consulta de última transacción Santander fallida"/>
    <x v="1"/>
    <x v="4"/>
    <s v="T20 Sprint 22 2025"/>
    <s v="T20 Sprint 25 2025"/>
    <s v="T20 Sprint 26 2025"/>
    <m/>
    <m/>
    <m/>
    <m/>
    <m/>
    <m/>
    <m/>
    <m/>
    <s v="Bug_Devueltov0.14"/>
    <s v="Consulta-Última-Transacción-Santander"/>
    <s v="Funcional"/>
    <s v="Grooming_S25"/>
    <s v="QA-IntegraciónV0.11"/>
    <s v="T3B20_POS"/>
    <s v="Tienda2.0"/>
    <m/>
    <m/>
    <s v="Daniela Soto"/>
    <d v="2025-11-04T16:00:00"/>
    <m/>
    <m/>
    <m/>
    <m/>
    <x v="0"/>
    <x v="9"/>
    <m/>
    <x v="3"/>
    <x v="4"/>
    <x v="0"/>
    <s v="No encontrado"/>
    <x v="1"/>
    <x v="25"/>
    <x v="0"/>
    <x v="0"/>
    <s v="SI"/>
    <n v="1"/>
  </r>
  <r>
    <s v="Error"/>
    <s v="T20-2290"/>
    <n v="108009"/>
    <s v="BOT - Tamaño incorrecto de botones en el modal de cerrar sesión en el BOT"/>
    <x v="2"/>
    <x v="0"/>
    <m/>
    <m/>
    <m/>
    <m/>
    <m/>
    <m/>
    <m/>
    <m/>
    <m/>
    <m/>
    <m/>
    <s v="Grooming_S25"/>
    <s v="Logout"/>
    <s v="Look&amp;Feel"/>
    <s v="QA-IntegraciónV0.11"/>
    <s v="UAT_1_WEEK"/>
    <m/>
    <m/>
    <m/>
    <m/>
    <s v="Yubisleinys Mora Vega"/>
    <d v="2025-11-04T15:21:00"/>
    <m/>
    <m/>
    <m/>
    <m/>
    <x v="1"/>
    <x v="0"/>
    <m/>
    <x v="3"/>
    <x v="4"/>
    <x v="0"/>
    <s v="No encontrado"/>
    <x v="0"/>
    <x v="45"/>
    <x v="0"/>
    <x v="0"/>
    <s v=""/>
    <n v="0"/>
  </r>
  <r>
    <s v="Error"/>
    <s v="T20-2286"/>
    <n v="107995"/>
    <s v="POS - Problemas de interfaz en el módulo de cancelación y devolución de artículos: botón agrandado y texto vertical"/>
    <x v="1"/>
    <x v="3"/>
    <s v="T20 Sprint 24 2025"/>
    <s v="T20 Sprint 25 2025"/>
    <s v="T20 Sprint 26 2025"/>
    <m/>
    <m/>
    <m/>
    <m/>
    <m/>
    <m/>
    <m/>
    <m/>
    <s v="Eliminar-Artículo-De-Venta"/>
    <s v="Grooming"/>
    <s v="Look&amp;Feel"/>
    <s v="QA-IntegraciónV0.11"/>
    <s v="T3B20_POS"/>
    <s v="Tienda2.0"/>
    <s v="UAT_1_WEEK"/>
    <m/>
    <m/>
    <s v="Yubisleinys Mora Vega"/>
    <d v="2025-11-04T14:28:00"/>
    <s v="v0.14"/>
    <m/>
    <m/>
    <m/>
    <x v="0"/>
    <x v="2"/>
    <m/>
    <x v="3"/>
    <x v="4"/>
    <x v="3"/>
    <n v="24"/>
    <x v="0"/>
    <x v="13"/>
    <x v="0"/>
    <x v="0"/>
    <s v=""/>
    <n v="0"/>
  </r>
  <r>
    <s v="Error"/>
    <s v="T20-2275"/>
    <n v="107608"/>
    <s v="BOT - Generación de folio en el BOT sin confirmar fondeo adicional"/>
    <x v="2"/>
    <x v="0"/>
    <m/>
    <m/>
    <m/>
    <m/>
    <m/>
    <m/>
    <m/>
    <m/>
    <m/>
    <m/>
    <m/>
    <s v="Fondeo-Adicional"/>
    <s v="Funcional"/>
    <s v="QA-IntegraciónV0.11"/>
    <s v="UAT_1_WEEK"/>
    <m/>
    <m/>
    <m/>
    <m/>
    <m/>
    <s v="Yubisleinys Mora Vega"/>
    <d v="2025-11-03T15:55:00"/>
    <m/>
    <m/>
    <m/>
    <m/>
    <x v="1"/>
    <x v="8"/>
    <m/>
    <x v="3"/>
    <x v="4"/>
    <x v="0"/>
    <s v="No encontrado"/>
    <x v="1"/>
    <x v="41"/>
    <x v="0"/>
    <x v="0"/>
    <s v=""/>
    <n v="0"/>
  </r>
  <r>
    <s v="Error"/>
    <s v="T20-2274"/>
    <n v="107584"/>
    <s v="POS - Errores en modal Fondeo adicional"/>
    <x v="2"/>
    <x v="0"/>
    <m/>
    <m/>
    <m/>
    <m/>
    <m/>
    <m/>
    <m/>
    <m/>
    <m/>
    <m/>
    <m/>
    <s v="Bug_Devuelto_v0.15"/>
    <s v="Fondeo-Adicional"/>
    <s v="Grooming_S25"/>
    <s v="Look&amp;Feel"/>
    <s v="QA-IntegraciónV0.11"/>
    <s v="T3B20_POS"/>
    <s v="Tienda2.0"/>
    <s v="UAT_1_WEEK"/>
    <m/>
    <s v="Yubisleinys Mora Vega"/>
    <d v="2025-11-03T14:22:00"/>
    <s v="v0.16"/>
    <m/>
    <m/>
    <m/>
    <x v="0"/>
    <x v="8"/>
    <m/>
    <x v="3"/>
    <x v="4"/>
    <x v="1"/>
    <n v="0"/>
    <x v="0"/>
    <x v="41"/>
    <x v="0"/>
    <x v="0"/>
    <s v="SI"/>
    <n v="1"/>
  </r>
  <r>
    <s v="Error"/>
    <s v="T20-2271"/>
    <n v="107022"/>
    <s v="POS - Proceso de devolución muestra modal de fondeo adicional al cancelar"/>
    <x v="1"/>
    <x v="4"/>
    <m/>
    <m/>
    <m/>
    <m/>
    <m/>
    <m/>
    <m/>
    <m/>
    <m/>
    <m/>
    <m/>
    <s v="Devoluciones"/>
    <s v="Funcional"/>
    <s v="QA-IntegraciónV0.11"/>
    <s v="UAT_1_WEEK"/>
    <m/>
    <m/>
    <m/>
    <m/>
    <m/>
    <s v="Yubisleinys Mora Vega"/>
    <d v="2025-11-02T20:17:00"/>
    <m/>
    <m/>
    <m/>
    <m/>
    <x v="0"/>
    <x v="8"/>
    <m/>
    <x v="3"/>
    <x v="4"/>
    <x v="0"/>
    <s v="No encontrado"/>
    <x v="1"/>
    <x v="24"/>
    <x v="0"/>
    <x v="0"/>
    <s v=""/>
    <n v="0"/>
  </r>
  <r>
    <s v="Error"/>
    <s v="T20-2270"/>
    <n v="107011"/>
    <s v="BOT - Permite registrar gasto sin efectivo en caja fuerte, mostrando valor negativo"/>
    <x v="1"/>
    <x v="0"/>
    <m/>
    <m/>
    <m/>
    <m/>
    <m/>
    <m/>
    <m/>
    <m/>
    <m/>
    <m/>
    <m/>
    <s v="Funcional"/>
    <s v="QA-IntegraciónV0.11"/>
    <s v="Registro-de-Gastos"/>
    <s v="UAT_1_WEEK"/>
    <m/>
    <m/>
    <m/>
    <m/>
    <m/>
    <s v="Yubisleinys Mora Vega"/>
    <d v="2025-11-02T17:44:00"/>
    <m/>
    <m/>
    <m/>
    <m/>
    <x v="1"/>
    <x v="8"/>
    <m/>
    <x v="3"/>
    <x v="4"/>
    <x v="0"/>
    <s v="No encontrado"/>
    <x v="1"/>
    <x v="27"/>
    <x v="0"/>
    <x v="0"/>
    <s v=""/>
    <n v="0"/>
  </r>
  <r>
    <s v="Error"/>
    <s v="T20-2269"/>
    <n v="107010"/>
    <s v="BOT - No se actualiza el tablero principal del BOT tras una venta en POS"/>
    <x v="1"/>
    <x v="4"/>
    <m/>
    <m/>
    <m/>
    <m/>
    <m/>
    <m/>
    <m/>
    <m/>
    <m/>
    <m/>
    <m/>
    <s v="Funcional"/>
    <s v="Main-Dashboard"/>
    <s v="QA-IntegraciónV0.11"/>
    <m/>
    <m/>
    <m/>
    <m/>
    <m/>
    <m/>
    <s v="Yubisleinys Mora Vega"/>
    <d v="2025-11-02T17:37:00"/>
    <m/>
    <m/>
    <m/>
    <m/>
    <x v="1"/>
    <x v="0"/>
    <m/>
    <x v="3"/>
    <x v="4"/>
    <x v="0"/>
    <s v="No encontrado"/>
    <x v="1"/>
    <x v="17"/>
    <x v="0"/>
    <x v="0"/>
    <s v=""/>
    <n v="0"/>
  </r>
  <r>
    <s v="Error"/>
    <s v="T20-2268"/>
    <n v="107006"/>
    <s v="BOT - No se visualizan mensajes entrantes en el BOT de operaciones realizadas en POS"/>
    <x v="1"/>
    <x v="4"/>
    <m/>
    <m/>
    <m/>
    <m/>
    <m/>
    <m/>
    <m/>
    <m/>
    <m/>
    <m/>
    <m/>
    <s v="Funcional"/>
    <s v="Main-Dashboard"/>
    <s v="QA-IntegraciónV0.11"/>
    <s v="UAT_1_WEEK"/>
    <m/>
    <m/>
    <m/>
    <m/>
    <m/>
    <s v="Yubisleinys Mora Vega"/>
    <d v="2025-11-02T17:18:00"/>
    <m/>
    <m/>
    <m/>
    <m/>
    <x v="1"/>
    <x v="8"/>
    <m/>
    <x v="3"/>
    <x v="4"/>
    <x v="0"/>
    <s v="No encontrado"/>
    <x v="1"/>
    <x v="17"/>
    <x v="0"/>
    <x v="0"/>
    <s v=""/>
    <n v="0"/>
  </r>
  <r>
    <s v="Error"/>
    <s v="T20-2267"/>
    <n v="107003"/>
    <s v="BOT - Acceso a módulos sin haber iniciado el día "/>
    <x v="1"/>
    <x v="4"/>
    <m/>
    <m/>
    <m/>
    <m/>
    <m/>
    <m/>
    <m/>
    <m/>
    <m/>
    <m/>
    <m/>
    <s v="Funcional"/>
    <s v="Main-Dashboard"/>
    <s v="QA-IntegraciónV0.11"/>
    <s v="UAT_1_WEEK"/>
    <m/>
    <m/>
    <m/>
    <m/>
    <m/>
    <s v="Yubisleinys Mora Vega"/>
    <d v="2025-11-02T14:49:00"/>
    <m/>
    <m/>
    <m/>
    <m/>
    <x v="1"/>
    <x v="0"/>
    <m/>
    <x v="3"/>
    <x v="4"/>
    <x v="0"/>
    <s v="No encontrado"/>
    <x v="1"/>
    <x v="17"/>
    <x v="0"/>
    <x v="0"/>
    <s v=""/>
    <n v="0"/>
  </r>
  <r>
    <s v="Error"/>
    <s v="T20-2266"/>
    <n v="107001"/>
    <s v="BOT - Opción &quot;Inicio de día&quot; en el menú BBB no funciona"/>
    <x v="1"/>
    <x v="3"/>
    <s v="T20 Sprint 24 2025"/>
    <s v="T20 Sprint 25 2025"/>
    <s v="T20 Sprint 26 2025"/>
    <m/>
    <m/>
    <m/>
    <m/>
    <m/>
    <m/>
    <m/>
    <m/>
    <s v="Funcional"/>
    <s v="Inicio-De-Día"/>
    <s v="QA-IntegraciónV0.11"/>
    <s v="T3B20_BOT"/>
    <s v="Tienda2.0"/>
    <s v="UAT_1_WEEK"/>
    <m/>
    <m/>
    <m/>
    <s v="Yubisleinys Mora Vega"/>
    <d v="2025-11-02T14:32:00"/>
    <s v="v0.14"/>
    <m/>
    <m/>
    <m/>
    <x v="1"/>
    <x v="10"/>
    <m/>
    <x v="3"/>
    <x v="4"/>
    <x v="3"/>
    <n v="24"/>
    <x v="1"/>
    <x v="32"/>
    <x v="0"/>
    <x v="0"/>
    <s v=""/>
    <n v="0"/>
  </r>
  <r>
    <s v="Error"/>
    <s v="T20-2265"/>
    <n v="106999"/>
    <s v="BOT - Opción de &quot;Cerrar Día&quot; no visible en el menú desplegable BBB"/>
    <x v="1"/>
    <x v="3"/>
    <m/>
    <m/>
    <m/>
    <m/>
    <m/>
    <m/>
    <m/>
    <m/>
    <m/>
    <m/>
    <m/>
    <s v="Cierre-De-Día"/>
    <s v="Funcional"/>
    <s v="QA-IntegraciónV0.11"/>
    <s v="UAT_1_WEEK"/>
    <m/>
    <m/>
    <m/>
    <m/>
    <m/>
    <s v="Yubisleinys Mora Vega"/>
    <d v="2025-11-02T14:16:00"/>
    <s v="v0.12"/>
    <m/>
    <m/>
    <m/>
    <x v="1"/>
    <x v="10"/>
    <m/>
    <x v="3"/>
    <x v="4"/>
    <x v="4"/>
    <n v="23"/>
    <x v="1"/>
    <x v="46"/>
    <x v="0"/>
    <x v="0"/>
    <s v=""/>
    <n v="0"/>
  </r>
  <r>
    <s v="Error"/>
    <s v="T20-2264"/>
    <n v="106843"/>
    <s v="POS_Evento POS - Inconsistencia en la información"/>
    <x v="1"/>
    <x v="0"/>
    <s v="T20 Sprint 25 2025"/>
    <s v="T20 Sprint 26 2025"/>
    <m/>
    <m/>
    <m/>
    <m/>
    <m/>
    <m/>
    <m/>
    <m/>
    <m/>
    <s v="Cierre-De-Turno"/>
    <s v="Eventos_iOT"/>
    <s v="QA-IntegraciónV0.11"/>
    <s v="Revisado"/>
    <s v="UAT_1_WEEK"/>
    <m/>
    <m/>
    <m/>
    <m/>
    <s v="Yubisleinys Mora Vega"/>
    <d v="2025-10-31T18:10:00"/>
    <s v="v0.16"/>
    <m/>
    <m/>
    <m/>
    <x v="1"/>
    <x v="0"/>
    <m/>
    <x v="3"/>
    <x v="4"/>
    <x v="1"/>
    <n v="0"/>
    <x v="3"/>
    <x v="2"/>
    <x v="0"/>
    <x v="0"/>
    <s v=""/>
    <n v="0"/>
  </r>
  <r>
    <s v="Error"/>
    <s v="T20-2263"/>
    <n v="106836"/>
    <s v="POS_Evento POS - Login - Inconsistencia en la información"/>
    <x v="1"/>
    <x v="0"/>
    <s v="T20 Sprint 25 2025"/>
    <s v="T20 Sprint 26 2025"/>
    <m/>
    <m/>
    <m/>
    <m/>
    <m/>
    <m/>
    <m/>
    <m/>
    <m/>
    <s v="Eventos_iOT"/>
    <s v="Login"/>
    <s v="QA-IntegraciónV0.11"/>
    <s v="Revisado"/>
    <s v="T3B20_POS"/>
    <s v="Tienda2.0"/>
    <s v="UAT_1_WEEK"/>
    <m/>
    <m/>
    <s v="Yubisleinys Mora Vega"/>
    <d v="2025-10-31T18:01:00"/>
    <s v="v0.16"/>
    <m/>
    <m/>
    <m/>
    <x v="0"/>
    <x v="0"/>
    <m/>
    <x v="3"/>
    <x v="4"/>
    <x v="1"/>
    <n v="0"/>
    <x v="3"/>
    <x v="36"/>
    <x v="0"/>
    <x v="0"/>
    <s v=""/>
    <n v="0"/>
  </r>
  <r>
    <s v="Error"/>
    <s v="T20-2262"/>
    <n v="106826"/>
    <s v="BOT - Eventos BOT -Cierre de dia inconsistencia en Atributo &quot;cash&quot; "/>
    <x v="1"/>
    <x v="0"/>
    <m/>
    <m/>
    <m/>
    <m/>
    <m/>
    <m/>
    <m/>
    <m/>
    <m/>
    <m/>
    <m/>
    <s v="Cierre-De-Día"/>
    <s v="Eventos_iOT"/>
    <s v="QA-IntegraciónV0.11"/>
    <s v="Revisado"/>
    <s v="UAT_1_WEEK"/>
    <m/>
    <m/>
    <m/>
    <m/>
    <s v="Yubisleinys Mora Vega"/>
    <d v="2025-10-31T17:41:00"/>
    <m/>
    <m/>
    <m/>
    <m/>
    <x v="1"/>
    <x v="0"/>
    <m/>
    <x v="3"/>
    <x v="4"/>
    <x v="0"/>
    <s v="No encontrado"/>
    <x v="3"/>
    <x v="46"/>
    <x v="0"/>
    <x v="0"/>
    <s v=""/>
    <n v="0"/>
  </r>
  <r>
    <s v="Error"/>
    <s v="T20-2257"/>
    <n v="106574"/>
    <s v="BOT - El sistema permite acceder a módulos sin haber iniciado un día."/>
    <x v="1"/>
    <x v="0"/>
    <m/>
    <m/>
    <m/>
    <m/>
    <m/>
    <m/>
    <m/>
    <m/>
    <m/>
    <m/>
    <m/>
    <s v="Funcional"/>
    <s v="Inicio-De-Día"/>
    <s v="QA-IntegraciónV0.10.1"/>
    <s v="UAT_1_WEEK"/>
    <m/>
    <m/>
    <m/>
    <m/>
    <m/>
    <s v="Yubisleinys Mora Vega"/>
    <d v="2025-10-30T17:00:00"/>
    <m/>
    <m/>
    <m/>
    <m/>
    <x v="1"/>
    <x v="5"/>
    <m/>
    <x v="3"/>
    <x v="5"/>
    <x v="0"/>
    <s v="No encontrado"/>
    <x v="1"/>
    <x v="32"/>
    <x v="0"/>
    <x v="0"/>
    <s v=""/>
    <n v="0"/>
  </r>
  <r>
    <s v="Error"/>
    <s v="T20-2248"/>
    <n v="106443"/>
    <s v="POS - Ticket con artículos cancelados, se muestran en el ticket impreso"/>
    <x v="1"/>
    <x v="0"/>
    <s v="T20 Sprint 22 2025"/>
    <s v="T20 Sprint 23 2025"/>
    <s v="T20 Sprint 25 2025"/>
    <s v="T20 Sprint 26 2025"/>
    <m/>
    <m/>
    <m/>
    <m/>
    <m/>
    <m/>
    <m/>
    <s v="Funcional"/>
    <s v="Imprimir-Ticket"/>
    <s v="QA-IntegraciónV0.10.1"/>
    <s v="UAT_1_WEEK"/>
    <m/>
    <m/>
    <m/>
    <m/>
    <m/>
    <s v="Daniela Soto"/>
    <d v="2025-10-30T11:50:00"/>
    <m/>
    <m/>
    <m/>
    <m/>
    <x v="1"/>
    <x v="5"/>
    <m/>
    <x v="3"/>
    <x v="5"/>
    <x v="0"/>
    <s v="No encontrado"/>
    <x v="1"/>
    <x v="42"/>
    <x v="0"/>
    <x v="0"/>
    <s v=""/>
    <n v="0"/>
  </r>
  <r>
    <s v="Error"/>
    <s v="T20-2247"/>
    <n v="106430"/>
    <s v="BOT - Aceptar &quot;Alivio&quot; del POS, emite folio [0]"/>
    <x v="1"/>
    <x v="0"/>
    <s v="T20 Sprint 22 2025"/>
    <s v="T20 Sprint 23 2025"/>
    <s v="T20 Sprint 25 2025"/>
    <s v="T20 Sprint 26 2025"/>
    <m/>
    <m/>
    <m/>
    <m/>
    <m/>
    <m/>
    <m/>
    <s v="Alivios"/>
    <s v="Bug_Devuelto_v0.13"/>
    <s v="Look&amp;Feel"/>
    <s v="QA-IntegraciónV0.10.1"/>
    <s v="UAT_2_WEEK"/>
    <m/>
    <m/>
    <m/>
    <m/>
    <s v="Daniela Soto"/>
    <d v="2025-10-30T11:36:00"/>
    <m/>
    <m/>
    <m/>
    <m/>
    <x v="1"/>
    <x v="5"/>
    <m/>
    <x v="3"/>
    <x v="5"/>
    <x v="0"/>
    <s v="No encontrado"/>
    <x v="0"/>
    <x v="5"/>
    <x v="0"/>
    <x v="0"/>
    <s v="SI"/>
    <n v="1"/>
  </r>
  <r>
    <s v="Error"/>
    <s v="T20-2243"/>
    <n v="106248"/>
    <s v="POS - Las flechas del teclado no funcionan para seleccionar un producto buscado"/>
    <x v="2"/>
    <x v="1"/>
    <s v="T20 Sprint 21 2025"/>
    <s v="T20 Sprint 22 2025"/>
    <s v="T20 Sprint 23 2025"/>
    <s v="T20 Sprint 26 2025"/>
    <m/>
    <m/>
    <m/>
    <m/>
    <m/>
    <m/>
    <m/>
    <s v="Buscar-Artículo"/>
    <s v="Funcional"/>
    <s v="QA-IntegraciónV0.10.1"/>
    <s v="T3B20_POS"/>
    <s v="Tienda2.0"/>
    <s v="UAT_1_WEEK"/>
    <m/>
    <m/>
    <m/>
    <s v="Daniela Soto"/>
    <d v="2025-10-29T16:04:00"/>
    <s v="v0.16"/>
    <m/>
    <m/>
    <m/>
    <x v="0"/>
    <x v="5"/>
    <m/>
    <x v="3"/>
    <x v="5"/>
    <x v="1"/>
    <n v="0"/>
    <x v="1"/>
    <x v="47"/>
    <x v="0"/>
    <x v="0"/>
    <s v=""/>
    <n v="0"/>
  </r>
  <r>
    <s v="Error"/>
    <s v="T20-2240"/>
    <n v="106239"/>
    <s v="BOT - No se actualiza estado del POS en tablero principal"/>
    <x v="1"/>
    <x v="0"/>
    <m/>
    <m/>
    <m/>
    <m/>
    <m/>
    <m/>
    <m/>
    <m/>
    <m/>
    <m/>
    <m/>
    <s v="Funcional"/>
    <s v="Main-Dashboard"/>
    <s v="QA-IntegraciónV0.10.1"/>
    <s v="UAT_1_WEEK"/>
    <m/>
    <m/>
    <m/>
    <m/>
    <m/>
    <s v="Yubisleinys Mora Vega"/>
    <d v="2025-10-29T15:50:00"/>
    <m/>
    <m/>
    <m/>
    <m/>
    <x v="1"/>
    <x v="5"/>
    <m/>
    <x v="3"/>
    <x v="5"/>
    <x v="0"/>
    <s v="No encontrado"/>
    <x v="1"/>
    <x v="17"/>
    <x v="0"/>
    <x v="0"/>
    <s v=""/>
    <n v="0"/>
  </r>
  <r>
    <s v="Error"/>
    <s v="T20-2239"/>
    <n v="106228"/>
    <s v="BOT - Problema en Cierre de turno del POS - Información incorrecta para diferencia sobrante"/>
    <x v="1"/>
    <x v="0"/>
    <m/>
    <m/>
    <m/>
    <m/>
    <m/>
    <m/>
    <m/>
    <m/>
    <m/>
    <m/>
    <m/>
    <s v="Cierre-De-Turno"/>
    <s v="Funcional"/>
    <s v="QA-IntegraciónV0.10.1"/>
    <s v="UAT_1_WEEK"/>
    <m/>
    <m/>
    <m/>
    <m/>
    <m/>
    <s v="Yubisleinys Mora Vega"/>
    <d v="2025-10-29T15:07:00"/>
    <m/>
    <m/>
    <m/>
    <m/>
    <x v="1"/>
    <x v="5"/>
    <m/>
    <x v="3"/>
    <x v="5"/>
    <x v="0"/>
    <s v="No encontrado"/>
    <x v="1"/>
    <x v="2"/>
    <x v="0"/>
    <x v="0"/>
    <s v=""/>
    <n v="0"/>
  </r>
  <r>
    <s v="Error"/>
    <s v="T20-2238"/>
    <n v="106225"/>
    <s v="POS - No se imprimen Tickets de Alivios ni abre gaveta"/>
    <x v="3"/>
    <x v="4"/>
    <s v="T20 Sprint 24 2025"/>
    <m/>
    <m/>
    <m/>
    <m/>
    <m/>
    <m/>
    <m/>
    <m/>
    <m/>
    <m/>
    <s v="Alivios"/>
    <s v="Funcional"/>
    <s v="QA-IntegraciónV0.10.1"/>
    <s v="T3B20_POS"/>
    <s v="Tienda2.0"/>
    <s v="UAT_1_WEEK"/>
    <m/>
    <m/>
    <m/>
    <s v="Daniela Soto"/>
    <d v="2025-10-29T14:50:00"/>
    <m/>
    <m/>
    <m/>
    <m/>
    <x v="0"/>
    <x v="5"/>
    <m/>
    <x v="3"/>
    <x v="5"/>
    <x v="0"/>
    <s v="No encontrado"/>
    <x v="1"/>
    <x v="5"/>
    <x v="0"/>
    <x v="0"/>
    <s v=""/>
    <n v="0"/>
  </r>
  <r>
    <s v="Error"/>
    <s v="T20-2237"/>
    <n v="106224"/>
    <s v="POS - Abrir Turno no está imprimiendo tickets ni abre gaveta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Inicio-De-Turno"/>
    <s v="QA-IntegraciónV0.10.1"/>
    <s v="T3B20_POS"/>
    <s v="Tienda2.0"/>
    <s v="UAT"/>
    <s v="UAT_1_WEEK"/>
    <m/>
    <m/>
    <s v="Daniela Soto"/>
    <d v="2025-10-29T14:46:00"/>
    <s v="v0.14"/>
    <m/>
    <m/>
    <m/>
    <x v="0"/>
    <x v="5"/>
    <m/>
    <x v="3"/>
    <x v="5"/>
    <x v="3"/>
    <n v="24"/>
    <x v="1"/>
    <x v="31"/>
    <x v="0"/>
    <x v="0"/>
    <s v=""/>
    <n v="0"/>
  </r>
  <r>
    <s v="Error"/>
    <s v="T20-2236"/>
    <n v="106215"/>
    <s v="BOT - Problema en el modal de cierre de turno - Se muestran valores que no corresponden"/>
    <x v="1"/>
    <x v="0"/>
    <m/>
    <m/>
    <m/>
    <m/>
    <m/>
    <m/>
    <m/>
    <m/>
    <m/>
    <m/>
    <m/>
    <s v="Cierre-De-Turno"/>
    <s v="Funcional"/>
    <s v="QA-IntegraciónV0.10.1"/>
    <s v="UAT_2_WEEK"/>
    <m/>
    <m/>
    <m/>
    <m/>
    <m/>
    <s v="Yubisleinys Mora Vega"/>
    <d v="2025-10-29T14:12:00"/>
    <m/>
    <m/>
    <m/>
    <m/>
    <x v="1"/>
    <x v="6"/>
    <m/>
    <x v="3"/>
    <x v="5"/>
    <x v="0"/>
    <s v="No encontrado"/>
    <x v="1"/>
    <x v="2"/>
    <x v="0"/>
    <x v="0"/>
    <s v=""/>
    <n v="0"/>
  </r>
  <r>
    <s v="Error"/>
    <s v="T20-2235"/>
    <n v="106204"/>
    <s v="BOT - No se actualizan correctamente las tarjetas en el Tablero principal"/>
    <x v="2"/>
    <x v="0"/>
    <s v="T20 Sprint 21 2025"/>
    <s v="T20 Sprint 22 2025"/>
    <s v="T20 Sprint 23 2025"/>
    <s v="T20 Sprint 25 2025"/>
    <s v="T20 Sprint 26 2025"/>
    <m/>
    <m/>
    <m/>
    <m/>
    <m/>
    <m/>
    <s v="Funcional"/>
    <s v="Main-Dashboard"/>
    <s v="QA-IntegraciónV0.10.1"/>
    <s v="UAT"/>
    <s v="UAT_2_WEEK"/>
    <m/>
    <m/>
    <m/>
    <m/>
    <s v="Daniela Soto"/>
    <d v="2025-10-29T13:48:00"/>
    <m/>
    <m/>
    <m/>
    <m/>
    <x v="1"/>
    <x v="6"/>
    <m/>
    <x v="3"/>
    <x v="5"/>
    <x v="0"/>
    <s v="No encontrado"/>
    <x v="1"/>
    <x v="17"/>
    <x v="0"/>
    <x v="0"/>
    <s v=""/>
    <n v="0"/>
  </r>
  <r>
    <s v="Error"/>
    <s v="T20-2233"/>
    <n v="105969"/>
    <s v="BOT - Se permite registrar merma de un producto con cero en stock"/>
    <x v="1"/>
    <x v="4"/>
    <s v="T20 Sprint 25 2025"/>
    <s v="T20 Sprint 26 2025"/>
    <m/>
    <m/>
    <m/>
    <m/>
    <m/>
    <m/>
    <m/>
    <m/>
    <m/>
    <s v="Funcional"/>
    <s v="Grooming_S25"/>
    <s v="QA-IntegraciónV0.10.1"/>
    <s v="Registrar-Merma"/>
    <s v="T3B20_BOT"/>
    <s v="Tienda2.0"/>
    <s v="UAT"/>
    <s v="UAT_1_WEEK"/>
    <m/>
    <s v="Yubisleinys Mora Vega"/>
    <d v="2025-10-28T17:22:00"/>
    <m/>
    <m/>
    <m/>
    <m/>
    <x v="1"/>
    <x v="4"/>
    <m/>
    <x v="3"/>
    <x v="5"/>
    <x v="0"/>
    <s v="No encontrado"/>
    <x v="1"/>
    <x v="4"/>
    <x v="0"/>
    <x v="0"/>
    <s v=""/>
    <n v="0"/>
  </r>
  <r>
    <s v="Error"/>
    <s v="T20-2232"/>
    <n v="105926"/>
    <s v="POS - No se muestran los artículos de bebidas con sus medidas"/>
    <x v="1"/>
    <x v="3"/>
    <s v="T20 Sprint 21 2025"/>
    <s v="T20 Sprint 22 2025"/>
    <s v="T20 Sprint 24 2025"/>
    <s v="T20 Sprint 25 2025"/>
    <s v="T20 Sprint 26 2025"/>
    <m/>
    <m/>
    <m/>
    <m/>
    <m/>
    <m/>
    <s v="Contenido/Datos"/>
    <s v="Grooming"/>
    <s v="Iniciar_Venta"/>
    <s v="QA-IntegraciónV0.10.1"/>
    <s v="T3B20_POS"/>
    <s v="Tienda2.0"/>
    <s v="UAT_1_WEEK"/>
    <m/>
    <m/>
    <s v="Daniela Soto"/>
    <d v="2025-10-28T16:25:00"/>
    <s v="v0.14"/>
    <m/>
    <m/>
    <m/>
    <x v="0"/>
    <x v="6"/>
    <m/>
    <x v="3"/>
    <x v="5"/>
    <x v="3"/>
    <n v="24"/>
    <x v="4"/>
    <x v="40"/>
    <x v="0"/>
    <x v="0"/>
    <s v=""/>
    <n v="0"/>
  </r>
  <r>
    <s v="Error"/>
    <s v="T20-2231"/>
    <n v="105919"/>
    <s v="POS - Si el resultado de búsqueda es muy larga, no se ven artículos de abajo"/>
    <x v="1"/>
    <x v="3"/>
    <s v="T20 Sprint 21 2025"/>
    <s v="T20 Sprint 22 2025"/>
    <s v="T20 Sprint 23 2025"/>
    <s v="T20 Sprint 25 2025"/>
    <s v="T20 Sprint 26 2025"/>
    <m/>
    <m/>
    <m/>
    <m/>
    <m/>
    <m/>
    <s v="Buscar-Artículo"/>
    <s v="Funcional"/>
    <s v="QA-IntegraciónV0.10.1"/>
    <s v="T3B20_POS"/>
    <s v="Tienda2.0"/>
    <s v="UAT_1_WEEK"/>
    <m/>
    <m/>
    <m/>
    <s v="Daniela Soto"/>
    <d v="2025-10-28T16:14:00"/>
    <s v="v0.15"/>
    <m/>
    <m/>
    <m/>
    <x v="0"/>
    <x v="6"/>
    <m/>
    <x v="3"/>
    <x v="5"/>
    <x v="2"/>
    <n v="25"/>
    <x v="1"/>
    <x v="47"/>
    <x v="0"/>
    <x v="0"/>
    <s v=""/>
    <n v="0"/>
  </r>
  <r>
    <s v="Error"/>
    <s v="T20-2229"/>
    <n v="105896"/>
    <s v="POS - No se muestra modal de entregar cambio al cliente al &quot;Cerrar venta&quot;"/>
    <x v="2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Pago-En-Efectivo"/>
    <s v="QA-IntegraciónV0.10.1"/>
    <s v="UAT"/>
    <s v="UAT_1_WEEK"/>
    <m/>
    <m/>
    <m/>
    <m/>
    <s v="Daniela Soto"/>
    <d v="2025-10-28T15:31:00"/>
    <s v="v0.14"/>
    <m/>
    <m/>
    <m/>
    <x v="0"/>
    <x v="6"/>
    <m/>
    <x v="3"/>
    <x v="5"/>
    <x v="3"/>
    <n v="24"/>
    <x v="1"/>
    <x v="43"/>
    <x v="0"/>
    <x v="0"/>
    <s v=""/>
    <n v="0"/>
  </r>
  <r>
    <s v="Error"/>
    <s v="T20-2228"/>
    <n v="105894"/>
    <s v="BOT_Falta visualización del toast de confirmación al registrar un gasto"/>
    <x v="0"/>
    <x v="0"/>
    <m/>
    <m/>
    <m/>
    <m/>
    <m/>
    <m/>
    <m/>
    <m/>
    <m/>
    <m/>
    <m/>
    <s v="Funcional"/>
    <s v="QA-IntegraciónV0.10.1"/>
    <s v="Registro-de-Gastos"/>
    <s v="UAT"/>
    <s v="UAT_1_WEEK"/>
    <m/>
    <m/>
    <m/>
    <m/>
    <s v="Yubisleinys Mora Vega"/>
    <d v="2025-10-28T15:29:00"/>
    <m/>
    <m/>
    <m/>
    <m/>
    <x v="1"/>
    <x v="6"/>
    <m/>
    <x v="3"/>
    <x v="5"/>
    <x v="0"/>
    <s v="No encontrado"/>
    <x v="1"/>
    <x v="27"/>
    <x v="0"/>
    <x v="0"/>
    <s v=""/>
    <n v="0"/>
  </r>
  <r>
    <s v="Error"/>
    <s v="T20-2204"/>
    <n v="105371"/>
    <s v="POS - Cerrar modal de Fondeo Inicial bloquea todo el POS teniendo que forzar cierre 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Confirmar-Inicio-De-Turno"/>
    <s v="Funcional"/>
    <s v="QA-IntegraciónV0.10"/>
    <s v="T3B20_POS"/>
    <s v="Tienda2.0"/>
    <m/>
    <m/>
    <m/>
    <m/>
    <s v="Daniela Soto"/>
    <d v="2025-10-27T16:50:00"/>
    <s v="v0.13"/>
    <m/>
    <m/>
    <m/>
    <x v="0"/>
    <x v="6"/>
    <m/>
    <x v="3"/>
    <x v="6"/>
    <x v="5"/>
    <n v="23"/>
    <x v="1"/>
    <x v="48"/>
    <x v="0"/>
    <x v="0"/>
    <s v=""/>
    <n v="0"/>
  </r>
  <r>
    <s v="Error"/>
    <s v="T20-2203"/>
    <n v="105329"/>
    <s v="BOT_Panel &quot;POS&quot; mantiene información cuando el POS está cerrado."/>
    <x v="1"/>
    <x v="0"/>
    <m/>
    <m/>
    <m/>
    <m/>
    <m/>
    <m/>
    <m/>
    <m/>
    <m/>
    <m/>
    <m/>
    <s v="Cierre-De-Turno"/>
    <s v="Funcional"/>
    <s v="QA-IntegraciónV0.10"/>
    <s v="UAT_1_WEEK"/>
    <m/>
    <m/>
    <m/>
    <m/>
    <m/>
    <s v="Yubisleinys Mora Vega"/>
    <d v="2025-10-27T15:54:00"/>
    <m/>
    <m/>
    <m/>
    <m/>
    <x v="1"/>
    <x v="6"/>
    <m/>
    <x v="3"/>
    <x v="6"/>
    <x v="0"/>
    <s v="No encontrado"/>
    <x v="1"/>
    <x v="2"/>
    <x v="0"/>
    <x v="0"/>
    <s v=""/>
    <n v="0"/>
  </r>
  <r>
    <s v="Error"/>
    <s v="T20-2202"/>
    <n v="105316"/>
    <s v="BOT_Errores en modal “Cierre de Turno”"/>
    <x v="1"/>
    <x v="0"/>
    <m/>
    <m/>
    <m/>
    <m/>
    <m/>
    <m/>
    <m/>
    <m/>
    <m/>
    <m/>
    <m/>
    <s v="Cierre-De-Turno"/>
    <s v="Funcional"/>
    <s v="QA-IntegraciónV0.10"/>
    <s v="UAT_1_WEEK"/>
    <m/>
    <m/>
    <m/>
    <m/>
    <m/>
    <s v="Yubisleinys Mora Vega"/>
    <d v="2025-10-27T15:19:00"/>
    <m/>
    <m/>
    <m/>
    <m/>
    <x v="1"/>
    <x v="0"/>
    <m/>
    <x v="3"/>
    <x v="6"/>
    <x v="0"/>
    <s v="No encontrado"/>
    <x v="1"/>
    <x v="2"/>
    <x v="0"/>
    <x v="0"/>
    <s v=""/>
    <n v="0"/>
  </r>
  <r>
    <s v="Error"/>
    <s v="T20-2194"/>
    <n v="105205"/>
    <s v="POS - Sin tener Turno iniciado, se permite buscar artículos, iniciar devolución, abrir modales, etc.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Iniciar_Venta"/>
    <s v="QA-IntegraciónV0.10"/>
    <s v="T3B20_POS"/>
    <s v="Tienda2.0"/>
    <s v="UAT"/>
    <s v="UAT_1_WEEK"/>
    <m/>
    <m/>
    <s v="Daniela Soto"/>
    <d v="2025-10-27T11:13:00"/>
    <s v="v0.14"/>
    <m/>
    <m/>
    <m/>
    <x v="0"/>
    <x v="0"/>
    <m/>
    <x v="3"/>
    <x v="6"/>
    <x v="3"/>
    <n v="24"/>
    <x v="1"/>
    <x v="40"/>
    <x v="0"/>
    <x v="0"/>
    <s v=""/>
    <n v="0"/>
  </r>
  <r>
    <s v="Error"/>
    <s v="T20-2183"/>
    <n v="105063"/>
    <s v="POS / BOT - Inicio de sesión pide &quot;Usuario&quot; y no reconoce el correo electrónico"/>
    <x v="1"/>
    <x v="2"/>
    <s v="T20 Sprint 21 2025"/>
    <s v="T20 Sprint 22 2025"/>
    <m/>
    <m/>
    <m/>
    <m/>
    <m/>
    <m/>
    <m/>
    <m/>
    <m/>
    <s v="Funcional"/>
    <s v="Login"/>
    <s v="QA-IntegraciónV0.10"/>
    <s v="Tienda2.0"/>
    <s v="UAT_1_WEEK"/>
    <m/>
    <m/>
    <m/>
    <m/>
    <s v="Daniela Soto"/>
    <d v="2025-10-27T08:38:00"/>
    <m/>
    <m/>
    <m/>
    <m/>
    <x v="1"/>
    <x v="10"/>
    <m/>
    <x v="3"/>
    <x v="6"/>
    <x v="0"/>
    <s v="No encontrado"/>
    <x v="1"/>
    <x v="36"/>
    <x v="0"/>
    <x v="0"/>
    <s v=""/>
    <n v="0"/>
  </r>
  <r>
    <s v="Error"/>
    <s v="T20-2182"/>
    <n v="104914"/>
    <s v="BOT: Estado de apertura/cierre de turno de un POS no se actualiza"/>
    <x v="2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Main-Dashboard"/>
    <s v="QA-IntegraciónV0.10.1"/>
    <s v="T3B20_BOT"/>
    <s v="Tienda2.0"/>
    <m/>
    <m/>
    <m/>
    <m/>
    <s v="Ludo"/>
    <d v="2025-10-25T05:20:00"/>
    <s v="v0.10.1"/>
    <s v="v0.14"/>
    <m/>
    <m/>
    <x v="1"/>
    <x v="10"/>
    <m/>
    <x v="3"/>
    <x v="5"/>
    <x v="3"/>
    <n v="24"/>
    <x v="1"/>
    <x v="17"/>
    <x v="0"/>
    <x v="0"/>
    <s v=""/>
    <n v="0"/>
  </r>
  <r>
    <s v="Error"/>
    <s v="T20-2177"/>
    <n v="104826"/>
    <s v="POS - Header - Hora del inicio del turno no se actualiza"/>
    <x v="0"/>
    <x v="3"/>
    <s v="T20 Sprint 21 2025"/>
    <s v="T20 Sprint 22 2025"/>
    <s v="T20 Sprint 24 2025"/>
    <s v="T20 Sprint 25 2025"/>
    <s v="T20 Sprint 26 2025"/>
    <m/>
    <m/>
    <m/>
    <m/>
    <m/>
    <m/>
    <s v="Grooming"/>
    <s v="Look&amp;Feel"/>
    <s v="Main-Dashboard"/>
    <s v="QA-IntegraciónV0.10"/>
    <s v="T3B20_BOT"/>
    <s v="Tienda2.0"/>
    <s v="UAT"/>
    <s v="UAT_1_WEEK"/>
    <m/>
    <s v="Daniela Soto"/>
    <d v="2025-10-24T15:33:00"/>
    <s v="v0.10.1"/>
    <s v="v0.14"/>
    <m/>
    <m/>
    <x v="0"/>
    <x v="10"/>
    <m/>
    <x v="3"/>
    <x v="6"/>
    <x v="3"/>
    <n v="24"/>
    <x v="0"/>
    <x v="17"/>
    <x v="0"/>
    <x v="0"/>
    <s v=""/>
    <n v="0"/>
  </r>
  <r>
    <s v="Error"/>
    <s v="T20-2175"/>
    <n v="104812"/>
    <s v="BOT - Menús desplegables no coinciden con Figma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Look&amp;Feel"/>
    <s v="Main-Dashboard"/>
    <s v="QA-IntegraciónV0.10"/>
    <s v="T3B20_BOT"/>
    <s v="Tienda2.0"/>
    <s v="UAT"/>
    <m/>
    <m/>
    <m/>
    <s v="Daniela Soto"/>
    <d v="2025-10-24T15:12:00"/>
    <s v="v0.10.1"/>
    <s v="v0.13"/>
    <m/>
    <m/>
    <x v="1"/>
    <x v="0"/>
    <m/>
    <x v="3"/>
    <x v="6"/>
    <x v="5"/>
    <n v="23"/>
    <x v="0"/>
    <x v="17"/>
    <x v="0"/>
    <x v="0"/>
    <s v=""/>
    <n v="0"/>
  </r>
  <r>
    <s v="Error"/>
    <s v="T20-2173"/>
    <n v="104788"/>
    <s v="POS - Cancelar - Cancelar artículo no funciona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Cancelar-venta"/>
    <s v="Funcional"/>
    <s v="QA-IntegraciónV0.10"/>
    <s v="T3B20_POS"/>
    <s v="Tienda2.0"/>
    <m/>
    <m/>
    <m/>
    <m/>
    <s v="Daniela Soto"/>
    <d v="2025-10-24T14:16:00"/>
    <s v="v0.10.1"/>
    <s v="v0.13"/>
    <m/>
    <m/>
    <x v="0"/>
    <x v="2"/>
    <m/>
    <x v="3"/>
    <x v="6"/>
    <x v="5"/>
    <n v="23"/>
    <x v="1"/>
    <x v="38"/>
    <x v="0"/>
    <x v="0"/>
    <s v=""/>
    <n v="0"/>
  </r>
  <r>
    <s v="Error"/>
    <s v="T20-2169"/>
    <n v="104771"/>
    <s v="POS - Modal de pago con tarjeta Rechazado se visualiza de manera incorrecto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Grooming_S25"/>
    <s v="Look&amp;Feel"/>
    <s v="Pago-Con-Tarjeta"/>
    <s v="QA-IntegraciónV0.10"/>
    <s v="T3B20_POS"/>
    <s v="Tienda2.0"/>
    <s v="UAT_1_WEEK"/>
    <m/>
    <m/>
    <s v="Daniela Soto"/>
    <d v="2025-10-24T13:32:00"/>
    <s v="v0.14"/>
    <m/>
    <m/>
    <m/>
    <x v="0"/>
    <x v="2"/>
    <m/>
    <x v="3"/>
    <x v="6"/>
    <x v="3"/>
    <n v="24"/>
    <x v="0"/>
    <x v="15"/>
    <x v="0"/>
    <x v="0"/>
    <s v=""/>
    <n v="0"/>
  </r>
  <r>
    <s v="Error"/>
    <s v="T20-2168"/>
    <n v="104763"/>
    <s v="BOT - Se puede hacer &quot;n&quot; veces un cierre de día en el BOT."/>
    <x v="1"/>
    <x v="0"/>
    <s v="T20 Sprint 21 2025"/>
    <s v="T20 Sprint 22 2025"/>
    <s v="T20 Sprint 23 2025"/>
    <s v="T20 Sprint 25 2025"/>
    <s v="T20 Sprint 26 2025"/>
    <m/>
    <m/>
    <m/>
    <m/>
    <m/>
    <m/>
    <s v="Bug_Devuelto_v0.13"/>
    <s v="Cierre-De-Día"/>
    <s v="Funcional"/>
    <s v="QA-IntegraciónV0.10"/>
    <s v="T3B20_BOT"/>
    <s v="Tienda2.0"/>
    <s v="UAT_1_WEEK"/>
    <m/>
    <m/>
    <s v="Yubisleinys Mora Vega"/>
    <d v="2025-10-24T12:50:00"/>
    <s v="v0.10.1"/>
    <s v="v0.13"/>
    <m/>
    <m/>
    <x v="1"/>
    <x v="2"/>
    <m/>
    <x v="3"/>
    <x v="6"/>
    <x v="5"/>
    <n v="23"/>
    <x v="1"/>
    <x v="46"/>
    <x v="0"/>
    <x v="0"/>
    <s v="SI"/>
    <n v="1"/>
  </r>
  <r>
    <s v="Error"/>
    <s v="T20-2165"/>
    <n v="104746"/>
    <s v="BOT- Después de iniciar día no se visualiza el dashboard principal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Main-Dashboard"/>
    <s v="QA-IntegraciónV0.10.1"/>
    <s v="T3B20_BOT"/>
    <s v="Tienda2.0"/>
    <m/>
    <m/>
    <m/>
    <m/>
    <s v="Yubisleinys Mora Vega"/>
    <d v="2025-10-24T12:19:00"/>
    <s v="v0.10.1"/>
    <s v="v0.13"/>
    <m/>
    <m/>
    <x v="1"/>
    <x v="0"/>
    <m/>
    <x v="3"/>
    <x v="5"/>
    <x v="5"/>
    <n v="23"/>
    <x v="1"/>
    <x v="17"/>
    <x v="0"/>
    <x v="0"/>
    <s v=""/>
    <n v="0"/>
  </r>
  <r>
    <s v="Error"/>
    <s v="T20-2122"/>
    <n v="103589"/>
    <s v="BOT - Botones comunes muestran texto en inglés en varias funcionalidades del sistema BOT"/>
    <x v="2"/>
    <x v="3"/>
    <s v="T20 Sprint 24 2025"/>
    <s v="T20 Sprint 25 2025"/>
    <s v="T20 Sprint 26 2025"/>
    <m/>
    <m/>
    <m/>
    <m/>
    <m/>
    <m/>
    <m/>
    <m/>
    <s v="Bugs-Idioma"/>
    <s v="Look&amp;Feel"/>
    <s v="QA-IntegraciónV0.9"/>
    <s v="UAT_1_WEEK"/>
    <m/>
    <m/>
    <m/>
    <m/>
    <m/>
    <s v="Yubisleinys Mora Vega"/>
    <d v="2025-10-21T07:54:00"/>
    <s v="v0.14"/>
    <m/>
    <m/>
    <m/>
    <x v="1"/>
    <x v="0"/>
    <m/>
    <x v="4"/>
    <x v="7"/>
    <x v="3"/>
    <n v="24"/>
    <x v="0"/>
    <x v="49"/>
    <x v="0"/>
    <x v="0"/>
    <s v=""/>
    <n v="0"/>
  </r>
  <r>
    <s v="Error"/>
    <s v="T20-2117"/>
    <n v="103038"/>
    <s v="POS - Modal Cerrar venta botones en inglés"/>
    <x v="2"/>
    <x v="3"/>
    <s v="T20 Sprint 24 2025"/>
    <s v="T20 Sprint 25 2025"/>
    <s v="T20 Sprint 26 2025"/>
    <m/>
    <m/>
    <m/>
    <m/>
    <m/>
    <m/>
    <m/>
    <m/>
    <s v="Bugs-Idioma"/>
    <s v="Grooming_S25"/>
    <s v="Look&amp;Feel"/>
    <s v="QA-IntegraciónV0.9"/>
    <s v="T3B20_POS"/>
    <s v="Tienda2.0"/>
    <s v="UAT_1_WEEK"/>
    <m/>
    <m/>
    <s v="Daniela Soto"/>
    <d v="2025-10-20T14:59:00"/>
    <s v="v0.14"/>
    <m/>
    <m/>
    <m/>
    <x v="0"/>
    <x v="2"/>
    <m/>
    <x v="4"/>
    <x v="7"/>
    <x v="3"/>
    <n v="24"/>
    <x v="0"/>
    <x v="49"/>
    <x v="0"/>
    <x v="0"/>
    <s v=""/>
    <n v="0"/>
  </r>
  <r>
    <s v="Error"/>
    <s v="T20-2094"/>
    <n v="102710"/>
    <s v="Diferencias en tickets de venta - TC/Efectivo y Pago Mix"/>
    <x v="2"/>
    <x v="0"/>
    <s v="T20 Sprint 21 2025"/>
    <s v="T20 Sprint 22 2025"/>
    <s v="T20 Sprint 23 2025"/>
    <s v="T20 Sprint 24 2025"/>
    <s v="T20 Sprint 25 2025"/>
    <s v="T20 Sprint 26 2025"/>
    <m/>
    <m/>
    <m/>
    <m/>
    <m/>
    <s v="Imprimir-Ticket"/>
    <s v="Look&amp;Feel"/>
    <s v="QA-IntegraciónV0.9"/>
    <s v="T3B20_POS"/>
    <s v="Tienda2.0"/>
    <s v="UAT"/>
    <m/>
    <m/>
    <m/>
    <s v="Carolina Rodríguez Soriano"/>
    <d v="2025-10-17T17:01:00"/>
    <m/>
    <m/>
    <m/>
    <m/>
    <x v="0"/>
    <x v="2"/>
    <m/>
    <x v="4"/>
    <x v="7"/>
    <x v="0"/>
    <s v="No encontrado"/>
    <x v="0"/>
    <x v="42"/>
    <x v="0"/>
    <x v="0"/>
    <s v=""/>
    <n v="0"/>
  </r>
  <r>
    <s v="Error"/>
    <s v="T20-2093"/>
    <n v="102674"/>
    <s v="BOT - Panel Productos no se actualiza"/>
    <x v="2"/>
    <x v="0"/>
    <s v="T20 Sprint 21 2025"/>
    <s v="T20 Sprint 22 2025"/>
    <s v="T20 Sprint 23 2025"/>
    <s v="T20 Sprint 24 2025"/>
    <m/>
    <m/>
    <m/>
    <m/>
    <m/>
    <m/>
    <m/>
    <s v="Bug_Devuelto_v0.10.1"/>
    <s v="Dashboard-Productos"/>
    <s v="Funcional"/>
    <s v="QA-IntegraciónV0.9"/>
    <s v="UAT"/>
    <s v="UAT_1_WEEK"/>
    <m/>
    <m/>
    <m/>
    <s v="Daniela Soto"/>
    <d v="2025-10-17T15:05:00"/>
    <m/>
    <m/>
    <m/>
    <m/>
    <x v="1"/>
    <x v="2"/>
    <m/>
    <x v="4"/>
    <x v="7"/>
    <x v="0"/>
    <s v="No encontrado"/>
    <x v="1"/>
    <x v="16"/>
    <x v="0"/>
    <x v="0"/>
    <s v="SI"/>
    <n v="1"/>
  </r>
  <r>
    <s v="Error"/>
    <s v="T20-2089"/>
    <n v="102586"/>
    <s v="POS - Pantalla principal - Info en inglés"/>
    <x v="2"/>
    <x v="3"/>
    <m/>
    <m/>
    <m/>
    <m/>
    <m/>
    <m/>
    <m/>
    <m/>
    <m/>
    <m/>
    <m/>
    <s v="Bugs-Idioma"/>
    <s v="Grooming_S25"/>
    <s v="Look&amp;Feel"/>
    <s v="QA-IntegraciónV0.9"/>
    <s v="UAT_1_WEEK"/>
    <m/>
    <m/>
    <m/>
    <m/>
    <s v="Daniela Soto"/>
    <d v="2025-10-17T09:34:00"/>
    <m/>
    <m/>
    <m/>
    <m/>
    <x v="0"/>
    <x v="2"/>
    <m/>
    <x v="4"/>
    <x v="7"/>
    <x v="0"/>
    <s v="No encontrado"/>
    <x v="0"/>
    <x v="49"/>
    <x v="0"/>
    <x v="0"/>
    <s v=""/>
    <n v="0"/>
  </r>
  <r>
    <s v="Error"/>
    <s v="T20-2088"/>
    <n v="102584"/>
    <s v="POS - Checar precio - Info en Inglés"/>
    <x v="2"/>
    <x v="3"/>
    <s v="T20 Sprint 24 2025"/>
    <s v="T20 Sprint 25 2025"/>
    <s v="T20 Sprint 26 2025"/>
    <m/>
    <m/>
    <m/>
    <m/>
    <m/>
    <m/>
    <m/>
    <m/>
    <s v="Bugs-Idioma"/>
    <s v="Look&amp;Feel"/>
    <s v="QA-IntegraciónV0.9"/>
    <s v="T3B20_POS"/>
    <s v="Tienda2.0"/>
    <s v="UAT_1_WEEK"/>
    <m/>
    <m/>
    <m/>
    <s v="Daniela Soto"/>
    <d v="2025-10-17T09:11:00"/>
    <s v="v0.14"/>
    <m/>
    <m/>
    <m/>
    <x v="0"/>
    <x v="2"/>
    <m/>
    <x v="4"/>
    <x v="7"/>
    <x v="3"/>
    <n v="24"/>
    <x v="0"/>
    <x v="49"/>
    <x v="0"/>
    <x v="0"/>
    <s v=""/>
    <n v="0"/>
  </r>
  <r>
    <s v="Error"/>
    <s v="T20-2066"/>
    <n v="102295"/>
    <s v="BOT - Modal pie de camión en inglés"/>
    <x v="2"/>
    <x v="3"/>
    <s v="T20 Sprint 24 2025"/>
    <s v="T20 Sprint 25 2025"/>
    <s v="T20 Sprint 26 2025"/>
    <m/>
    <m/>
    <m/>
    <m/>
    <m/>
    <m/>
    <m/>
    <m/>
    <s v="Bugs-Idioma"/>
    <s v="Look&amp;Feel"/>
    <s v="QA-IntegraciónV0.9"/>
    <s v="T3B20_BOT"/>
    <s v="Tienda2.0"/>
    <s v="UAT_2_WEEK"/>
    <m/>
    <m/>
    <m/>
    <s v="Daniela Soto"/>
    <d v="2025-10-16T13:22:00"/>
    <s v="v0.14"/>
    <m/>
    <m/>
    <m/>
    <x v="1"/>
    <x v="2"/>
    <m/>
    <x v="4"/>
    <x v="7"/>
    <x v="3"/>
    <n v="24"/>
    <x v="0"/>
    <x v="49"/>
    <x v="0"/>
    <x v="0"/>
    <s v=""/>
    <n v="0"/>
  </r>
  <r>
    <s v="Error"/>
    <s v="T20-1994"/>
    <n v="99976"/>
    <s v="BOT - Ctrl+N - No cierra sesión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Logout"/>
    <s v="QA-IntegraciónV0.10.1"/>
    <s v="T3B20_BOT"/>
    <s v="Tienda2.0"/>
    <m/>
    <m/>
    <m/>
    <m/>
    <s v="Daniela Soto"/>
    <d v="2025-10-07T16:03:00"/>
    <s v="v0.10.1"/>
    <s v="v0.14"/>
    <m/>
    <m/>
    <x v="1"/>
    <x v="2"/>
    <m/>
    <x v="3"/>
    <x v="5"/>
    <x v="3"/>
    <n v="24"/>
    <x v="1"/>
    <x v="45"/>
    <x v="0"/>
    <x v="0"/>
    <s v=""/>
    <n v="0"/>
  </r>
  <r>
    <s v="Error"/>
    <s v="T20-1993"/>
    <n v="99972"/>
    <s v="POS_Evento POS_Pago con Tarjeta de débito llega a Iothub sin tipo de pago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Eventos_iOT"/>
    <s v="Look&amp;Feel"/>
    <s v="Pago-Con-Tarjeta"/>
    <s v="QA-IntegraciónV0.8"/>
    <s v="T3B20_POS"/>
    <s v="Tienda2.0"/>
    <m/>
    <m/>
    <m/>
    <s v="Yubisleinys Mora Vega"/>
    <d v="2025-10-07T15:58:00"/>
    <s v="v0.10.1"/>
    <s v="v0.8"/>
    <m/>
    <m/>
    <x v="0"/>
    <x v="2"/>
    <m/>
    <x v="5"/>
    <x v="8"/>
    <x v="7"/>
    <n v="20"/>
    <x v="0"/>
    <x v="15"/>
    <x v="0"/>
    <x v="0"/>
    <s v=""/>
    <n v="0"/>
  </r>
  <r>
    <s v="Error"/>
    <s v="T20-1992"/>
    <n v="99963"/>
    <s v="POS_Evento POS_Pago con Efectivo llega a Iothub sin tipo de pago 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Eventos_iOT"/>
    <s v="Look&amp;Feel"/>
    <s v="Pago-En-Efectivo"/>
    <s v="QA-IntegraciónV0.10"/>
    <s v="T3B20_POS"/>
    <s v="Tienda2.0"/>
    <m/>
    <m/>
    <m/>
    <s v="Yubisleinys Mora Vega"/>
    <d v="2025-10-07T15:42:00"/>
    <s v="v0.8"/>
    <m/>
    <m/>
    <m/>
    <x v="0"/>
    <x v="2"/>
    <m/>
    <x v="3"/>
    <x v="6"/>
    <x v="7"/>
    <n v="20"/>
    <x v="0"/>
    <x v="43"/>
    <x v="0"/>
    <x v="0"/>
    <s v=""/>
    <n v="0"/>
  </r>
  <r>
    <s v="Error"/>
    <s v="T20-1981"/>
    <n v="99800"/>
    <s v="BOT - Error en modal &quot;Entrada a Pie de camión&quot;"/>
    <x v="3"/>
    <x v="4"/>
    <s v="T20 Sprint 21 2025"/>
    <s v="T20 Sprint 22 2025"/>
    <s v="T20 Sprint 23 2025"/>
    <s v="T20 Sprint 24 2025"/>
    <s v="T20 Sprint 25 2025"/>
    <s v="T20 Sprint 26 2025"/>
    <m/>
    <m/>
    <m/>
    <m/>
    <m/>
    <s v="Bug_Devuelto_v0.13"/>
    <s v="Funcional"/>
    <s v="Grooming_S25"/>
    <s v="QA-IntegraciónV0.8"/>
    <s v="Recibir-Mercancía-Pie-De-Camión"/>
    <s v="UAT_2_WEEK"/>
    <m/>
    <m/>
    <m/>
    <s v="Daniela Soto"/>
    <d v="2025-10-07T08:57:00"/>
    <m/>
    <m/>
    <m/>
    <m/>
    <x v="1"/>
    <x v="1"/>
    <m/>
    <x v="5"/>
    <x v="8"/>
    <x v="0"/>
    <s v="No encontrado"/>
    <x v="1"/>
    <x v="33"/>
    <x v="0"/>
    <x v="0"/>
    <s v="SI"/>
    <n v="1"/>
  </r>
  <r>
    <s v="Error"/>
    <s v="T20-1976"/>
    <n v="99744"/>
    <s v="BOT - Productos - Columnas sin filtros"/>
    <x v="1"/>
    <x v="4"/>
    <s v="T20 Sprint 21 2025"/>
    <s v="T20 Sprint 22 2025"/>
    <s v="T20 Sprint 23 2025"/>
    <s v="T20 Sprint 24 2025"/>
    <s v="T20 Sprint 25 2025"/>
    <s v="T20 Sprint 26 2025"/>
    <m/>
    <m/>
    <m/>
    <m/>
    <m/>
    <s v="Dashboard-Productos"/>
    <s v="Funcional"/>
    <s v="QA-IntegraciónV0.8"/>
    <m/>
    <m/>
    <m/>
    <m/>
    <m/>
    <m/>
    <s v="Daniela Soto"/>
    <d v="2025-10-06T16:46:00"/>
    <m/>
    <m/>
    <m/>
    <m/>
    <x v="1"/>
    <x v="2"/>
    <m/>
    <x v="5"/>
    <x v="8"/>
    <x v="0"/>
    <s v="No encontrado"/>
    <x v="1"/>
    <x v="16"/>
    <x v="0"/>
    <x v="0"/>
    <s v=""/>
    <n v="0"/>
  </r>
  <r>
    <s v="Error"/>
    <s v="T20-1973"/>
    <n v="99727"/>
    <s v="BOT - Dashboard Efectivo - Error en Panel Movimientos"/>
    <x v="2"/>
    <x v="0"/>
    <m/>
    <m/>
    <m/>
    <m/>
    <m/>
    <m/>
    <m/>
    <m/>
    <m/>
    <m/>
    <m/>
    <s v="Dashboard-Efectivo"/>
    <s v="Grooming_S25"/>
    <s v="Look&amp;Feel"/>
    <s v="QA-IntegraciónV0.8"/>
    <s v="UAT"/>
    <s v="UAT_1_WEEK"/>
    <m/>
    <m/>
    <m/>
    <s v="Daniela Soto"/>
    <d v="2025-10-06T16:03:00"/>
    <m/>
    <m/>
    <m/>
    <m/>
    <x v="1"/>
    <x v="6"/>
    <m/>
    <x v="5"/>
    <x v="8"/>
    <x v="0"/>
    <s v="No encontrado"/>
    <x v="0"/>
    <x v="26"/>
    <x v="0"/>
    <x v="0"/>
    <s v=""/>
    <n v="0"/>
  </r>
  <r>
    <s v="Error"/>
    <s v="T20-1970"/>
    <n v="99706"/>
    <s v="BOT_No se muestra el modal al seleccionar “Bloqueo de sesión”"/>
    <x v="1"/>
    <x v="0"/>
    <s v="T20 Sprint 20 2025"/>
    <s v="T20 Sprint 21 2025"/>
    <s v="T20 Sprint 22 2025"/>
    <m/>
    <m/>
    <m/>
    <m/>
    <m/>
    <m/>
    <m/>
    <m/>
    <s v="Bloqueo-De-Sesión"/>
    <s v="Funcional"/>
    <s v="QA-IntegraciónV0.11"/>
    <s v="UAT"/>
    <m/>
    <m/>
    <m/>
    <m/>
    <m/>
    <s v="Yubisleinys Mora Vega"/>
    <d v="2025-10-06T14:39:00"/>
    <m/>
    <m/>
    <m/>
    <m/>
    <x v="1"/>
    <x v="2"/>
    <m/>
    <x v="3"/>
    <x v="4"/>
    <x v="0"/>
    <s v="No encontrado"/>
    <x v="1"/>
    <x v="35"/>
    <x v="0"/>
    <x v="0"/>
    <s v=""/>
    <n v="0"/>
  </r>
  <r>
    <s v="Error"/>
    <s v="T20-1967"/>
    <n v="99292"/>
    <s v="POS - Errores modal Tiempo Aire (parte 1)"/>
    <x v="1"/>
    <x v="4"/>
    <s v="T20 Sprint 21 2025"/>
    <s v="T20 Sprint 22 2025"/>
    <s v="T20 Sprint 23 2025"/>
    <m/>
    <m/>
    <m/>
    <m/>
    <m/>
    <m/>
    <m/>
    <m/>
    <s v="Funcional"/>
    <s v="Pago-De-Tiempo-Aire"/>
    <s v="QA-IntegraciónV0.8"/>
    <s v="T3B20_POS"/>
    <s v="Tienda2.0"/>
    <s v="UAT_2_WEEK"/>
    <m/>
    <m/>
    <m/>
    <s v="Daniela Soto"/>
    <d v="2025-10-03T15:20:00"/>
    <s v="v0.13"/>
    <m/>
    <m/>
    <m/>
    <x v="0"/>
    <x v="2"/>
    <m/>
    <x v="5"/>
    <x v="8"/>
    <x v="5"/>
    <n v="23"/>
    <x v="1"/>
    <x v="7"/>
    <x v="0"/>
    <x v="0"/>
    <s v=""/>
    <n v="0"/>
  </r>
  <r>
    <s v="Error"/>
    <s v="T20-1966"/>
    <n v="99290"/>
    <s v="POS - Shortcut F10 Pago de Tiempo Aire no funciona"/>
    <x v="1"/>
    <x v="3"/>
    <s v="T20 Sprint 25 2025"/>
    <s v="T20 Sprint 26 2025"/>
    <m/>
    <m/>
    <m/>
    <m/>
    <m/>
    <m/>
    <m/>
    <m/>
    <m/>
    <s v="Atajos-Teclado"/>
    <s v="Funcional"/>
    <s v="QA-IntegraciónV0.8"/>
    <s v="T3B20_POS"/>
    <s v="Tienda2.0"/>
    <s v="UAT_2_WEEK"/>
    <m/>
    <m/>
    <m/>
    <s v="Daniela Soto"/>
    <d v="2025-10-03T15:07:00"/>
    <s v="v0.15"/>
    <m/>
    <m/>
    <m/>
    <x v="0"/>
    <x v="2"/>
    <m/>
    <x v="5"/>
    <x v="8"/>
    <x v="2"/>
    <n v="25"/>
    <x v="1"/>
    <x v="22"/>
    <x v="0"/>
    <x v="0"/>
    <s v=""/>
    <n v="0"/>
  </r>
  <r>
    <s v="Error"/>
    <s v="T20-1963"/>
    <n v="99283"/>
    <s v="POS - Servicios - Error en modal Pago de Servicios"/>
    <x v="1"/>
    <x v="0"/>
    <m/>
    <m/>
    <m/>
    <m/>
    <m/>
    <m/>
    <m/>
    <m/>
    <m/>
    <m/>
    <m/>
    <s v="Funcional"/>
    <s v="Pago-De-Servicios-Con-Catálogo"/>
    <s v="QA-IntegraciónV0.8"/>
    <s v="REVISAR_QA"/>
    <s v="UAT_2_WEEK"/>
    <m/>
    <m/>
    <m/>
    <m/>
    <s v="Daniela Soto"/>
    <d v="2025-10-03T14:33:00"/>
    <m/>
    <m/>
    <m/>
    <m/>
    <x v="0"/>
    <x v="2"/>
    <m/>
    <x v="5"/>
    <x v="8"/>
    <x v="0"/>
    <s v="No encontrado"/>
    <x v="1"/>
    <x v="8"/>
    <x v="0"/>
    <x v="0"/>
    <s v=""/>
    <n v="0"/>
  </r>
  <r>
    <s v="Error"/>
    <s v="T20-1950"/>
    <n v="99159"/>
    <s v="BOT - Registrar merma - Errores en columnas"/>
    <x v="2"/>
    <x v="0"/>
    <m/>
    <m/>
    <m/>
    <m/>
    <m/>
    <m/>
    <m/>
    <m/>
    <m/>
    <m/>
    <m/>
    <s v="Grooming_S25"/>
    <s v="Look&amp;Feel"/>
    <s v="QA-IntegraciónV0.8"/>
    <s v="Registrar-Merma"/>
    <s v="UAT_1_WEEK"/>
    <m/>
    <m/>
    <m/>
    <m/>
    <s v="Daniela Soto"/>
    <d v="2025-10-03T08:57:00"/>
    <m/>
    <m/>
    <m/>
    <m/>
    <x v="1"/>
    <x v="0"/>
    <m/>
    <x v="5"/>
    <x v="8"/>
    <x v="0"/>
    <s v="No encontrado"/>
    <x v="0"/>
    <x v="4"/>
    <x v="0"/>
    <x v="0"/>
    <s v=""/>
    <n v="0"/>
  </r>
  <r>
    <s v="Error"/>
    <s v="T20-1947"/>
    <n v="99086"/>
    <s v="POS - BOT - Al seleccionar botones de la izquierda, se dehabilitan las funcionalidades seleccionadas y no se pueden volver a seleccionar.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Main-Dashboard"/>
    <s v="QA-IntegraciónV0.8"/>
    <s v="T3B20_BOT"/>
    <s v="T3B20_POS"/>
    <s v="Tienda2.0"/>
    <m/>
    <m/>
    <m/>
    <s v="Daniela Soto"/>
    <d v="2025-10-02T16:40:00"/>
    <s v="v0.10"/>
    <m/>
    <m/>
    <m/>
    <x v="0"/>
    <x v="4"/>
    <m/>
    <x v="5"/>
    <x v="8"/>
    <x v="8"/>
    <s v="No encontrado"/>
    <x v="1"/>
    <x v="17"/>
    <x v="0"/>
    <x v="0"/>
    <s v=""/>
    <n v="0"/>
  </r>
  <r>
    <s v="Error"/>
    <s v="T20-1946"/>
    <n v="99070"/>
    <s v="POS - Errores en módulo &quot;Devolución&quot;"/>
    <x v="2"/>
    <x v="0"/>
    <s v="T20 Sprint 21 2025"/>
    <s v="T20 Sprint 22 2025"/>
    <s v="T20 Sprint 23 2025"/>
    <s v="T20 Sprint 25 2025"/>
    <s v="T20 Sprint 26 2025"/>
    <m/>
    <m/>
    <m/>
    <m/>
    <m/>
    <m/>
    <s v="Bug_Devuelto_v0.10"/>
    <s v="Devoluciones"/>
    <s v="Funcional"/>
    <s v="QA-IntegraciónV0.10"/>
    <s v="QA-IntegraciónV0.8"/>
    <s v="Tienda2.0"/>
    <s v="UAT_1_WEEK"/>
    <m/>
    <m/>
    <s v="Daniela Soto"/>
    <d v="2025-10-02T16:08:00"/>
    <s v="v0.10"/>
    <m/>
    <m/>
    <m/>
    <x v="0"/>
    <x v="0"/>
    <m/>
    <x v="5"/>
    <x v="8"/>
    <x v="8"/>
    <s v="No encontrado"/>
    <x v="1"/>
    <x v="24"/>
    <x v="0"/>
    <x v="0"/>
    <s v="SI"/>
    <n v="1"/>
  </r>
  <r>
    <s v="Error"/>
    <s v="T20-1944"/>
    <n v="99024"/>
    <s v="POS - Menú BBB con opciones erradas"/>
    <x v="1"/>
    <x v="7"/>
    <s v="T20 Sprint 21 2025"/>
    <s v="T20 Sprint 22 2025"/>
    <s v="T20 Sprint 23 2025"/>
    <s v="T20 Sprint 24 2025"/>
    <s v="T20 Sprint 25 2025"/>
    <s v="T20 Sprint 26 2025"/>
    <m/>
    <m/>
    <m/>
    <m/>
    <m/>
    <s v="Funcional"/>
    <s v="Main-Dashboard"/>
    <s v="QA-IntegraciónV0.8"/>
    <s v="T3B20_POS"/>
    <s v="Tienda2.0"/>
    <m/>
    <m/>
    <m/>
    <m/>
    <s v="Daniela Soto"/>
    <d v="2025-10-02T14:33:00"/>
    <s v="v0.10"/>
    <m/>
    <m/>
    <m/>
    <x v="0"/>
    <x v="0"/>
    <m/>
    <x v="5"/>
    <x v="8"/>
    <x v="8"/>
    <s v="No encontrado"/>
    <x v="1"/>
    <x v="17"/>
    <x v="0"/>
    <x v="0"/>
    <s v=""/>
    <n v="0"/>
  </r>
  <r>
    <s v="Error"/>
    <s v="T20-1943"/>
    <n v="99022"/>
    <s v="POS - No figura opción &quot;Cerrar Turno y Cerrar Sesión&quot;"/>
    <x v="0"/>
    <x v="3"/>
    <s v="T20 Sprint 21 2025"/>
    <s v="T20 Sprint 22 2025"/>
    <s v="T20 Sprint 23 2025"/>
    <s v="T20 Sprint 24 2025"/>
    <s v="T20 Sprint 25 2025"/>
    <s v="T20 Sprint 26 2025"/>
    <m/>
    <m/>
    <m/>
    <m/>
    <m/>
    <s v="Cierre-De-Turno"/>
    <s v="Funcional"/>
    <s v="QA-IntegraciónV0.8"/>
    <s v="T3B20_POS"/>
    <s v="Tienda2.0"/>
    <s v="UAT"/>
    <m/>
    <m/>
    <m/>
    <s v="Daniela Soto"/>
    <d v="2025-10-02T14:17:00"/>
    <s v="v0.10"/>
    <m/>
    <m/>
    <m/>
    <x v="0"/>
    <x v="6"/>
    <m/>
    <x v="5"/>
    <x v="8"/>
    <x v="8"/>
    <s v="No encontrado"/>
    <x v="1"/>
    <x v="2"/>
    <x v="0"/>
    <x v="0"/>
    <s v=""/>
    <n v="0"/>
  </r>
  <r>
    <s v="Error"/>
    <s v="T20-1930"/>
    <n v="98875"/>
    <s v="POS - Login con usuario inválido no permite corregir."/>
    <x v="1"/>
    <x v="4"/>
    <s v="T20 Sprint 20 2025"/>
    <s v="T20 Sprint 21 2025"/>
    <s v="T20 Sprint 22 2025"/>
    <s v="T20 Sprint 23 2025"/>
    <s v="T20 Sprint 24 2025"/>
    <s v="T20 Sprint 25 2025"/>
    <s v="T20 Sprint 26 2025"/>
    <m/>
    <m/>
    <m/>
    <m/>
    <s v="Funcional"/>
    <s v="Login"/>
    <s v="QA-IntegraciónV0.8"/>
    <m/>
    <m/>
    <m/>
    <m/>
    <m/>
    <m/>
    <s v="Daniela Soto"/>
    <d v="2025-10-02T09:21:00"/>
    <m/>
    <m/>
    <m/>
    <m/>
    <x v="0"/>
    <x v="6"/>
    <m/>
    <x v="5"/>
    <x v="8"/>
    <x v="0"/>
    <s v="No encontrado"/>
    <x v="1"/>
    <x v="36"/>
    <x v="0"/>
    <x v="0"/>
    <s v=""/>
    <n v="0"/>
  </r>
  <r>
    <s v="Error"/>
    <s v="T20-1927"/>
    <n v="98650"/>
    <s v="BOT - Modal inventario no se visualiza"/>
    <x v="3"/>
    <x v="4"/>
    <s v="T20 Sprint 20 2025"/>
    <s v="T20 Sprint 21 2025"/>
    <s v="T20 Sprint 22 2025"/>
    <s v="T20 Sprint 23 2025"/>
    <s v="T20 Sprint 24 2025"/>
    <s v="T20 Sprint 25 2025"/>
    <s v="T20 Sprint 26 2025"/>
    <m/>
    <m/>
    <m/>
    <m/>
    <s v="Funcional"/>
    <s v="QA-IntegraciónV0.8"/>
    <s v="Reporte-De-Inventario"/>
    <m/>
    <m/>
    <m/>
    <m/>
    <m/>
    <m/>
    <s v="Yubisleinys Mora Vega"/>
    <d v="2025-10-01T15:04:00"/>
    <m/>
    <m/>
    <m/>
    <m/>
    <x v="1"/>
    <x v="4"/>
    <m/>
    <x v="5"/>
    <x v="8"/>
    <x v="0"/>
    <s v="No encontrado"/>
    <x v="1"/>
    <x v="20"/>
    <x v="0"/>
    <x v="0"/>
    <s v=""/>
    <n v="0"/>
  </r>
  <r>
    <s v="Error"/>
    <s v="T20-1924"/>
    <n v="98563"/>
    <s v="BOT_Evento BOT_Logout llega a Iothub con datos incorrectos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Eventos_iOT"/>
    <s v="Logout"/>
    <s v="QA-IntegraciónV0.10"/>
    <m/>
    <m/>
    <m/>
    <m/>
    <m/>
    <m/>
    <s v="Yubisleinys Mora Vega"/>
    <d v="2025-10-01T11:04:00"/>
    <s v="v0.10"/>
    <s v="v0.8"/>
    <m/>
    <m/>
    <x v="1"/>
    <x v="6"/>
    <m/>
    <x v="3"/>
    <x v="6"/>
    <x v="7"/>
    <n v="20"/>
    <x v="3"/>
    <x v="45"/>
    <x v="0"/>
    <x v="0"/>
    <s v=""/>
    <n v="0"/>
  </r>
  <r>
    <s v="Error"/>
    <s v="T20-1915"/>
    <n v="98503"/>
    <s v="BOT - Aceptar mensaje entrante falla, se debe de forzar el cierre.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Main-Dashboard"/>
    <s v="QA-IntegraciónV0.8"/>
    <s v="T3B20_BOT"/>
    <s v="Tienda2.0"/>
    <m/>
    <m/>
    <m/>
    <m/>
    <s v="Daniela Soto"/>
    <d v="2025-10-01T08:49:00"/>
    <s v="v0.10"/>
    <m/>
    <m/>
    <m/>
    <x v="1"/>
    <x v="0"/>
    <m/>
    <x v="5"/>
    <x v="8"/>
    <x v="8"/>
    <s v="No encontrado"/>
    <x v="1"/>
    <x v="17"/>
    <x v="0"/>
    <x v="0"/>
    <s v=""/>
    <n v="0"/>
  </r>
  <r>
    <s v="Error"/>
    <s v="T20-1800"/>
    <n v="97844"/>
    <s v="BOT - Toast de &quot;transferencia de productos&quot; reaparece al seleccionar otros productos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Look&amp;Feel"/>
    <s v="QA-IntegraciónV0.7"/>
    <s v="Realizar-Transferencia"/>
    <s v="T3B20_BOT"/>
    <s v="Tienda2.0"/>
    <m/>
    <m/>
    <m/>
    <m/>
    <s v="Daniela Soto"/>
    <d v="2025-09-29T09:08:00"/>
    <s v="v0.13"/>
    <m/>
    <m/>
    <m/>
    <x v="1"/>
    <x v="2"/>
    <m/>
    <x v="6"/>
    <x v="9"/>
    <x v="5"/>
    <n v="23"/>
    <x v="0"/>
    <x v="14"/>
    <x v="0"/>
    <x v="0"/>
    <s v=""/>
    <n v="0"/>
  </r>
  <r>
    <s v="Error"/>
    <s v="T20-1797"/>
    <n v="97661"/>
    <s v="POS -  opción &quot;Realizar alivio&quot;  abre modal de  &quot;Cerrar Turno&quot;"/>
    <x v="1"/>
    <x v="3"/>
    <s v="T20 Sprint 19 2025"/>
    <s v="T20 Sprint 21 2025"/>
    <s v="T20 Sprint 22 2025"/>
    <s v="T20 Sprint 23 2025"/>
    <s v="T20 Sprint 24 2025"/>
    <s v="T20 Sprint 25 2025"/>
    <s v="T20 Sprint 26 2025"/>
    <m/>
    <m/>
    <m/>
    <m/>
    <s v="Alivios"/>
    <s v="Funcional"/>
    <s v="QA-IntegraciónV0.7"/>
    <s v="T3B20_POS"/>
    <s v="Tienda2.0"/>
    <m/>
    <m/>
    <m/>
    <m/>
    <s v="Daniela Soto"/>
    <d v="2025-09-26T15:00:00"/>
    <s v="v0.13"/>
    <m/>
    <m/>
    <m/>
    <x v="0"/>
    <x v="2"/>
    <m/>
    <x v="6"/>
    <x v="9"/>
    <x v="5"/>
    <n v="23"/>
    <x v="1"/>
    <x v="5"/>
    <x v="0"/>
    <x v="0"/>
    <s v=""/>
    <n v="0"/>
  </r>
  <r>
    <s v="Error"/>
    <s v="T20-1794"/>
    <n v="97648"/>
    <s v="POS - Confirmar Realizar alivio falla"/>
    <x v="1"/>
    <x v="3"/>
    <s v="T20 Sprint 19 2025"/>
    <s v="T20 Sprint 21 2025"/>
    <s v="T20 Sprint 22 2025"/>
    <s v="T20 Sprint 23 2025"/>
    <s v="T20 Sprint 24 2025"/>
    <s v="T20 Sprint 25 2025"/>
    <s v="T20 Sprint 26 2025"/>
    <m/>
    <m/>
    <m/>
    <m/>
    <s v="Alivios"/>
    <s v="Funcional"/>
    <s v="QA-IntegraciónV0.7"/>
    <s v="T3B20_POS"/>
    <s v="Tienda2.0"/>
    <m/>
    <m/>
    <m/>
    <m/>
    <s v="Daniela Soto"/>
    <d v="2025-09-26T14:34:00"/>
    <s v="v0.10"/>
    <m/>
    <m/>
    <m/>
    <x v="0"/>
    <x v="2"/>
    <m/>
    <x v="6"/>
    <x v="9"/>
    <x v="8"/>
    <s v="No encontrado"/>
    <x v="1"/>
    <x v="5"/>
    <x v="0"/>
    <x v="0"/>
    <s v=""/>
    <n v="0"/>
  </r>
  <r>
    <s v="Error"/>
    <s v="T20-1791"/>
    <n v="97611"/>
    <s v="POS - No coincide el boton &quot;Aceptar&quot; versión de la aplicación VS Figma"/>
    <x v="2"/>
    <x v="4"/>
    <m/>
    <m/>
    <m/>
    <m/>
    <m/>
    <m/>
    <m/>
    <m/>
    <m/>
    <m/>
    <m/>
    <s v="Contenido/Datos"/>
    <s v="Inicio-De-Día"/>
    <s v="QA-EquipoMV0.7"/>
    <m/>
    <m/>
    <m/>
    <m/>
    <m/>
    <m/>
    <s v="Josue Jesus Espindola Velasco"/>
    <d v="2025-09-26T13:11:00"/>
    <s v="v0.7"/>
    <m/>
    <m/>
    <m/>
    <x v="0"/>
    <x v="6"/>
    <m/>
    <x v="6"/>
    <x v="9"/>
    <x v="9"/>
    <n v="19"/>
    <x v="4"/>
    <x v="32"/>
    <x v="0"/>
    <x v="0"/>
    <s v=""/>
    <n v="0"/>
  </r>
  <r>
    <s v="Error"/>
    <s v="T20-1755"/>
    <n v="97011"/>
    <s v="POS_Solicitud fondeo adicional - No se visualiza evento"/>
    <x v="1"/>
    <x v="3"/>
    <s v="T20 Sprint 19 2025"/>
    <s v="T20 Sprint 21 2025"/>
    <s v="T20 Sprint 22 2025"/>
    <s v="T20 Sprint 23 2025"/>
    <s v="T20 Sprint 24 2025"/>
    <s v="T20 Sprint 25 2025"/>
    <s v="T20 Sprint 26 2025"/>
    <m/>
    <m/>
    <m/>
    <m/>
    <s v="Eventos_iOT"/>
    <s v="Fondeo-Adicional"/>
    <s v="QA-IntegraciónV0.7"/>
    <s v="UAT_1_WEEK"/>
    <s v="UAT_2_WEEK"/>
    <m/>
    <m/>
    <m/>
    <m/>
    <s v="Yubisleinys Mora Vega"/>
    <d v="2025-09-24T18:29:00"/>
    <s v="v0.11"/>
    <m/>
    <m/>
    <m/>
    <x v="0"/>
    <x v="6"/>
    <m/>
    <x v="6"/>
    <x v="9"/>
    <x v="6"/>
    <n v="22"/>
    <x v="3"/>
    <x v="41"/>
    <x v="0"/>
    <x v="0"/>
    <s v=""/>
    <n v="0"/>
  </r>
  <r>
    <s v="Error"/>
    <s v="T20-1754"/>
    <n v="96997"/>
    <s v="POS_Realizar alivio - No se visualiza evento"/>
    <x v="1"/>
    <x v="3"/>
    <s v="T20 Sprint 19 2025"/>
    <s v="T20 Sprint 24 2025"/>
    <s v="T20 Sprint 25 2025"/>
    <s v="T20 Sprint 26 2025"/>
    <m/>
    <m/>
    <m/>
    <m/>
    <m/>
    <m/>
    <m/>
    <s v="Alivios"/>
    <s v="Eventos_iOT"/>
    <s v="QA-IntegraciónV0.7"/>
    <s v="UAT_2_WEEK"/>
    <m/>
    <m/>
    <m/>
    <m/>
    <m/>
    <s v="Yubisleinys Mora Vega"/>
    <d v="2025-09-24T17:41:00"/>
    <s v="v0.7"/>
    <m/>
    <m/>
    <m/>
    <x v="0"/>
    <x v="10"/>
    <m/>
    <x v="6"/>
    <x v="9"/>
    <x v="9"/>
    <n v="19"/>
    <x v="3"/>
    <x v="5"/>
    <x v="0"/>
    <x v="0"/>
    <s v=""/>
    <n v="0"/>
  </r>
  <r>
    <s v="Error"/>
    <s v="T20-1753"/>
    <n v="96996"/>
    <s v="BOT - No apareció el botón de Inicio de Día después de hacer log in "/>
    <x v="1"/>
    <x v="3"/>
    <s v="T20 Sprint 19 2025"/>
    <m/>
    <m/>
    <m/>
    <m/>
    <m/>
    <m/>
    <m/>
    <m/>
    <m/>
    <m/>
    <s v="Funcional"/>
    <s v="Inicio-De-Día"/>
    <s v="QA-EquipoMV0.7"/>
    <s v="T3B20_BOT"/>
    <s v="Tienda2.0"/>
    <m/>
    <m/>
    <m/>
    <m/>
    <s v="Daniela Rodríguez"/>
    <d v="2025-09-24T17:39:00"/>
    <s v="v0.8"/>
    <m/>
    <m/>
    <m/>
    <x v="1"/>
    <x v="0"/>
    <m/>
    <x v="6"/>
    <x v="9"/>
    <x v="7"/>
    <n v="20"/>
    <x v="1"/>
    <x v="32"/>
    <x v="0"/>
    <x v="0"/>
    <s v=""/>
    <n v="0"/>
  </r>
  <r>
    <s v="Error"/>
    <s v="T20-1752"/>
    <n v="96993"/>
    <s v="BOT – Confirmar fondeo adicional - No se visualiza evento "/>
    <x v="2"/>
    <x v="0"/>
    <s v="T20 Sprint 19 2025"/>
    <s v="T20 Sprint 25 2025"/>
    <s v="T20 Sprint 26 2025"/>
    <m/>
    <m/>
    <m/>
    <m/>
    <m/>
    <m/>
    <m/>
    <m/>
    <s v="Confirmar-Fondeo-Adicional"/>
    <s v="Eventos_iOT"/>
    <s v="QA-IntegraciónV0.7"/>
    <s v="T3B20_BOT"/>
    <s v="Tienda2.0"/>
    <s v="UAT_1_WEEK"/>
    <m/>
    <m/>
    <m/>
    <s v="Yubisleinys Mora Vega"/>
    <d v="2025-09-24T17:29:00"/>
    <s v="v0.16"/>
    <s v="v0.7"/>
    <m/>
    <m/>
    <x v="1"/>
    <x v="4"/>
    <m/>
    <x v="6"/>
    <x v="9"/>
    <x v="9"/>
    <n v="19"/>
    <x v="3"/>
    <x v="50"/>
    <x v="0"/>
    <x v="0"/>
    <s v=""/>
    <n v="0"/>
  </r>
  <r>
    <s v="Error"/>
    <s v="T20-1751"/>
    <n v="96991"/>
    <s v="BOT - Imagen de Inicio de sesión no concuerda para BOT"/>
    <x v="0"/>
    <x v="0"/>
    <m/>
    <m/>
    <m/>
    <m/>
    <m/>
    <m/>
    <m/>
    <m/>
    <m/>
    <m/>
    <m/>
    <s v="Grooming_S25"/>
    <s v="Login"/>
    <s v="Look&amp;Feel"/>
    <s v="QA-EquipoMV0.7"/>
    <s v="UAT_1_WEEK"/>
    <m/>
    <m/>
    <m/>
    <m/>
    <s v="Daniela Rodríguez"/>
    <d v="2025-09-24T17:28:00"/>
    <m/>
    <m/>
    <m/>
    <m/>
    <x v="1"/>
    <x v="0"/>
    <m/>
    <x v="6"/>
    <x v="9"/>
    <x v="0"/>
    <s v="No encontrado"/>
    <x v="0"/>
    <x v="36"/>
    <x v="0"/>
    <x v="0"/>
    <s v=""/>
    <n v="0"/>
  </r>
  <r>
    <s v="Error"/>
    <s v="T20-1750"/>
    <n v="96982"/>
    <s v="BOT - Inputs de log in no muestran el label de Usuario y contraseña"/>
    <x v="2"/>
    <x v="0"/>
    <s v="T20 Sprint 19 2025"/>
    <m/>
    <m/>
    <m/>
    <m/>
    <m/>
    <m/>
    <m/>
    <m/>
    <m/>
    <m/>
    <s v="Bug_Devuelto_v0.8"/>
    <s v="Grooming_S25"/>
    <s v="Login"/>
    <s v="Look&amp;Feel"/>
    <s v="QA-EquipoMV0.7"/>
    <s v="T3B20_BOT"/>
    <s v="Tienda2.0"/>
    <s v="UAT_1_WEEK"/>
    <m/>
    <s v="Daniela Rodríguez"/>
    <d v="2025-09-24T17:07:00"/>
    <s v="v0.8"/>
    <m/>
    <m/>
    <m/>
    <x v="1"/>
    <x v="4"/>
    <m/>
    <x v="6"/>
    <x v="9"/>
    <x v="7"/>
    <n v="20"/>
    <x v="0"/>
    <x v="36"/>
    <x v="0"/>
    <x v="0"/>
    <s v="SI"/>
    <n v="1"/>
  </r>
  <r>
    <s v="Error"/>
    <s v="T20-1749"/>
    <n v="96978"/>
    <s v="POS - El campo buscador y botón cancelar no coincide con el FIGMA"/>
    <x v="2"/>
    <x v="3"/>
    <s v="T20 Sprint 24 2025"/>
    <s v="T20 Sprint 25 2025"/>
    <s v="T20 Sprint 26 2025"/>
    <m/>
    <m/>
    <m/>
    <m/>
    <m/>
    <m/>
    <m/>
    <m/>
    <s v="Grooming"/>
    <s v="Look&amp;Feel"/>
    <s v="Main-Dashboard"/>
    <s v="QA-EquipoMV0.7"/>
    <s v="T3B20_POS"/>
    <s v="Tienda2.0"/>
    <s v="UAT_1_WEEK"/>
    <m/>
    <m/>
    <s v="Josue Jesus Espindola Velasco"/>
    <d v="2025-09-24T16:57:00"/>
    <s v="v0.14"/>
    <m/>
    <m/>
    <m/>
    <x v="0"/>
    <x v="2"/>
    <m/>
    <x v="6"/>
    <x v="9"/>
    <x v="3"/>
    <n v="24"/>
    <x v="0"/>
    <x v="17"/>
    <x v="0"/>
    <x v="0"/>
    <s v=""/>
    <n v="0"/>
  </r>
  <r>
    <s v="Error"/>
    <s v="T20-1722"/>
    <n v="96732"/>
    <s v="POS - Texto de Botón incorrecto "/>
    <x v="0"/>
    <x v="4"/>
    <m/>
    <m/>
    <m/>
    <m/>
    <m/>
    <m/>
    <m/>
    <m/>
    <m/>
    <m/>
    <m/>
    <s v="Confirmar-Inicio-De-Turno"/>
    <s v="Contenido/Datos"/>
    <s v="QA-EquipoMV0.7"/>
    <m/>
    <m/>
    <m/>
    <m/>
    <m/>
    <m/>
    <s v="Rocio Gallegos"/>
    <d v="2025-09-23T17:30:00"/>
    <m/>
    <m/>
    <m/>
    <m/>
    <x v="1"/>
    <x v="4"/>
    <m/>
    <x v="6"/>
    <x v="9"/>
    <x v="0"/>
    <s v="No encontrado"/>
    <x v="4"/>
    <x v="48"/>
    <x v="0"/>
    <x v="0"/>
    <s v=""/>
    <n v="0"/>
  </r>
  <r>
    <s v="Error"/>
    <s v="T20-1721"/>
    <n v="96711"/>
    <s v="POS - Las credenciales aparecen pre-cargadas"/>
    <x v="0"/>
    <x v="3"/>
    <s v="T20 Sprint 21 2025"/>
    <s v="T20 Sprint 22 2025"/>
    <s v="T20 Sprint 23 2025"/>
    <s v="T20 Sprint 24 2025"/>
    <s v="T20 Sprint 25 2025"/>
    <s v="T20 Sprint 26 2025"/>
    <m/>
    <m/>
    <m/>
    <m/>
    <m/>
    <s v="Configuración"/>
    <s v="Login"/>
    <s v="QA-EquipoMV0.7"/>
    <m/>
    <m/>
    <m/>
    <m/>
    <m/>
    <m/>
    <s v="Rocio Gallegos"/>
    <d v="2025-09-23T16:57:00"/>
    <s v="v0.10"/>
    <m/>
    <m/>
    <m/>
    <x v="0"/>
    <x v="4"/>
    <m/>
    <x v="6"/>
    <x v="9"/>
    <x v="8"/>
    <s v="No encontrado"/>
    <x v="2"/>
    <x v="36"/>
    <x v="0"/>
    <x v="0"/>
    <s v=""/>
    <n v="0"/>
  </r>
  <r>
    <s v="Error"/>
    <s v="T20-1685"/>
    <n v="96292"/>
    <s v="POS - Nombre incorrecto de modal &quot;Cerrar Venta&quot;"/>
    <x v="0"/>
    <x v="3"/>
    <s v="T20 Sprint 25 2025"/>
    <s v="T20 Sprint 26 2025"/>
    <m/>
    <m/>
    <m/>
    <m/>
    <m/>
    <m/>
    <m/>
    <m/>
    <m/>
    <s v="Grooming_S25"/>
    <s v="Iniciar_Venta"/>
    <s v="Look&amp;Feel"/>
    <s v="QA-EquipoMV0.7"/>
    <s v="T3B20_POS"/>
    <s v="Tienda2.0"/>
    <s v="UAT_1_WEEK"/>
    <m/>
    <m/>
    <s v="Roberto Gomez Hernandez"/>
    <d v="2025-09-22T13:02:00"/>
    <s v="v0.15"/>
    <m/>
    <m/>
    <m/>
    <x v="0"/>
    <x v="3"/>
    <m/>
    <x v="6"/>
    <x v="9"/>
    <x v="2"/>
    <n v="25"/>
    <x v="0"/>
    <x v="40"/>
    <x v="0"/>
    <x v="0"/>
    <s v=""/>
    <n v="0"/>
  </r>
  <r>
    <s v="Error"/>
    <s v="T20-1684"/>
    <n v="96268"/>
    <s v="BOT_Registro de gasto - No se visualiza evento en Iothub"/>
    <x v="1"/>
    <x v="3"/>
    <s v="T20 Sprint 19 2025"/>
    <s v="T20 Sprint 21 2025"/>
    <s v="T20 Sprint 22 2025"/>
    <s v="T20 Sprint 23 2025"/>
    <s v="T20 Sprint 24 2025"/>
    <s v="T20 Sprint 25 2025"/>
    <s v="T20 Sprint 26 2025"/>
    <m/>
    <m/>
    <m/>
    <m/>
    <s v="Eventos_iOT"/>
    <s v="QA-IntegraciónV0.10"/>
    <s v="QA-IntegraciónV0.7"/>
    <s v="Registro-de-Gastos"/>
    <s v="T3B20_BOT"/>
    <s v="Tienda2.0"/>
    <m/>
    <m/>
    <m/>
    <s v="Yubisleinys Mora Vega"/>
    <d v="2025-09-22T12:19:00"/>
    <s v="v0.10"/>
    <m/>
    <m/>
    <m/>
    <x v="1"/>
    <x v="3"/>
    <m/>
    <x v="6"/>
    <x v="9"/>
    <x v="8"/>
    <s v="No encontrado"/>
    <x v="3"/>
    <x v="27"/>
    <x v="0"/>
    <x v="0"/>
    <s v=""/>
    <n v="0"/>
  </r>
  <r>
    <s v="Error"/>
    <s v="T20-1675"/>
    <n v="95951"/>
    <s v="BOT - Toast de Transferencia de productos reaparece al seleccionar otros productos"/>
    <x v="2"/>
    <x v="0"/>
    <m/>
    <m/>
    <m/>
    <m/>
    <m/>
    <m/>
    <m/>
    <m/>
    <m/>
    <m/>
    <m/>
    <s v="Funcional"/>
    <s v="QA-IntegraciónV0.7"/>
    <s v="Realizar-Transferencia"/>
    <s v="UAT_2_WEEK"/>
    <m/>
    <m/>
    <m/>
    <m/>
    <m/>
    <s v="Daniela Soto"/>
    <d v="2025-09-19T15:30:00"/>
    <m/>
    <m/>
    <m/>
    <m/>
    <x v="1"/>
    <x v="3"/>
    <m/>
    <x v="6"/>
    <x v="9"/>
    <x v="0"/>
    <s v="No encontrado"/>
    <x v="1"/>
    <x v="14"/>
    <x v="0"/>
    <x v="0"/>
    <s v=""/>
    <n v="0"/>
  </r>
  <r>
    <s v="Error"/>
    <s v="T20-1599"/>
    <n v="95629"/>
    <s v="BOT - Tipo de gasto no se despliega correctamente ni coincide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QA-IntegraciónV0.7"/>
    <s v="Registro-de-Gastos"/>
    <s v="T3B20_BOT"/>
    <s v="Tienda2.0"/>
    <m/>
    <m/>
    <m/>
    <m/>
    <s v="Daniela Soto"/>
    <d v="2025-09-18T15:37:00"/>
    <s v="v0.13"/>
    <m/>
    <m/>
    <m/>
    <x v="1"/>
    <x v="3"/>
    <m/>
    <x v="6"/>
    <x v="9"/>
    <x v="5"/>
    <n v="23"/>
    <x v="1"/>
    <x v="27"/>
    <x v="0"/>
    <x v="0"/>
    <s v=""/>
    <n v="0"/>
  </r>
  <r>
    <s v="Error"/>
    <s v="T20-1598"/>
    <n v="95626"/>
    <s v="BOT - Registrar gastos no registra el valor ingresado"/>
    <x v="1"/>
    <x v="3"/>
    <s v="T20 Sprint 19 2025"/>
    <s v="T20 Sprint 21 2025"/>
    <s v="T20 Sprint 22 2025"/>
    <s v="T20 Sprint 23 2025"/>
    <s v="T20 Sprint 24 2025"/>
    <s v="T20 Sprint 25 2025"/>
    <s v="T20 Sprint 26 2025"/>
    <m/>
    <m/>
    <m/>
    <m/>
    <s v="Funcional"/>
    <s v="QA-IntegraciónV0.7"/>
    <s v="Registro-de-Gastos"/>
    <s v="T3B20_BOT"/>
    <s v="Tienda2.0"/>
    <m/>
    <m/>
    <m/>
    <m/>
    <s v="Daniela Soto"/>
    <d v="2025-09-18T15:28:00"/>
    <s v="v0.10"/>
    <m/>
    <m/>
    <m/>
    <x v="1"/>
    <x v="4"/>
    <m/>
    <x v="6"/>
    <x v="9"/>
    <x v="8"/>
    <s v="No encontrado"/>
    <x v="1"/>
    <x v="27"/>
    <x v="0"/>
    <x v="0"/>
    <s v=""/>
    <n v="0"/>
  </r>
  <r>
    <s v="Error"/>
    <s v="T20-1596"/>
    <n v="95592"/>
    <s v="BOT - Dashboard no refleja valores en modal &quot;Efectivo&quot;"/>
    <x v="2"/>
    <x v="3"/>
    <s v="T20 Sprint 24 2025"/>
    <s v="T20 Sprint 25 2025"/>
    <s v="T20 Sprint 26 2025"/>
    <m/>
    <m/>
    <m/>
    <m/>
    <m/>
    <m/>
    <m/>
    <m/>
    <s v="Funcional"/>
    <s v="Main-Dashboard"/>
    <s v="QA-IntegraciónV0.7"/>
    <s v="UAT_1_WEEK"/>
    <m/>
    <m/>
    <m/>
    <m/>
    <m/>
    <s v="Daniela Soto"/>
    <d v="2025-09-18T14:16:00"/>
    <s v="v0.8"/>
    <m/>
    <m/>
    <m/>
    <x v="1"/>
    <x v="6"/>
    <m/>
    <x v="6"/>
    <x v="9"/>
    <x v="7"/>
    <n v="20"/>
    <x v="1"/>
    <x v="17"/>
    <x v="0"/>
    <x v="0"/>
    <s v=""/>
    <n v="0"/>
  </r>
  <r>
    <s v="Error"/>
    <s v="T20-1591"/>
    <n v="95261"/>
    <s v="BOT - No se muestran mensajes entrantes"/>
    <x v="1"/>
    <x v="3"/>
    <s v="T20 Sprint 19 2025"/>
    <m/>
    <m/>
    <m/>
    <m/>
    <m/>
    <m/>
    <m/>
    <m/>
    <m/>
    <m/>
    <s v="Funcional"/>
    <s v="Main-Dashboard"/>
    <s v="QA-IntegraciónV0.7"/>
    <s v="T3B20_BOT"/>
    <s v="Tienda2.0"/>
    <m/>
    <m/>
    <m/>
    <m/>
    <s v="Daniela Soto"/>
    <d v="2025-09-17T15:24:00"/>
    <s v="v0.8"/>
    <m/>
    <m/>
    <m/>
    <x v="1"/>
    <x v="6"/>
    <m/>
    <x v="6"/>
    <x v="9"/>
    <x v="7"/>
    <n v="20"/>
    <x v="1"/>
    <x v="17"/>
    <x v="0"/>
    <x v="0"/>
    <s v=""/>
    <n v="0"/>
  </r>
  <r>
    <s v="Error"/>
    <s v="T20-1585"/>
    <n v="95037"/>
    <s v="POS - Artículo buscado permanece fijo en la barra de búsqueda"/>
    <x v="2"/>
    <x v="3"/>
    <m/>
    <m/>
    <m/>
    <m/>
    <m/>
    <m/>
    <m/>
    <m/>
    <m/>
    <m/>
    <m/>
    <s v="Buscar-Artículo"/>
    <s v="Funcional"/>
    <s v="QA-IntegraciónV0.7"/>
    <s v="UAT_1_WEEK"/>
    <m/>
    <m/>
    <m/>
    <m/>
    <m/>
    <s v="Daniela Soto"/>
    <d v="2025-09-16T14:46:00"/>
    <m/>
    <m/>
    <m/>
    <m/>
    <x v="0"/>
    <x v="5"/>
    <m/>
    <x v="6"/>
    <x v="9"/>
    <x v="0"/>
    <s v="No encontrado"/>
    <x v="1"/>
    <x v="47"/>
    <x v="0"/>
    <x v="0"/>
    <s v=""/>
    <n v="0"/>
  </r>
  <r>
    <s v="Error"/>
    <s v="T20-1533"/>
    <n v="94691"/>
    <s v="POS - El error se origina en el evento POS_Login capturado en OITHUB, y se mantiene en RowData y Cosmos, afectando la consistencia de la información."/>
    <x v="1"/>
    <x v="3"/>
    <s v="T20 Sprint 18 2025"/>
    <s v="T20 Sprint 19 2025"/>
    <m/>
    <m/>
    <m/>
    <m/>
    <m/>
    <m/>
    <m/>
    <m/>
    <m/>
    <s v="doc_ludo"/>
    <s v="Eventos_iOT"/>
    <s v="Login"/>
    <s v="QA-IntegraciónV0.6"/>
    <s v="T3B20_BOT"/>
    <s v="Tienda2.0"/>
    <m/>
    <m/>
    <m/>
    <s v="Yubisleinys Mora Vega"/>
    <d v="2025-09-14T15:44:00"/>
    <s v="v0.5"/>
    <s v="v0.6"/>
    <s v="v0.7"/>
    <m/>
    <x v="0"/>
    <x v="5"/>
    <m/>
    <x v="7"/>
    <x v="10"/>
    <x v="9"/>
    <n v="19"/>
    <x v="3"/>
    <x v="36"/>
    <x v="0"/>
    <x v="0"/>
    <s v=""/>
    <n v="0"/>
  </r>
  <r>
    <s v="Error"/>
    <s v="T20-1508"/>
    <n v="94631"/>
    <s v="POS_INICIO DE TURNO - No se visualiza evento"/>
    <x v="1"/>
    <x v="3"/>
    <s v="T20 Sprint 18 2025"/>
    <s v="T20 Sprint 19 2025"/>
    <m/>
    <m/>
    <m/>
    <m/>
    <m/>
    <m/>
    <m/>
    <m/>
    <m/>
    <s v="doc_ludo"/>
    <s v="Eventos_iOT"/>
    <s v="Inicio-De-Turno"/>
    <s v="QA-IntegraciónV0.6"/>
    <s v="T3B20_BOT"/>
    <s v="Tienda2.0"/>
    <m/>
    <m/>
    <m/>
    <s v="Yubisleinys Mora Vega"/>
    <d v="2025-09-14T03:05:00"/>
    <s v="v0.5"/>
    <s v="v0.6"/>
    <s v="v0.7"/>
    <m/>
    <x v="0"/>
    <x v="8"/>
    <m/>
    <x v="7"/>
    <x v="10"/>
    <x v="9"/>
    <n v="19"/>
    <x v="3"/>
    <x v="31"/>
    <x v="0"/>
    <x v="0"/>
    <s v=""/>
    <n v="0"/>
  </r>
  <r>
    <s v="Error"/>
    <s v="T20-1506"/>
    <n v="94628"/>
    <s v="POS_INICIO DE TURNO - No se visualiza evento"/>
    <x v="1"/>
    <x v="4"/>
    <m/>
    <m/>
    <m/>
    <m/>
    <m/>
    <m/>
    <m/>
    <m/>
    <m/>
    <m/>
    <m/>
    <s v="Confirmar-Inicio-De-Turno"/>
    <s v="Eventos_iOT"/>
    <s v="QA-IntegraciónV0.6"/>
    <m/>
    <m/>
    <m/>
    <m/>
    <m/>
    <m/>
    <s v="Yubisleinys Mora Vega"/>
    <d v="2025-09-13T23:03:00"/>
    <s v="v0.6"/>
    <s v="v0.7"/>
    <m/>
    <m/>
    <x v="0"/>
    <x v="10"/>
    <m/>
    <x v="7"/>
    <x v="10"/>
    <x v="9"/>
    <n v="19"/>
    <x v="3"/>
    <x v="48"/>
    <x v="0"/>
    <x v="0"/>
    <s v=""/>
    <n v="0"/>
  </r>
  <r>
    <s v="Error"/>
    <s v="T20-1497"/>
    <n v="94362"/>
    <s v="BOT_End Store-Day - No se visualiza evento"/>
    <x v="1"/>
    <x v="3"/>
    <s v="T20 Sprint 18 2025"/>
    <s v="T20 Sprint 19 2025"/>
    <m/>
    <m/>
    <m/>
    <m/>
    <m/>
    <m/>
    <m/>
    <m/>
    <m/>
    <s v="Cierre-De-Turno"/>
    <s v="doc_ludo"/>
    <s v="Eventos_iOT"/>
    <s v="QA-IntegraciónV0.6"/>
    <s v="T3B20_BOT"/>
    <s v="Tienda2.0"/>
    <m/>
    <m/>
    <m/>
    <s v="Yubisleinys Mora Vega"/>
    <d v="2025-09-12T10:36:00"/>
    <s v="v0.5"/>
    <s v="v0.6"/>
    <s v="v0.7"/>
    <m/>
    <x v="1"/>
    <x v="6"/>
    <m/>
    <x v="7"/>
    <x v="10"/>
    <x v="9"/>
    <n v="19"/>
    <x v="3"/>
    <x v="2"/>
    <x v="0"/>
    <x v="0"/>
    <s v=""/>
    <n v="0"/>
  </r>
  <r>
    <s v="Error"/>
    <s v="T20-1496"/>
    <n v="94358"/>
    <s v="POS Close Shift - No se visualiza evento"/>
    <x v="1"/>
    <x v="3"/>
    <s v="T20 Sprint 18 2025"/>
    <s v="T20 Sprint 19 2025"/>
    <m/>
    <m/>
    <m/>
    <m/>
    <m/>
    <m/>
    <m/>
    <m/>
    <m/>
    <s v="Cierre-De-Día"/>
    <s v="doc_ludo"/>
    <s v="Eventos_iOT"/>
    <s v="QA-IntegraciónV0.6"/>
    <s v="T3B20_BOT"/>
    <s v="Tienda2.0"/>
    <m/>
    <m/>
    <m/>
    <s v="Yubisleinys Mora Vega"/>
    <d v="2025-09-12T10:34:00"/>
    <s v="v0.5"/>
    <s v="v0.6"/>
    <m/>
    <m/>
    <x v="1"/>
    <x v="3"/>
    <m/>
    <x v="7"/>
    <x v="10"/>
    <x v="10"/>
    <n v="18"/>
    <x v="3"/>
    <x v="46"/>
    <x v="0"/>
    <x v="0"/>
    <s v=""/>
    <n v="0"/>
  </r>
  <r>
    <s v="Error"/>
    <s v="T20-1495"/>
    <n v="94335"/>
    <s v="POS – Logout - No se visualiza evento "/>
    <x v="1"/>
    <x v="3"/>
    <s v="T20 Sprint 18 2025"/>
    <s v="T20 Sprint 19 2025"/>
    <m/>
    <m/>
    <m/>
    <m/>
    <m/>
    <m/>
    <m/>
    <m/>
    <m/>
    <s v="doc_ludo"/>
    <s v="Eventos_iOT"/>
    <s v="Logout"/>
    <s v="QA-IntegraciónV0.6"/>
    <s v="T3B20_BOT"/>
    <s v="Tienda2.0"/>
    <m/>
    <m/>
    <m/>
    <s v="Yubisleinys Mora Vega"/>
    <d v="2025-09-12T09:49:00"/>
    <s v="v0.5"/>
    <s v="v0.6"/>
    <s v="v0.7"/>
    <m/>
    <x v="0"/>
    <x v="7"/>
    <m/>
    <x v="7"/>
    <x v="10"/>
    <x v="9"/>
    <n v="19"/>
    <x v="3"/>
    <x v="45"/>
    <x v="0"/>
    <x v="0"/>
    <s v=""/>
    <n v="0"/>
  </r>
  <r>
    <s v="Error"/>
    <s v="T20-1494"/>
    <n v="94311"/>
    <s v="BOT – Logout - No se visualiza evento "/>
    <x v="1"/>
    <x v="3"/>
    <s v="T20 Sprint 19 2025"/>
    <m/>
    <m/>
    <m/>
    <m/>
    <m/>
    <m/>
    <m/>
    <m/>
    <m/>
    <m/>
    <s v="doc_ludo"/>
    <s v="Eventos_iOT"/>
    <s v="Logout"/>
    <s v="QA-IntegraciónV0.6"/>
    <s v="T3B20_BOT"/>
    <s v="Tienda2.0"/>
    <m/>
    <m/>
    <m/>
    <s v="Yubisleinys Mora Vega"/>
    <d v="2025-09-12T08:35:00"/>
    <s v="v0.8"/>
    <m/>
    <m/>
    <m/>
    <x v="1"/>
    <x v="4"/>
    <m/>
    <x v="7"/>
    <x v="10"/>
    <x v="7"/>
    <n v="20"/>
    <x v="3"/>
    <x v="45"/>
    <x v="0"/>
    <x v="0"/>
    <s v=""/>
    <n v="0"/>
  </r>
  <r>
    <s v="Error"/>
    <s v="T20-1471"/>
    <n v="93423"/>
    <s v="BOT - Error en tabla de Productos - Nombre de columnas no son legibles"/>
    <x v="2"/>
    <x v="0"/>
    <m/>
    <m/>
    <m/>
    <m/>
    <m/>
    <m/>
    <m/>
    <m/>
    <m/>
    <m/>
    <m/>
    <s v="Dashboard-Productos"/>
    <s v="Funcional"/>
    <s v="QA-IntegraciónV0.6"/>
    <s v="UAT_1_WEEK"/>
    <m/>
    <m/>
    <m/>
    <m/>
    <m/>
    <s v="Daniela Soto"/>
    <d v="2025-09-08T16:49:00"/>
    <m/>
    <m/>
    <m/>
    <m/>
    <x v="1"/>
    <x v="7"/>
    <m/>
    <x v="7"/>
    <x v="10"/>
    <x v="0"/>
    <s v="No encontrado"/>
    <x v="1"/>
    <x v="16"/>
    <x v="0"/>
    <x v="0"/>
    <s v=""/>
    <n v="0"/>
  </r>
  <r>
    <s v="Error"/>
    <s v="T20-1469"/>
    <n v="93413"/>
    <s v="POS - Checar precio se cierra fuera del modal"/>
    <x v="2"/>
    <x v="3"/>
    <s v="T20 Sprint 25 2025"/>
    <s v="T20 Sprint 26 2025"/>
    <m/>
    <m/>
    <m/>
    <m/>
    <m/>
    <m/>
    <m/>
    <m/>
    <m/>
    <s v="Funcional"/>
    <s v="Iniciar_Venta"/>
    <s v="QA-IntegraciónV0.6"/>
    <s v="T3B20_POS"/>
    <s v="Tienda2.0"/>
    <s v="UAT_1_WEEK"/>
    <m/>
    <m/>
    <m/>
    <s v="Daniela Soto"/>
    <d v="2025-09-08T16:20:00"/>
    <s v="v0.15"/>
    <m/>
    <m/>
    <m/>
    <x v="0"/>
    <x v="4"/>
    <m/>
    <x v="7"/>
    <x v="10"/>
    <x v="2"/>
    <n v="25"/>
    <x v="1"/>
    <x v="40"/>
    <x v="0"/>
    <x v="0"/>
    <s v=""/>
    <n v="0"/>
  </r>
  <r>
    <s v="Error"/>
    <s v="T20-1465"/>
    <n v="93369"/>
    <s v="BOT - Pantalla Efectivo muestra otras opciones "/>
    <x v="1"/>
    <x v="3"/>
    <s v="T20 Sprint 19 2025"/>
    <m/>
    <m/>
    <m/>
    <m/>
    <m/>
    <m/>
    <m/>
    <m/>
    <m/>
    <m/>
    <s v="Dashboard-Efectivo"/>
    <s v="Funcional"/>
    <s v="QA-IntegraciónV0.6"/>
    <s v="T3B20_BOT"/>
    <s v="Tienda2.0"/>
    <m/>
    <m/>
    <m/>
    <m/>
    <s v="Daniela Soto"/>
    <d v="2025-09-08T13:26:00"/>
    <s v="v0.8"/>
    <m/>
    <m/>
    <m/>
    <x v="1"/>
    <x v="7"/>
    <m/>
    <x v="7"/>
    <x v="10"/>
    <x v="7"/>
    <n v="20"/>
    <x v="1"/>
    <x v="26"/>
    <x v="0"/>
    <x v="0"/>
    <s v=""/>
    <n v="0"/>
  </r>
  <r>
    <s v="Error"/>
    <s v="T20-1453"/>
    <n v="92954"/>
    <s v="POS - Se puede bloquear sesión (Ctrl X) Sin haber iniciado sesión"/>
    <x v="2"/>
    <x v="0"/>
    <m/>
    <m/>
    <m/>
    <m/>
    <m/>
    <m/>
    <m/>
    <m/>
    <m/>
    <m/>
    <m/>
    <s v="Bloqueo-De-Sesión"/>
    <s v="Funcional"/>
    <s v="QA-IntegraciónV0.6"/>
    <s v="UAT_1_WEEK"/>
    <m/>
    <m/>
    <m/>
    <m/>
    <m/>
    <s v="Daniela Soto"/>
    <d v="2025-09-05T06:33:00"/>
    <m/>
    <m/>
    <m/>
    <m/>
    <x v="0"/>
    <x v="7"/>
    <m/>
    <x v="7"/>
    <x v="10"/>
    <x v="0"/>
    <s v="No encontrado"/>
    <x v="1"/>
    <x v="35"/>
    <x v="0"/>
    <x v="0"/>
    <s v=""/>
    <n v="0"/>
  </r>
  <r>
    <s v="Error"/>
    <s v="T20-1451"/>
    <n v="92831"/>
    <s v="BOT - Error en el menú desplegable desde el nombre de usuario"/>
    <x v="2"/>
    <x v="0"/>
    <m/>
    <m/>
    <m/>
    <m/>
    <m/>
    <m/>
    <m/>
    <m/>
    <m/>
    <m/>
    <m/>
    <s v="Funcional"/>
    <s v="Main-Dashboard"/>
    <s v="QA-IntegraciónV0.6"/>
    <s v="UAT_1_WEEK"/>
    <m/>
    <m/>
    <m/>
    <m/>
    <m/>
    <s v="Daniela Soto"/>
    <d v="2025-09-04T15:36:00"/>
    <m/>
    <m/>
    <m/>
    <m/>
    <x v="1"/>
    <x v="7"/>
    <m/>
    <x v="7"/>
    <x v="10"/>
    <x v="0"/>
    <s v="No encontrado"/>
    <x v="1"/>
    <x v="17"/>
    <x v="0"/>
    <x v="0"/>
    <s v=""/>
    <n v="0"/>
  </r>
  <r>
    <s v="Error"/>
    <s v="T20-1450"/>
    <n v="92821"/>
    <s v="BOT - Falta info en modal &quot;Cierre de turno&quot;"/>
    <x v="2"/>
    <x v="0"/>
    <s v="T20 Sprint 21 2025"/>
    <s v="T20 Sprint 22 2025"/>
    <s v="T20 Sprint 23 2025"/>
    <s v="T20 Sprint 25 2025"/>
    <s v="T20 Sprint 26 2025"/>
    <m/>
    <m/>
    <m/>
    <m/>
    <m/>
    <m/>
    <s v="Bug_Devuelto_v0.13"/>
    <s v="Cierre-De-Turno"/>
    <s v="Look&amp;Feel"/>
    <s v="QA-IntegraciónV0.10.1"/>
    <s v="UAT_1_WEEK"/>
    <m/>
    <m/>
    <m/>
    <m/>
    <s v="Daniela Soto"/>
    <d v="2025-09-04T15:06:00"/>
    <m/>
    <m/>
    <m/>
    <m/>
    <x v="1"/>
    <x v="7"/>
    <m/>
    <x v="3"/>
    <x v="5"/>
    <x v="0"/>
    <s v="No encontrado"/>
    <x v="0"/>
    <x v="2"/>
    <x v="0"/>
    <x v="0"/>
    <s v="SI"/>
    <n v="1"/>
  </r>
  <r>
    <s v="Error"/>
    <s v="T20-1431"/>
    <n v="92641"/>
    <s v="BOT - La fecha de inicio de día esta &quot;hardcodeada&quot;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Contenido/Datos"/>
    <s v="Inicio-De-Día"/>
    <s v="QA-SmokeV0.6"/>
    <s v="T3B20_BOT"/>
    <s v="Tienda2.0"/>
    <m/>
    <m/>
    <m/>
    <m/>
    <s v="Carolina Rodríguez Soriano"/>
    <d v="2025-09-04T09:55:00"/>
    <s v="v0.10"/>
    <m/>
    <m/>
    <m/>
    <x v="1"/>
    <x v="7"/>
    <m/>
    <x v="7"/>
    <x v="10"/>
    <x v="8"/>
    <s v="No encontrado"/>
    <x v="4"/>
    <x v="32"/>
    <x v="0"/>
    <x v="0"/>
    <s v=""/>
    <n v="0"/>
  </r>
  <r>
    <s v="Error"/>
    <s v="T20-1430"/>
    <n v="92636"/>
    <s v="BOT - No hay funcionalidad de cierre de día"/>
    <x v="3"/>
    <x v="3"/>
    <s v="T20 Sprint 18 2025"/>
    <s v="T20 Sprint 19 2025"/>
    <m/>
    <m/>
    <m/>
    <m/>
    <m/>
    <m/>
    <m/>
    <m/>
    <m/>
    <s v="Cierre-De-Día"/>
    <s v="Funcional"/>
    <s v="QA"/>
    <s v="QA-SmokeV0.6"/>
    <s v="T3B20_BOT"/>
    <s v="Tienda2.0"/>
    <m/>
    <m/>
    <m/>
    <s v="Carolina Rodríguez Soriano"/>
    <d v="2025-09-04T09:39:00"/>
    <s v="v0.7"/>
    <s v="v0.8"/>
    <m/>
    <m/>
    <x v="1"/>
    <x v="7"/>
    <m/>
    <x v="7"/>
    <x v="10"/>
    <x v="7"/>
    <n v="20"/>
    <x v="1"/>
    <x v="46"/>
    <x v="0"/>
    <x v="0"/>
    <s v=""/>
    <n v="0"/>
  </r>
  <r>
    <s v="Error"/>
    <s v="T20-1429"/>
    <n v="92633"/>
    <s v="BOT - Se ve dos veces el botón &quot;Cierre de día&quot;"/>
    <x v="3"/>
    <x v="3"/>
    <s v="T20 Sprint 18 2025"/>
    <s v="T20 Sprint 19 2025"/>
    <m/>
    <m/>
    <m/>
    <m/>
    <m/>
    <m/>
    <m/>
    <m/>
    <m/>
    <s v="Cierre-De-Día"/>
    <s v="Contenido/Datos"/>
    <s v="QA"/>
    <s v="QA-SmokeV0.6"/>
    <s v="T3B20_BOT"/>
    <s v="Tienda2.0"/>
    <m/>
    <m/>
    <m/>
    <s v="Carolina Rodríguez Soriano"/>
    <d v="2025-09-04T09:34:00"/>
    <s v="v0.7"/>
    <m/>
    <m/>
    <m/>
    <x v="1"/>
    <x v="7"/>
    <m/>
    <x v="7"/>
    <x v="10"/>
    <x v="9"/>
    <n v="19"/>
    <x v="4"/>
    <x v="46"/>
    <x v="0"/>
    <x v="0"/>
    <s v=""/>
    <n v="0"/>
  </r>
  <r>
    <s v="Error"/>
    <s v="T20-1428"/>
    <n v="92630"/>
    <s v="BOT - Error en botón &quot;Aceptar&quot; Cierre de día"/>
    <x v="2"/>
    <x v="3"/>
    <s v="T20 Sprint 24 2025"/>
    <s v="T20 Sprint 25 2025"/>
    <s v="T20 Sprint 26 2025"/>
    <m/>
    <m/>
    <m/>
    <m/>
    <m/>
    <m/>
    <m/>
    <m/>
    <s v="Cierre-De-Día"/>
    <s v="Funcional"/>
    <s v="QA-IntegraciónV0.6"/>
    <s v="UAT_1_WEEK"/>
    <m/>
    <m/>
    <m/>
    <m/>
    <m/>
    <s v="Daniela Soto"/>
    <d v="2025-09-04T09:30:00"/>
    <s v="v0.14"/>
    <m/>
    <m/>
    <m/>
    <x v="1"/>
    <x v="7"/>
    <m/>
    <x v="7"/>
    <x v="10"/>
    <x v="3"/>
    <n v="24"/>
    <x v="1"/>
    <x v="46"/>
    <x v="0"/>
    <x v="0"/>
    <s v=""/>
    <n v="0"/>
  </r>
  <r>
    <s v="Error"/>
    <s v="T20-1418"/>
    <n v="92327"/>
    <s v="POS - No se visualiza evento: POS_Close_Shift "/>
    <x v="3"/>
    <x v="3"/>
    <s v="T20 Sprint 18 2025"/>
    <s v="T20 Sprint 19 2025"/>
    <m/>
    <m/>
    <m/>
    <m/>
    <m/>
    <m/>
    <m/>
    <m/>
    <m/>
    <s v="Cierre-De-Turno"/>
    <s v="Contenido/Datos"/>
    <s v="QA"/>
    <s v="QA-SmokeV0.6"/>
    <m/>
    <m/>
    <m/>
    <m/>
    <m/>
    <s v="Carolina Rodríguez Soriano"/>
    <d v="2025-09-03T13:16:00"/>
    <s v="v0.7"/>
    <m/>
    <m/>
    <m/>
    <x v="0"/>
    <x v="7"/>
    <m/>
    <x v="7"/>
    <x v="10"/>
    <x v="9"/>
    <n v="19"/>
    <x v="4"/>
    <x v="2"/>
    <x v="0"/>
    <x v="0"/>
    <s v=""/>
    <n v="0"/>
  </r>
  <r>
    <s v="Error"/>
    <s v="T20-1417"/>
    <n v="92278"/>
    <s v="POS - En el evento POS_SALES_TICKET viene siempre como user: alejandra.ortega@t3b.com"/>
    <x v="1"/>
    <x v="3"/>
    <s v="T20 Sprint 18 2025"/>
    <s v="T20 Sprint 19 2025"/>
    <m/>
    <m/>
    <m/>
    <m/>
    <m/>
    <m/>
    <m/>
    <m/>
    <m/>
    <s v="Contenido/Datos"/>
    <s v="Pago-En-Efectivo"/>
    <s v="QA"/>
    <s v="QA-SmokeV0.6"/>
    <m/>
    <m/>
    <m/>
    <m/>
    <m/>
    <s v="Carolina Rodríguez Soriano"/>
    <d v="2025-09-03T12:23:00"/>
    <s v="v0.7"/>
    <m/>
    <m/>
    <m/>
    <x v="0"/>
    <x v="7"/>
    <m/>
    <x v="7"/>
    <x v="10"/>
    <x v="9"/>
    <n v="19"/>
    <x v="4"/>
    <x v="43"/>
    <x v="0"/>
    <x v="0"/>
    <s v=""/>
    <n v="0"/>
  </r>
  <r>
    <s v="Error"/>
    <s v="T20-1415"/>
    <n v="92241"/>
    <s v="POS - Botones habilitados con pantalla vacía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Iniciar_Venta"/>
    <s v="QA-IntegraciónV0.6"/>
    <s v="T3B20_POS"/>
    <s v="Tienda2.0"/>
    <m/>
    <m/>
    <m/>
    <m/>
    <s v="Daniela Soto"/>
    <d v="2025-09-03T11:10:00"/>
    <s v="v0.10.1"/>
    <s v="v0.13"/>
    <m/>
    <m/>
    <x v="0"/>
    <x v="7"/>
    <m/>
    <x v="7"/>
    <x v="10"/>
    <x v="5"/>
    <n v="23"/>
    <x v="1"/>
    <x v="40"/>
    <x v="0"/>
    <x v="0"/>
    <s v=""/>
    <n v="0"/>
  </r>
  <r>
    <s v="Error"/>
    <s v="T20-1414"/>
    <n v="92233"/>
    <s v="POS - Cancelar art - No se deben de cerrar las ventanas emergentes si se da clic fuera de ellas."/>
    <x v="2"/>
    <x v="3"/>
    <s v="T20 Sprint 24 2025"/>
    <s v="T20 Sprint 25 2025"/>
    <s v="T20 Sprint 26 2025"/>
    <m/>
    <m/>
    <m/>
    <m/>
    <m/>
    <m/>
    <m/>
    <m/>
    <s v="Cancelar-venta"/>
    <s v="Funcional"/>
    <s v="Grooming"/>
    <s v="QA-SmokeV0.6"/>
    <s v="T3B20_POS"/>
    <s v="Tienda2.0"/>
    <s v="UAT_1_WEEK"/>
    <m/>
    <m/>
    <s v="Carolina Rodríguez Soriano"/>
    <d v="2025-09-03T10:55:00"/>
    <s v="v0.14"/>
    <m/>
    <m/>
    <m/>
    <x v="0"/>
    <x v="7"/>
    <m/>
    <x v="7"/>
    <x v="10"/>
    <x v="3"/>
    <n v="24"/>
    <x v="1"/>
    <x v="38"/>
    <x v="0"/>
    <x v="0"/>
    <s v=""/>
    <n v="0"/>
  </r>
  <r>
    <s v="Error"/>
    <s v="T20-1413"/>
    <n v="92229"/>
    <s v="POS - Modal &quot;Cancelar artículos&quot; abre con credenciales cargadas"/>
    <x v="2"/>
    <x v="5"/>
    <s v="T20 Sprint 19 2025"/>
    <m/>
    <m/>
    <m/>
    <m/>
    <m/>
    <m/>
    <m/>
    <m/>
    <m/>
    <m/>
    <s v="Cancelar-venta"/>
    <s v="Funcional"/>
    <s v="QA-IntegraciónV0.6"/>
    <s v="T3B20_POS"/>
    <s v="Tienda2.0"/>
    <s v="UAT_1_WEEK"/>
    <m/>
    <m/>
    <m/>
    <s v="Daniela Soto"/>
    <d v="2025-09-03T10:52:00"/>
    <s v="v0.10.1"/>
    <s v="v0.7"/>
    <m/>
    <m/>
    <x v="0"/>
    <x v="7"/>
    <m/>
    <x v="7"/>
    <x v="10"/>
    <x v="9"/>
    <n v="19"/>
    <x v="1"/>
    <x v="38"/>
    <x v="0"/>
    <x v="0"/>
    <s v=""/>
    <n v="0"/>
  </r>
  <r>
    <s v="Error"/>
    <s v="T20-1411"/>
    <n v="92221"/>
    <s v="POS - El botón &quot;Iniciar Sesión&quot; no se habilita después de que sale un error y este fue corregido.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Funcional"/>
    <s v="Login"/>
    <s v="QA-SmokeV0.6"/>
    <s v="T3B20_POS"/>
    <s v="Tienda2.0"/>
    <m/>
    <m/>
    <m/>
    <m/>
    <s v="Carolina Rodríguez Soriano"/>
    <d v="2025-09-03T10:45:00"/>
    <s v="v0.10"/>
    <m/>
    <m/>
    <m/>
    <x v="0"/>
    <x v="7"/>
    <m/>
    <x v="7"/>
    <x v="10"/>
    <x v="8"/>
    <s v="No encontrado"/>
    <x v="1"/>
    <x v="36"/>
    <x v="0"/>
    <x v="0"/>
    <s v=""/>
    <n v="0"/>
  </r>
  <r>
    <s v="Error"/>
    <s v="T20-1410"/>
    <n v="91981"/>
    <s v="POS - Modal de Pago Mix - Cerrar venta - tiene diferencias contra el  diseño propuesto"/>
    <x v="2"/>
    <x v="3"/>
    <s v="T20 Sprint 21 2025"/>
    <s v="T20 Sprint 22 2025"/>
    <s v="T20 Sprint 23 2025"/>
    <s v="T20 Sprint 25 2025"/>
    <s v="T20 Sprint 26 2025"/>
    <m/>
    <m/>
    <m/>
    <m/>
    <m/>
    <m/>
    <s v="Grooming_S25"/>
    <s v="Look&amp;Feel"/>
    <s v="Pago-Mix"/>
    <s v="QA-SmokeV0.6"/>
    <s v="T3B20_POS"/>
    <s v="Tienda2.0"/>
    <s v="UAT_1_WEEK"/>
    <m/>
    <m/>
    <s v="Carolina Rodríguez Soriano"/>
    <d v="2025-09-02T17:10:00"/>
    <s v="v0.15"/>
    <m/>
    <m/>
    <m/>
    <x v="0"/>
    <x v="7"/>
    <m/>
    <x v="7"/>
    <x v="10"/>
    <x v="2"/>
    <n v="25"/>
    <x v="0"/>
    <x v="51"/>
    <x v="0"/>
    <x v="0"/>
    <s v=""/>
    <n v="0"/>
  </r>
  <r>
    <s v="Error"/>
    <s v="T20-1406"/>
    <n v="91815"/>
    <s v="POS - El evento no trae el valor de &quot;pos_id&quot;"/>
    <x v="1"/>
    <x v="3"/>
    <s v="T20 Sprint 18 2025"/>
    <s v="T20 Sprint 19 2025"/>
    <m/>
    <m/>
    <m/>
    <m/>
    <m/>
    <m/>
    <m/>
    <m/>
    <m/>
    <s v="Contenido/Datos"/>
    <s v="Login"/>
    <s v="QA"/>
    <s v="QA-SmokeV0.6"/>
    <m/>
    <m/>
    <m/>
    <m/>
    <m/>
    <s v="Carolina Rodríguez Soriano"/>
    <d v="2025-09-02T12:40:00"/>
    <s v="v0.7"/>
    <m/>
    <m/>
    <m/>
    <x v="0"/>
    <x v="7"/>
    <m/>
    <x v="7"/>
    <x v="10"/>
    <x v="9"/>
    <n v="19"/>
    <x v="4"/>
    <x v="36"/>
    <x v="0"/>
    <x v="0"/>
    <s v=""/>
    <n v="0"/>
  </r>
  <r>
    <s v="Error"/>
    <s v="T20-1389"/>
    <n v="91752"/>
    <s v="POS - Fondo de caja - Aceptar en lugar de Confirmar"/>
    <x v="2"/>
    <x v="3"/>
    <s v="T20 Sprint 24 2025"/>
    <s v="T20 Sprint 25 2025"/>
    <s v="T20 Sprint 26 2025"/>
    <m/>
    <m/>
    <m/>
    <m/>
    <m/>
    <m/>
    <m/>
    <m/>
    <s v="Fondeo-Inicial"/>
    <s v="Grooming"/>
    <s v="Look&amp;Feel"/>
    <s v="QA-IntegraciónV0.6"/>
    <s v="T3B20_POS"/>
    <s v="Tienda2.0"/>
    <s v="UAT_1_WEEK"/>
    <m/>
    <m/>
    <s v="Daniela Soto"/>
    <d v="2025-09-02T11:54:00"/>
    <s v="v0.14"/>
    <m/>
    <m/>
    <m/>
    <x v="0"/>
    <x v="7"/>
    <m/>
    <x v="7"/>
    <x v="10"/>
    <x v="3"/>
    <n v="24"/>
    <x v="0"/>
    <x v="52"/>
    <x v="0"/>
    <x v="0"/>
    <s v=""/>
    <n v="0"/>
  </r>
  <r>
    <s v="Error"/>
    <s v="T20-1388"/>
    <n v="91734"/>
    <s v="POS - Error en el modal de Sesión Bloqueada"/>
    <x v="0"/>
    <x v="3"/>
    <s v="T20 Sprint 25 2025"/>
    <s v="T20 Sprint 26 2025"/>
    <m/>
    <m/>
    <m/>
    <m/>
    <m/>
    <m/>
    <m/>
    <m/>
    <m/>
    <s v="Bloqueo-De-Sesión"/>
    <s v="Funcional"/>
    <s v="Grooming_S25"/>
    <s v="QA-SmokeV0.6"/>
    <s v="T3B20_POS"/>
    <s v="Tienda2.0"/>
    <s v="UAT"/>
    <s v="UAT_1_WEEK"/>
    <m/>
    <s v="Carolina Rodríguez Soriano"/>
    <d v="2025-09-02T11:27:00"/>
    <s v="v0.15"/>
    <m/>
    <m/>
    <m/>
    <x v="0"/>
    <x v="7"/>
    <m/>
    <x v="7"/>
    <x v="10"/>
    <x v="2"/>
    <n v="25"/>
    <x v="1"/>
    <x v="35"/>
    <x v="0"/>
    <x v="0"/>
    <s v=""/>
    <n v="0"/>
  </r>
  <r>
    <s v="Error"/>
    <s v="T20-1387"/>
    <n v="91730"/>
    <s v="POS - Error de idoma - Cancel Art"/>
    <x v="0"/>
    <x v="3"/>
    <s v="T20 Sprint 24 2025"/>
    <s v="T20 Sprint 25 2025"/>
    <s v="T20 Sprint 26 2025"/>
    <m/>
    <m/>
    <m/>
    <m/>
    <m/>
    <m/>
    <m/>
    <m/>
    <s v="Bugs-Idioma"/>
    <s v="Grooming_S25"/>
    <s v="Look&amp;Feel"/>
    <s v="QA-IntegraciónV0.6"/>
    <s v="T3B20_POS"/>
    <s v="Tienda2.0"/>
    <s v="UAT"/>
    <s v="UAT_1_WEEK"/>
    <m/>
    <s v="Daniela Soto"/>
    <d v="2025-09-02T11:20:00"/>
    <s v="v0.14"/>
    <m/>
    <m/>
    <m/>
    <x v="0"/>
    <x v="7"/>
    <m/>
    <x v="7"/>
    <x v="10"/>
    <x v="3"/>
    <n v="24"/>
    <x v="0"/>
    <x v="49"/>
    <x v="0"/>
    <x v="0"/>
    <s v=""/>
    <n v="0"/>
  </r>
  <r>
    <s v="Error"/>
    <s v="T20-1316"/>
    <n v="90978"/>
    <s v="BOT - Error en tablero de Merma"/>
    <x v="1"/>
    <x v="3"/>
    <s v="T20 Sprint 17 2025"/>
    <s v="T20 Sprint 18 2025"/>
    <s v="T20 Sprint 21 2025"/>
    <s v="T20 Sprint 22 2025"/>
    <s v="T20 Sprint 23 2025"/>
    <s v="T20 Sprint 24 2025"/>
    <s v="T20 Sprint 25 2025"/>
    <s v="T20 Sprint 26 2025"/>
    <m/>
    <m/>
    <m/>
    <s v="Look&amp;Feel"/>
    <s v="QA"/>
    <s v="QA-IntegraciónV0.6i"/>
    <s v="Registrar-Merma"/>
    <s v="T3B20_BOT"/>
    <s v="T3B20_Kotlin"/>
    <s v="Tienda2.0"/>
    <s v="UAT_1_WEEK"/>
    <m/>
    <s v="Daniela Soto"/>
    <d v="2025-08-29T15:23:00"/>
    <s v="v0.13"/>
    <m/>
    <m/>
    <m/>
    <x v="1"/>
    <x v="7"/>
    <m/>
    <x v="8"/>
    <x v="11"/>
    <x v="5"/>
    <n v="23"/>
    <x v="0"/>
    <x v="4"/>
    <x v="0"/>
    <x v="0"/>
    <s v=""/>
    <n v="0"/>
  </r>
  <r>
    <s v="Error"/>
    <s v="T20-1310"/>
    <n v="90484"/>
    <s v="POS - Ctrl X no bloquea sesión"/>
    <x v="1"/>
    <x v="3"/>
    <s v="T20 Sprint 17 2025"/>
    <s v="T20 Sprint 18 2025"/>
    <m/>
    <m/>
    <m/>
    <m/>
    <m/>
    <m/>
    <m/>
    <m/>
    <m/>
    <s v="Bloqueo-De-Sesión"/>
    <s v="Funcional"/>
    <s v="QA-IntegraciónV0.6i"/>
    <s v="T3B20_POS"/>
    <s v="Tienda2.0"/>
    <s v="UAT"/>
    <m/>
    <m/>
    <m/>
    <s v="Daniela Soto"/>
    <d v="2025-08-28T15:09:00"/>
    <s v="v0.6"/>
    <m/>
    <m/>
    <m/>
    <x v="0"/>
    <x v="7"/>
    <m/>
    <x v="8"/>
    <x v="11"/>
    <x v="10"/>
    <n v="18"/>
    <x v="1"/>
    <x v="35"/>
    <x v="0"/>
    <x v="0"/>
    <s v=""/>
    <n v="0"/>
  </r>
  <r>
    <s v="Error"/>
    <s v="T20-1300"/>
    <n v="90296"/>
    <s v="POS - Aparece la pantalla de Devolución sin seleccionar un producto y por default se coloca &quot;pasta dental&quot; para devolución"/>
    <x v="3"/>
    <x v="3"/>
    <s v="T20 Sprint 18 2025"/>
    <s v="T20 Sprint 19 2025"/>
    <m/>
    <m/>
    <m/>
    <m/>
    <m/>
    <m/>
    <m/>
    <m/>
    <m/>
    <s v="Devoluciones"/>
    <s v="Funcional"/>
    <s v="QA"/>
    <s v="QA-SmokeV0.6i"/>
    <m/>
    <m/>
    <m/>
    <m/>
    <m/>
    <s v="Carolina Rodríguez Soriano"/>
    <d v="2025-08-27T17:09:00"/>
    <s v="v0.7"/>
    <m/>
    <m/>
    <m/>
    <x v="0"/>
    <x v="7"/>
    <m/>
    <x v="8"/>
    <x v="11"/>
    <x v="9"/>
    <n v="19"/>
    <x v="1"/>
    <x v="24"/>
    <x v="0"/>
    <x v="0"/>
    <s v=""/>
    <n v="0"/>
  </r>
  <r>
    <s v="Error"/>
    <s v="T20-1298"/>
    <n v="90222"/>
    <s v="POS - Error en cálculo de Total - Cancelar Artículo"/>
    <x v="1"/>
    <x v="3"/>
    <s v="T20 Sprint 17 2025"/>
    <s v="T20 Sprint 18 2025"/>
    <s v="T20 Sprint 19 2025"/>
    <m/>
    <m/>
    <m/>
    <m/>
    <m/>
    <m/>
    <m/>
    <m/>
    <s v="Cancelar-venta"/>
    <s v="Funcional"/>
    <s v="QA-IntegraciónV0.6i"/>
    <m/>
    <m/>
    <m/>
    <m/>
    <m/>
    <m/>
    <s v="Daniela Soto"/>
    <d v="2025-08-27T15:08:00"/>
    <s v="v0.6"/>
    <m/>
    <m/>
    <m/>
    <x v="0"/>
    <x v="7"/>
    <m/>
    <x v="8"/>
    <x v="11"/>
    <x v="10"/>
    <n v="18"/>
    <x v="1"/>
    <x v="38"/>
    <x v="0"/>
    <x v="0"/>
    <s v=""/>
    <n v="0"/>
  </r>
  <r>
    <s v="Error"/>
    <s v="T20-1296"/>
    <n v="90190"/>
    <s v="POS - F5 abre Checar precio "/>
    <x v="2"/>
    <x v="3"/>
    <s v="T20 Sprint 17 2025"/>
    <s v="T20 Sprint 18 2025"/>
    <m/>
    <m/>
    <m/>
    <m/>
    <m/>
    <m/>
    <m/>
    <m/>
    <m/>
    <s v="Checar-Precio"/>
    <s v="Funcional"/>
    <s v="QA-SmokeV0.6i"/>
    <m/>
    <m/>
    <m/>
    <m/>
    <m/>
    <m/>
    <s v="Carolina Rodríguez Soriano"/>
    <d v="2025-08-27T13:18:00"/>
    <s v="v0.6"/>
    <m/>
    <m/>
    <m/>
    <x v="0"/>
    <x v="7"/>
    <m/>
    <x v="8"/>
    <x v="11"/>
    <x v="10"/>
    <n v="18"/>
    <x v="1"/>
    <x v="53"/>
    <x v="0"/>
    <x v="0"/>
    <s v=""/>
    <n v="0"/>
  </r>
  <r>
    <s v="Error"/>
    <s v="T20-1294"/>
    <n v="90143"/>
    <s v="POS - No funciona tecla (Esc) "/>
    <x v="2"/>
    <x v="3"/>
    <s v="T20 Sprint 17 2025"/>
    <s v="T20 Sprint 18 2025"/>
    <m/>
    <m/>
    <m/>
    <m/>
    <m/>
    <m/>
    <m/>
    <m/>
    <m/>
    <s v="Funcional"/>
    <s v="Iniciar_Venta"/>
    <s v="QA-SmokeV0.6i"/>
    <s v="T3B20_POS"/>
    <s v="Tienda2.0"/>
    <m/>
    <m/>
    <m/>
    <m/>
    <s v="Carolina Rodríguez Soriano"/>
    <d v="2025-08-27T11:31:00"/>
    <s v="v0.6"/>
    <m/>
    <m/>
    <m/>
    <x v="0"/>
    <x v="7"/>
    <m/>
    <x v="8"/>
    <x v="11"/>
    <x v="10"/>
    <n v="18"/>
    <x v="1"/>
    <x v="40"/>
    <x v="0"/>
    <x v="0"/>
    <s v=""/>
    <n v="0"/>
  </r>
  <r>
    <s v="Error"/>
    <s v="T20-1289"/>
    <n v="90021"/>
    <s v="BOT - Monto de Fondeo adicional viene con un formato incorrecto."/>
    <x v="2"/>
    <x v="3"/>
    <s v="T20 Sprint 17 2025"/>
    <s v="T20 Sprint 18 2025"/>
    <m/>
    <m/>
    <m/>
    <m/>
    <m/>
    <m/>
    <m/>
    <m/>
    <m/>
    <s v="Contenido/Datos"/>
    <s v="Fondeo-Inicial"/>
    <s v="QA-SmokeV0.6i"/>
    <s v="T3B20_BOT"/>
    <s v="T3B20_Kotlin"/>
    <s v="T3B20_POS"/>
    <s v="Tienda2.0"/>
    <m/>
    <m/>
    <s v="Carolina Rodríguez Soriano"/>
    <d v="2025-08-26T16:55:00"/>
    <s v="v0.6"/>
    <m/>
    <m/>
    <m/>
    <x v="1"/>
    <x v="7"/>
    <m/>
    <x v="8"/>
    <x v="11"/>
    <x v="10"/>
    <n v="18"/>
    <x v="4"/>
    <x v="52"/>
    <x v="0"/>
    <x v="0"/>
    <s v=""/>
    <n v="0"/>
  </r>
  <r>
    <s v="Error"/>
    <s v="T20-1287"/>
    <n v="90007"/>
    <s v="BOT - Error gramatical en toast de Alivio y Toast se queda de manera indefinida."/>
    <x v="1"/>
    <x v="0"/>
    <s v="T20 Sprint 17 2025"/>
    <s v="T20 Sprint 18 2025"/>
    <m/>
    <m/>
    <m/>
    <m/>
    <m/>
    <m/>
    <m/>
    <m/>
    <m/>
    <s v="Alivios"/>
    <s v="Bug_Devueltov0.14"/>
    <s v="Confirmar-Alivio"/>
    <s v="Funcional"/>
    <s v="QA-SmokeV0.6i"/>
    <s v="T3B20_BOT"/>
    <s v="Tienda2.0"/>
    <s v="UAT_2_WEEK"/>
    <m/>
    <s v="Carolina Rodríguez Soriano"/>
    <d v="2025-08-26T16:15:00"/>
    <s v="v0.6"/>
    <m/>
    <m/>
    <m/>
    <x v="1"/>
    <x v="7"/>
    <m/>
    <x v="8"/>
    <x v="11"/>
    <x v="10"/>
    <n v="18"/>
    <x v="1"/>
    <x v="5"/>
    <x v="0"/>
    <x v="0"/>
    <s v="SI"/>
    <n v="1"/>
  </r>
  <r>
    <s v="Error"/>
    <s v="T20-1286"/>
    <n v="89957"/>
    <s v="BOT - Toast de confirmación de fondeo inicial/adicional no desaparece."/>
    <x v="2"/>
    <x v="3"/>
    <s v="T20 Sprint 17 2025"/>
    <s v="T20 Sprint 18 2025"/>
    <m/>
    <m/>
    <m/>
    <m/>
    <m/>
    <m/>
    <m/>
    <m/>
    <m/>
    <s v="Confirmar-Inicio-De-Turno"/>
    <s v="Funcional"/>
    <s v="QA-IntegraciónV0.6i"/>
    <s v="T3B20_BOT"/>
    <s v="Tienda2.0"/>
    <m/>
    <m/>
    <m/>
    <m/>
    <s v="Daniela Soto"/>
    <d v="2025-08-26T13:40:00"/>
    <s v="v0.6"/>
    <m/>
    <m/>
    <m/>
    <x v="1"/>
    <x v="7"/>
    <m/>
    <x v="8"/>
    <x v="11"/>
    <x v="10"/>
    <n v="18"/>
    <x v="1"/>
    <x v="48"/>
    <x v="0"/>
    <x v="0"/>
    <s v=""/>
    <n v="0"/>
  </r>
  <r>
    <s v="Error"/>
    <s v="T20-1266"/>
    <n v="89615"/>
    <s v="BOT - Evento Json no se puede probar aun"/>
    <x v="2"/>
    <x v="4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m/>
    <s v="Funcional"/>
    <s v="Logout"/>
    <s v="QA-IntegraciónV0.5"/>
    <m/>
    <m/>
    <m/>
    <m/>
    <m/>
    <m/>
    <s v="Maria Pilar Albacete Occhi"/>
    <d v="2025-08-25T09:54:00"/>
    <m/>
    <m/>
    <m/>
    <m/>
    <x v="1"/>
    <x v="7"/>
    <m/>
    <x v="8"/>
    <x v="12"/>
    <x v="0"/>
    <s v="No encontrado"/>
    <x v="1"/>
    <x v="45"/>
    <x v="0"/>
    <x v="0"/>
    <s v=""/>
    <n v="0"/>
  </r>
  <r>
    <s v="Error"/>
    <s v="T20-1265"/>
    <n v="89612"/>
    <s v="BOT - Salir/Cerrar Sesion"/>
    <x v="1"/>
    <x v="3"/>
    <s v="T20 Sprint 17 2025"/>
    <s v="T20 Sprint 18 2025"/>
    <s v="T20 Sprint 19 2025"/>
    <m/>
    <m/>
    <m/>
    <m/>
    <m/>
    <m/>
    <m/>
    <m/>
    <s v="Funcional"/>
    <s v="Logout"/>
    <s v="QA-IntegraciónV0.6i"/>
    <s v="T3B20_BOT"/>
    <s v="Tienda2.0"/>
    <m/>
    <m/>
    <m/>
    <m/>
    <s v="Maria Pilar Albacete Occhi"/>
    <d v="2025-08-25T09:42:00"/>
    <s v="v0.8"/>
    <m/>
    <m/>
    <m/>
    <x v="1"/>
    <x v="7"/>
    <m/>
    <x v="8"/>
    <x v="11"/>
    <x v="7"/>
    <n v="20"/>
    <x v="1"/>
    <x v="45"/>
    <x v="0"/>
    <x v="0"/>
    <s v=""/>
    <n v="0"/>
  </r>
  <r>
    <s v="Error"/>
    <s v="T20-1263"/>
    <n v="89392"/>
    <s v="POS - Error en modal Pago de servicio - Catálogo"/>
    <x v="2"/>
    <x v="3"/>
    <s v="T20 Sprint 17 2025"/>
    <s v="T20 Sprint 18 2025"/>
    <m/>
    <m/>
    <m/>
    <m/>
    <m/>
    <m/>
    <m/>
    <m/>
    <m/>
    <s v="Look&amp;Feel"/>
    <s v="Pago-De-Servicios-Con-Catálogo"/>
    <s v="QA-IntegraciónV0.5"/>
    <s v="T3B20_POS"/>
    <s v="Tienda2.0"/>
    <m/>
    <m/>
    <m/>
    <m/>
    <s v="Daniela Soto"/>
    <d v="2025-08-22T15:17:00"/>
    <s v="v0.6"/>
    <m/>
    <m/>
    <m/>
    <x v="0"/>
    <x v="7"/>
    <m/>
    <x v="8"/>
    <x v="12"/>
    <x v="10"/>
    <n v="18"/>
    <x v="0"/>
    <x v="8"/>
    <x v="0"/>
    <x v="0"/>
    <s v=""/>
    <n v="0"/>
  </r>
  <r>
    <s v="Error"/>
    <s v="T20-1260"/>
    <n v="89363"/>
    <s v="POS - Error en modal Pago de servicio referenciado"/>
    <x v="2"/>
    <x v="4"/>
    <s v="T20 Sprint 17 2025"/>
    <s v="T20 Sprint 18 2025"/>
    <m/>
    <m/>
    <m/>
    <m/>
    <m/>
    <m/>
    <m/>
    <m/>
    <m/>
    <s v="Look&amp;Feel"/>
    <s v="Pago-De-Servicios-Con-Catálogo"/>
    <s v="QA"/>
    <s v="QA-IntegraciónV0.5"/>
    <s v="T3B20_POS"/>
    <s v="Tienda2.0"/>
    <m/>
    <m/>
    <m/>
    <s v="Daniela Soto"/>
    <d v="2025-08-22T13:22:00"/>
    <s v="v0.6"/>
    <s v="v0.7"/>
    <m/>
    <m/>
    <x v="0"/>
    <x v="7"/>
    <m/>
    <x v="8"/>
    <x v="12"/>
    <x v="9"/>
    <n v="19"/>
    <x v="0"/>
    <x v="8"/>
    <x v="0"/>
    <x v="0"/>
    <s v=""/>
    <n v="0"/>
  </r>
  <r>
    <s v="Error"/>
    <s v="T20-1249"/>
    <n v="89203"/>
    <s v="BOT - El toast se queda de manera indefinida y tapa la funcionalidad de Merma"/>
    <x v="1"/>
    <x v="3"/>
    <s v="T20 Sprint 17 2025"/>
    <s v="T20 Sprint 18 2025"/>
    <s v="T20 Sprint 19 2025"/>
    <m/>
    <m/>
    <m/>
    <m/>
    <m/>
    <m/>
    <m/>
    <m/>
    <s v="Funcional"/>
    <s v="QA"/>
    <s v="QA-SmokeV0.5"/>
    <s v="Registrar-Merma"/>
    <s v="T3B20_BOT"/>
    <s v="Tienda2.0"/>
    <m/>
    <m/>
    <m/>
    <s v="Carolina Rodríguez Soriano"/>
    <d v="2025-08-21T17:11:00"/>
    <s v="v0.7"/>
    <s v="v0.8"/>
    <m/>
    <m/>
    <x v="1"/>
    <x v="7"/>
    <m/>
    <x v="8"/>
    <x v="12"/>
    <x v="7"/>
    <n v="20"/>
    <x v="1"/>
    <x v="4"/>
    <x v="0"/>
    <x v="0"/>
    <s v=""/>
    <n v="0"/>
  </r>
  <r>
    <s v="Error"/>
    <s v="T20-1248"/>
    <n v="89184"/>
    <s v="POS - No se puede ingresar el monto del alivio"/>
    <x v="2"/>
    <x v="4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m/>
    <s v="Alivios"/>
    <s v="Funcional"/>
    <s v="QA-SmokeV0.5"/>
    <m/>
    <m/>
    <m/>
    <m/>
    <m/>
    <m/>
    <s v="Carolina Rodríguez Soriano"/>
    <d v="2025-08-21T15:50:00"/>
    <s v="v0.6"/>
    <m/>
    <m/>
    <m/>
    <x v="0"/>
    <x v="7"/>
    <m/>
    <x v="8"/>
    <x v="12"/>
    <x v="10"/>
    <n v="18"/>
    <x v="1"/>
    <x v="5"/>
    <x v="0"/>
    <x v="0"/>
    <s v=""/>
    <n v="0"/>
  </r>
  <r>
    <s v="Error"/>
    <s v="T20-1247"/>
    <n v="89157"/>
    <s v="POS - Shortcut Ctrl+N no cierra sesión."/>
    <x v="1"/>
    <x v="4"/>
    <s v="T20 Sprint 17 2025"/>
    <s v="T20 Sprint 18 2025"/>
    <m/>
    <m/>
    <m/>
    <m/>
    <m/>
    <m/>
    <m/>
    <m/>
    <m/>
    <s v="Funcional"/>
    <s v="Grooming_S25"/>
    <s v="Logout"/>
    <s v="QA-IntegraciónV0.5"/>
    <s v="Shortcuts"/>
    <s v="T3B20_POS"/>
    <s v="Tienda2.0"/>
    <s v="UAT"/>
    <s v="UAT_1_WEEK"/>
    <s v="Daniela Soto"/>
    <d v="2025-08-21T14:01:00"/>
    <s v="v0.6"/>
    <m/>
    <m/>
    <m/>
    <x v="0"/>
    <x v="7"/>
    <m/>
    <x v="8"/>
    <x v="12"/>
    <x v="10"/>
    <n v="18"/>
    <x v="1"/>
    <x v="45"/>
    <x v="0"/>
    <x v="0"/>
    <s v=""/>
    <n v="0"/>
  </r>
  <r>
    <s v="Error"/>
    <s v="T20-1226"/>
    <n v="88654"/>
    <s v="BOT - El toast de Cierre de día permanece en la pantalla de manera indefinida."/>
    <x v="2"/>
    <x v="3"/>
    <s v="T20 Sprint 17 2025"/>
    <s v="T20 Sprint 18 2025"/>
    <s v="T20 Sprint 24 2025"/>
    <s v="T20 Sprint 25 2025"/>
    <s v="T20 Sprint 26 2025"/>
    <m/>
    <m/>
    <m/>
    <m/>
    <m/>
    <m/>
    <s v="Cierre-De-Día"/>
    <s v="Funcional"/>
    <s v="QA"/>
    <s v="QA-SmokeV0.5"/>
    <s v="T3B20_BOT"/>
    <s v="T3B20_Kotlin"/>
    <s v="T3B20_POS"/>
    <s v="Tienda2.0"/>
    <s v="UAT_1_WEEK"/>
    <s v="Carolina Rodríguez Soriano"/>
    <d v="2025-08-20T16:30:00"/>
    <s v="v0.6"/>
    <m/>
    <m/>
    <m/>
    <x v="1"/>
    <x v="7"/>
    <m/>
    <x v="8"/>
    <x v="12"/>
    <x v="10"/>
    <n v="18"/>
    <x v="1"/>
    <x v="46"/>
    <x v="0"/>
    <x v="0"/>
    <s v=""/>
    <n v="0"/>
  </r>
  <r>
    <s v="Error"/>
    <s v="T20-1222"/>
    <n v="88521"/>
    <s v="POS - Error de idioma en modal &quot;Sesión Bloqueada&quot;"/>
    <x v="2"/>
    <x v="3"/>
    <s v="T20 Sprint 17 2025"/>
    <s v="T20 Sprint 18 2025"/>
    <m/>
    <m/>
    <m/>
    <m/>
    <m/>
    <m/>
    <m/>
    <m/>
    <m/>
    <s v="Bloqueo-De-Sesión"/>
    <s v="Look&amp;Feel"/>
    <s v="QA-IntegraciónV0.5"/>
    <m/>
    <m/>
    <m/>
    <m/>
    <m/>
    <m/>
    <s v="Daniela Soto"/>
    <d v="2025-08-20T10:29:00"/>
    <s v="v0.6"/>
    <m/>
    <m/>
    <m/>
    <x v="0"/>
    <x v="7"/>
    <m/>
    <x v="8"/>
    <x v="12"/>
    <x v="10"/>
    <n v="18"/>
    <x v="0"/>
    <x v="35"/>
    <x v="0"/>
    <x v="0"/>
    <s v=""/>
    <n v="0"/>
  </r>
  <r>
    <s v="Error"/>
    <s v="T20-1217"/>
    <n v="88313"/>
    <s v="POS - Error en modal Cerrar Venta - Tarjeta Bono"/>
    <x v="2"/>
    <x v="3"/>
    <s v="T20 Sprint 17 2025"/>
    <s v="T20 Sprint 18 2025"/>
    <m/>
    <m/>
    <m/>
    <m/>
    <m/>
    <m/>
    <m/>
    <m/>
    <m/>
    <s v="Iniciar_Venta"/>
    <s v="Look&amp;Feel"/>
    <s v="QA-IntegraciónV0.5"/>
    <s v="Tienda2.0"/>
    <m/>
    <m/>
    <m/>
    <m/>
    <m/>
    <s v="Daniela Soto"/>
    <d v="2025-08-19T12:57:00"/>
    <s v="v0.6"/>
    <m/>
    <m/>
    <m/>
    <x v="0"/>
    <x v="7"/>
    <m/>
    <x v="8"/>
    <x v="12"/>
    <x v="10"/>
    <n v="18"/>
    <x v="0"/>
    <x v="40"/>
    <x v="0"/>
    <x v="0"/>
    <s v=""/>
    <n v="0"/>
  </r>
  <r>
    <s v="Error"/>
    <s v="T20-1085"/>
    <n v="86768"/>
    <s v="POS - Error de idioma en botones en modal Cerrar Venta"/>
    <x v="2"/>
    <x v="3"/>
    <s v="T20 Sprint 17 2025"/>
    <s v="T20 Sprint 18 2025"/>
    <m/>
    <m/>
    <m/>
    <m/>
    <m/>
    <m/>
    <m/>
    <m/>
    <m/>
    <s v="Contenido/Datos"/>
    <s v="doc_ludo"/>
    <s v="Pago-En-Efectivo"/>
    <s v="QA-IntegraciónV0.5i"/>
    <s v="T3B20_POS"/>
    <s v="Tested_In_DEV"/>
    <s v="Tienda2.0"/>
    <m/>
    <m/>
    <s v="Daniela Soto"/>
    <d v="2025-08-14T08:52:00"/>
    <s v="v0.6"/>
    <m/>
    <m/>
    <m/>
    <x v="0"/>
    <x v="7"/>
    <m/>
    <x v="9"/>
    <x v="13"/>
    <x v="10"/>
    <n v="18"/>
    <x v="4"/>
    <x v="43"/>
    <x v="0"/>
    <x v="0"/>
    <s v=""/>
    <n v="0"/>
  </r>
  <r>
    <s v="Error"/>
    <s v="T20-1084"/>
    <n v="86764"/>
    <s v="POS - Error de idioma en &quot;Cancelar&quot; en Modal Pago directo electrónico "/>
    <x v="2"/>
    <x v="3"/>
    <s v="T20 Sprint 17 2025"/>
    <s v="T20 Sprint 18 2025"/>
    <m/>
    <m/>
    <m/>
    <m/>
    <m/>
    <m/>
    <m/>
    <m/>
    <m/>
    <s v="Contenido/Datos"/>
    <s v="Pago-Con-Tarjeta"/>
    <s v="QA-IntegraciónV0.5i"/>
    <s v="T3B20_POS"/>
    <s v="Tested_In_DEV"/>
    <s v="Tienda2.0"/>
    <m/>
    <m/>
    <m/>
    <s v="Daniela Soto"/>
    <d v="2025-08-14T08:09:00"/>
    <s v="v0.6"/>
    <m/>
    <m/>
    <m/>
    <x v="0"/>
    <x v="7"/>
    <m/>
    <x v="9"/>
    <x v="13"/>
    <x v="10"/>
    <n v="18"/>
    <x v="4"/>
    <x v="15"/>
    <x v="0"/>
    <x v="0"/>
    <s v=""/>
    <n v="0"/>
  </r>
  <r>
    <s v="Error"/>
    <s v="T20-1083"/>
    <n v="86759"/>
    <s v="POS - No se vacía la pantalla al cancelar venta"/>
    <x v="2"/>
    <x v="3"/>
    <s v="T20 Sprint 16 2025"/>
    <s v="T20 Sprint 17 2025"/>
    <s v="T20 Sprint 18 2025"/>
    <m/>
    <m/>
    <m/>
    <m/>
    <m/>
    <m/>
    <m/>
    <m/>
    <s v="Cancelar-venta"/>
    <s v="Funcional"/>
    <s v="QA-IntegraciónV0.5i"/>
    <s v="T3B20_POS"/>
    <s v="Tienda2.0"/>
    <m/>
    <m/>
    <m/>
    <m/>
    <s v="Daniela Soto"/>
    <d v="2025-08-14T07:45:00"/>
    <s v="v0.5"/>
    <m/>
    <m/>
    <m/>
    <x v="0"/>
    <x v="7"/>
    <m/>
    <x v="9"/>
    <x v="13"/>
    <x v="11"/>
    <n v="17"/>
    <x v="1"/>
    <x v="38"/>
    <x v="0"/>
    <x v="0"/>
    <s v=""/>
    <n v="0"/>
  </r>
  <r>
    <s v="Error"/>
    <s v="T20-1082"/>
    <n v="86756"/>
    <s v="POS - No se cancela Venta con shortcut "/>
    <x v="2"/>
    <x v="3"/>
    <s v="T20 Sprint 17 2025"/>
    <s v="T20 Sprint 18 2025"/>
    <m/>
    <m/>
    <m/>
    <m/>
    <m/>
    <m/>
    <m/>
    <m/>
    <m/>
    <s v="Cancelar-venta"/>
    <s v="Funcional"/>
    <s v="QA-IntegraciónV0.5i"/>
    <s v="T3B20_POS"/>
    <s v="Tested_In_DEV"/>
    <s v="Tienda2.0"/>
    <m/>
    <m/>
    <m/>
    <s v="Daniela Soto"/>
    <d v="2025-08-14T07:30:00"/>
    <s v="v0.6"/>
    <m/>
    <m/>
    <m/>
    <x v="0"/>
    <x v="7"/>
    <m/>
    <x v="9"/>
    <x v="13"/>
    <x v="10"/>
    <n v="18"/>
    <x v="1"/>
    <x v="38"/>
    <x v="0"/>
    <x v="0"/>
    <s v=""/>
    <n v="0"/>
  </r>
  <r>
    <s v="Error"/>
    <s v="T20-1079"/>
    <n v="86496"/>
    <s v="POS - No funciona tecla &quot;Enter&quot; para agregar producto después de la búsqueda."/>
    <x v="2"/>
    <x v="0"/>
    <m/>
    <m/>
    <m/>
    <m/>
    <m/>
    <m/>
    <m/>
    <m/>
    <m/>
    <m/>
    <m/>
    <s v="Atajos-Teclado"/>
    <s v="Funcional"/>
    <s v="QA-SmokeV0.5i"/>
    <s v="UAT_1_WEEK"/>
    <m/>
    <m/>
    <m/>
    <m/>
    <m/>
    <s v="Carolina Rodríguez Soriano"/>
    <d v="2025-08-13T16:02:00"/>
    <m/>
    <m/>
    <m/>
    <m/>
    <x v="0"/>
    <x v="7"/>
    <m/>
    <x v="9"/>
    <x v="13"/>
    <x v="0"/>
    <s v="No encontrado"/>
    <x v="1"/>
    <x v="22"/>
    <x v="0"/>
    <x v="0"/>
    <s v=""/>
    <n v="0"/>
  </r>
  <r>
    <s v="Error"/>
    <s v="T20-1078"/>
    <n v="86493"/>
    <s v="POS - No funciona la opción Ctrl + B"/>
    <x v="2"/>
    <x v="4"/>
    <m/>
    <m/>
    <m/>
    <m/>
    <m/>
    <m/>
    <m/>
    <m/>
    <m/>
    <m/>
    <m/>
    <s v="Buscar-Artículo"/>
    <s v="Funcional"/>
    <s v="QA-SmokeV0.5i"/>
    <m/>
    <m/>
    <m/>
    <m/>
    <m/>
    <m/>
    <s v="Carolina Rodríguez Soriano"/>
    <d v="2025-08-13T15:57:00"/>
    <m/>
    <m/>
    <m/>
    <m/>
    <x v="0"/>
    <x v="7"/>
    <m/>
    <x v="9"/>
    <x v="13"/>
    <x v="0"/>
    <s v="No encontrado"/>
    <x v="1"/>
    <x v="47"/>
    <x v="0"/>
    <x v="0"/>
    <s v=""/>
    <n v="0"/>
  </r>
  <r>
    <s v="Error"/>
    <s v="T20-1075"/>
    <n v="86368"/>
    <s v="POS - Botón dice &quot;Cancelar&quot; en lugar de &quot;Salir&quot;"/>
    <x v="2"/>
    <x v="3"/>
    <s v="T20 Sprint 16 2025"/>
    <s v="T20 Sprint 17 2025"/>
    <s v="T20 Sprint 18 2025"/>
    <m/>
    <m/>
    <m/>
    <m/>
    <m/>
    <m/>
    <m/>
    <m/>
    <s v="Contenido/Datos"/>
    <s v="Logout"/>
    <s v="QA-SmokeV0.5i"/>
    <s v="T3B20_POS"/>
    <s v="Tienda2.0"/>
    <m/>
    <m/>
    <m/>
    <m/>
    <s v="Carolina Rodríguez Soriano"/>
    <d v="2025-08-13T13:30:00"/>
    <s v="v0.5"/>
    <m/>
    <m/>
    <m/>
    <x v="0"/>
    <x v="7"/>
    <m/>
    <x v="9"/>
    <x v="13"/>
    <x v="11"/>
    <n v="17"/>
    <x v="4"/>
    <x v="45"/>
    <x v="0"/>
    <x v="0"/>
    <s v=""/>
    <n v="0"/>
  </r>
  <r>
    <s v="Error"/>
    <s v="T20-1070"/>
    <n v="86077"/>
    <s v="POS - No funciona el shortcut F4"/>
    <x v="2"/>
    <x v="4"/>
    <s v="T20 Sprint 16 2025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s v="Funcional"/>
    <s v="Iniciar_Venta"/>
    <s v="QA-SmokeV0.5i"/>
    <s v="T3B20_POS"/>
    <s v="Tienda2.0"/>
    <m/>
    <m/>
    <m/>
    <m/>
    <s v="Carolina Rodríguez Soriano"/>
    <d v="2025-08-12T16:05:00"/>
    <s v="v0.5"/>
    <m/>
    <m/>
    <m/>
    <x v="0"/>
    <x v="7"/>
    <m/>
    <x v="9"/>
    <x v="13"/>
    <x v="11"/>
    <n v="17"/>
    <x v="1"/>
    <x v="40"/>
    <x v="0"/>
    <x v="0"/>
    <s v=""/>
    <n v="0"/>
  </r>
  <r>
    <s v="Error"/>
    <s v="T20-1069"/>
    <n v="86040"/>
    <s v="POS - La ventana emergente no muestra los campos según el diseño"/>
    <x v="0"/>
    <x v="3"/>
    <s v="T20 Sprint 25 2025"/>
    <s v="T20 Sprint 26 2025"/>
    <m/>
    <m/>
    <m/>
    <m/>
    <m/>
    <m/>
    <m/>
    <m/>
    <m/>
    <s v="Checar-Precio"/>
    <s v="Funcional"/>
    <s v="QA-SmokeV0.5i"/>
    <s v="UAT_1_WEEK"/>
    <m/>
    <m/>
    <m/>
    <m/>
    <m/>
    <s v="Carolina Rodríguez Soriano"/>
    <d v="2025-08-12T15:51:00"/>
    <s v="v0.15"/>
    <m/>
    <m/>
    <m/>
    <x v="0"/>
    <x v="7"/>
    <m/>
    <x v="9"/>
    <x v="13"/>
    <x v="2"/>
    <n v="25"/>
    <x v="1"/>
    <x v="53"/>
    <x v="0"/>
    <x v="0"/>
    <s v=""/>
    <n v="0"/>
  </r>
  <r>
    <s v="Error"/>
    <s v="T20-1068"/>
    <n v="86036"/>
    <s v="POS - Inconsistencia con los campos y datos mostrados dentro de la pantalla principal de POS"/>
    <x v="2"/>
    <x v="4"/>
    <s v="T20 Sprint 16 2025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s v="Contenido/Datos"/>
    <s v="Main-Dashboard"/>
    <s v="QA-SmokeV0.5i"/>
    <s v="T3B20_POS"/>
    <s v="Tienda2.0"/>
    <m/>
    <m/>
    <m/>
    <m/>
    <s v="Carolina Rodríguez Soriano"/>
    <d v="2025-08-12T15:31:00"/>
    <s v="v0.5"/>
    <m/>
    <m/>
    <m/>
    <x v="0"/>
    <x v="7"/>
    <m/>
    <x v="9"/>
    <x v="13"/>
    <x v="11"/>
    <n v="17"/>
    <x v="4"/>
    <x v="17"/>
    <x v="0"/>
    <x v="0"/>
    <s v=""/>
    <n v="0"/>
  </r>
  <r>
    <s v="Error"/>
    <s v="T20-1051"/>
    <n v="85607"/>
    <s v="BOT - Error en Pie de camión"/>
    <x v="2"/>
    <x v="4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m/>
    <s v="Funcional"/>
    <s v="QA-IntegraciónV0.4"/>
    <s v="Recibir-Mercancía-Pie-De-Camión"/>
    <m/>
    <m/>
    <m/>
    <m/>
    <m/>
    <m/>
    <s v="Daniela Soto"/>
    <d v="2025-08-11T14:55:00"/>
    <m/>
    <m/>
    <m/>
    <m/>
    <x v="1"/>
    <x v="7"/>
    <m/>
    <x v="9"/>
    <x v="14"/>
    <x v="0"/>
    <s v="No encontrado"/>
    <x v="1"/>
    <x v="33"/>
    <x v="0"/>
    <x v="0"/>
    <s v=""/>
    <n v="0"/>
  </r>
  <r>
    <s v="Error"/>
    <s v="T20-1048"/>
    <n v="85515"/>
    <s v="BOT - Error en Modal Alivio"/>
    <x v="2"/>
    <x v="4"/>
    <s v="T20 Sprint 17 2025"/>
    <m/>
    <m/>
    <m/>
    <m/>
    <m/>
    <m/>
    <m/>
    <m/>
    <m/>
    <m/>
    <s v="Alivios"/>
    <s v="Look&amp;Feel"/>
    <s v="QA-IntegraciónV0.4"/>
    <s v="T3B20_BOT"/>
    <s v="Tested_In_DEV"/>
    <s v="Tienda2.0"/>
    <m/>
    <m/>
    <m/>
    <s v="Daniela Soto"/>
    <d v="2025-08-11T11:18:00"/>
    <s v="v0.6"/>
    <m/>
    <m/>
    <m/>
    <x v="1"/>
    <x v="7"/>
    <m/>
    <x v="9"/>
    <x v="14"/>
    <x v="10"/>
    <n v="18"/>
    <x v="0"/>
    <x v="5"/>
    <x v="0"/>
    <x v="0"/>
    <s v=""/>
    <n v="0"/>
  </r>
  <r>
    <s v="Error"/>
    <s v="T20-1039"/>
    <n v="84751"/>
    <s v="POS - Error de idioma en botones "/>
    <x v="2"/>
    <x v="3"/>
    <s v="T20 Sprint 17 2025"/>
    <s v="T20 Sprint 18 2025"/>
    <m/>
    <m/>
    <m/>
    <m/>
    <m/>
    <m/>
    <m/>
    <m/>
    <m/>
    <s v="Confirmar-Inicio-De-Turno"/>
    <s v="Contenido/Datos"/>
    <s v="QA-IntegraciónV0.4"/>
    <s v="T3B20_POS"/>
    <s v="Tested_In_DEV"/>
    <s v="Tienda2.0"/>
    <m/>
    <m/>
    <m/>
    <s v="Daniela Soto"/>
    <d v="2025-08-08T10:07:00"/>
    <s v="v0.6"/>
    <m/>
    <m/>
    <m/>
    <x v="0"/>
    <x v="7"/>
    <m/>
    <x v="9"/>
    <x v="14"/>
    <x v="10"/>
    <n v="18"/>
    <x v="4"/>
    <x v="48"/>
    <x v="0"/>
    <x v="0"/>
    <s v=""/>
    <n v="0"/>
  </r>
  <r>
    <s v="Error"/>
    <s v="T20-1036"/>
    <n v="84623"/>
    <s v="BOT - Error en botones Cancelar/Aceptar modal Fondeo Inicial"/>
    <x v="2"/>
    <x v="4"/>
    <s v="T20 Sprint 17 2025"/>
    <s v="T20 Sprint 18 2025"/>
    <m/>
    <m/>
    <m/>
    <m/>
    <m/>
    <m/>
    <m/>
    <m/>
    <m/>
    <s v="Confirmar-Inicio-De-Turno"/>
    <s v="Contenido/Datos"/>
    <s v="QA-IntegraciónV0.4"/>
    <s v="T3B20_BOT"/>
    <s v="Tested_In_DEV"/>
    <s v="Tienda2.0"/>
    <s v="UAT_1_WEEK"/>
    <m/>
    <m/>
    <s v="Daniela Soto"/>
    <d v="2025-08-08T07:46:00"/>
    <s v="v0.6"/>
    <m/>
    <m/>
    <m/>
    <x v="1"/>
    <x v="7"/>
    <m/>
    <x v="9"/>
    <x v="14"/>
    <x v="10"/>
    <n v="18"/>
    <x v="4"/>
    <x v="48"/>
    <x v="0"/>
    <x v="0"/>
    <s v=""/>
    <n v="0"/>
  </r>
  <r>
    <s v="Error"/>
    <s v="T20-1035"/>
    <n v="84620"/>
    <s v="POS - Error al cerrar turno "/>
    <x v="2"/>
    <x v="3"/>
    <s v="T20 Sprint 17 2025"/>
    <s v="T20 Sprint 18 2025"/>
    <m/>
    <m/>
    <m/>
    <m/>
    <m/>
    <m/>
    <m/>
    <m/>
    <m/>
    <s v="Cierre-De-Turno"/>
    <s v="Funcional"/>
    <s v="QA-IntegraciónV0.4"/>
    <s v="T3B20_POS"/>
    <s v="Tested_In_DEV"/>
    <s v="Tienda2.0"/>
    <m/>
    <m/>
    <m/>
    <s v="Daniela Soto"/>
    <d v="2025-08-08T06:57:00"/>
    <s v="v0.6"/>
    <m/>
    <m/>
    <m/>
    <x v="0"/>
    <x v="7"/>
    <m/>
    <x v="9"/>
    <x v="14"/>
    <x v="10"/>
    <n v="18"/>
    <x v="1"/>
    <x v="2"/>
    <x v="0"/>
    <x v="0"/>
    <s v=""/>
    <n v="0"/>
  </r>
  <r>
    <s v="Error"/>
    <s v="T20-1029"/>
    <n v="84449"/>
    <s v="POS - Error en Venta Artículo. No se completa."/>
    <x v="2"/>
    <x v="4"/>
    <s v="T20 Sprint 17 2025"/>
    <s v="T20 Sprint 18 2025"/>
    <s v="T20 Sprint 19 2025"/>
    <s v="T20 Sprint 20 2025"/>
    <s v="T20 Sprint 21 2025"/>
    <s v="T20 Sprint 22 2025"/>
    <s v="T20 Sprint 23 2025"/>
    <s v="T20 Sprint 24 2025"/>
    <s v="T20 Sprint 25 2025"/>
    <s v="T20 Sprint 26 2025"/>
    <m/>
    <s v="Funcional"/>
    <s v="Iniciar_Venta"/>
    <s v="QA-IntegraciónV0.4"/>
    <s v="T3B20_POS"/>
    <s v="Tienda2.0"/>
    <m/>
    <m/>
    <m/>
    <m/>
    <s v="Daniela Soto"/>
    <d v="2025-08-07T13:27:00"/>
    <s v="v0.6"/>
    <m/>
    <m/>
    <m/>
    <x v="0"/>
    <x v="7"/>
    <m/>
    <x v="9"/>
    <x v="14"/>
    <x v="10"/>
    <n v="18"/>
    <x v="1"/>
    <x v="40"/>
    <x v="0"/>
    <x v="0"/>
    <s v=""/>
    <n v="0"/>
  </r>
  <r>
    <s v="Error"/>
    <s v="T20-1023"/>
    <n v="84277"/>
    <s v="POS - Error en texto de pantalla &quot;Validar Cancelación&quot;"/>
    <x v="2"/>
    <x v="3"/>
    <s v="T20 Sprint 17 2025"/>
    <s v="T20 Sprint 18 2025"/>
    <m/>
    <m/>
    <m/>
    <m/>
    <m/>
    <m/>
    <m/>
    <m/>
    <m/>
    <s v="Cancelar-venta"/>
    <s v="Contenido/Datos"/>
    <s v="QA-IntegraciónV0.4"/>
    <s v="T3B20_POS"/>
    <s v="Tienda2.0"/>
    <m/>
    <m/>
    <m/>
    <m/>
    <s v="Daniela Soto"/>
    <d v="2025-08-07T09:19:00"/>
    <s v="v0.5"/>
    <m/>
    <m/>
    <m/>
    <x v="0"/>
    <x v="7"/>
    <m/>
    <x v="9"/>
    <x v="14"/>
    <x v="11"/>
    <n v="17"/>
    <x v="4"/>
    <x v="38"/>
    <x v="0"/>
    <x v="0"/>
    <s v=""/>
    <n v="0"/>
  </r>
  <r>
    <s v="Error"/>
    <s v="T20-958"/>
    <n v="83062"/>
    <s v="BOT - Se valida el usuario con Entra ID"/>
    <x v="2"/>
    <x v="3"/>
    <m/>
    <m/>
    <m/>
    <m/>
    <m/>
    <m/>
    <m/>
    <m/>
    <m/>
    <m/>
    <m/>
    <s v="doc_ludo"/>
    <s v="Funcional"/>
    <s v="Login"/>
    <s v="QA-SmokeV0.4"/>
    <s v="T3B20_BOT"/>
    <s v="T3B20_POS"/>
    <s v="Tested_In_DEV"/>
    <s v="Tienda2.0"/>
    <m/>
    <s v="Ludo"/>
    <d v="2025-08-04T05:28:00"/>
    <s v="v0.5"/>
    <m/>
    <m/>
    <m/>
    <x v="1"/>
    <x v="7"/>
    <m/>
    <x v="9"/>
    <x v="14"/>
    <x v="11"/>
    <n v="17"/>
    <x v="1"/>
    <x v="36"/>
    <x v="0"/>
    <x v="0"/>
    <s v=""/>
    <n v="0"/>
  </r>
  <r>
    <s v="Error"/>
    <s v="T20-957"/>
    <n v="83060"/>
    <s v="POS - Inicio de turno: corregir pantallas de monto de fondeo inicial"/>
    <x v="2"/>
    <x v="3"/>
    <s v="T20 Sprint 19 2025"/>
    <m/>
    <m/>
    <m/>
    <m/>
    <m/>
    <m/>
    <m/>
    <m/>
    <m/>
    <m/>
    <s v="doc_ludo"/>
    <s v="Inicio-De-Turno"/>
    <s v="Look&amp;Feel"/>
    <s v="QA-SmokeV0.4"/>
    <s v="T3B20_POS"/>
    <s v="Tienda2.0"/>
    <m/>
    <m/>
    <m/>
    <s v="Ludo"/>
    <d v="2025-08-04T05:16:00"/>
    <s v="v0.7"/>
    <m/>
    <m/>
    <m/>
    <x v="0"/>
    <x v="7"/>
    <m/>
    <x v="9"/>
    <x v="14"/>
    <x v="9"/>
    <n v="19"/>
    <x v="0"/>
    <x v="31"/>
    <x v="0"/>
    <x v="0"/>
    <s v=""/>
    <n v="0"/>
  </r>
  <r>
    <s v="Error"/>
    <s v="T20-956"/>
    <n v="83058"/>
    <s v="POS - Cierre de turno: permite ingresar monto para último alivio"/>
    <x v="2"/>
    <x v="6"/>
    <m/>
    <m/>
    <m/>
    <m/>
    <m/>
    <m/>
    <m/>
    <m/>
    <m/>
    <m/>
    <m/>
    <s v="Cierre-De-Turno"/>
    <s v="doc_ludo"/>
    <s v="Funcional"/>
    <s v="QA-SmokeV0.4"/>
    <s v="T3B20_POS"/>
    <s v="Tienda2.0"/>
    <s v="UAT_1_WEEK"/>
    <m/>
    <m/>
    <s v="Ludo"/>
    <d v="2025-08-04T04:43:00"/>
    <m/>
    <m/>
    <m/>
    <m/>
    <x v="0"/>
    <x v="7"/>
    <m/>
    <x v="9"/>
    <x v="14"/>
    <x v="0"/>
    <s v="No encontrado"/>
    <x v="1"/>
    <x v="2"/>
    <x v="0"/>
    <x v="0"/>
    <s v=""/>
    <n v="0"/>
  </r>
  <r>
    <s v="Error"/>
    <s v="T20-955"/>
    <n v="83056"/>
    <s v="POS - Cierre de turno: autenticación del encargado de turno"/>
    <x v="2"/>
    <x v="6"/>
    <m/>
    <m/>
    <m/>
    <m/>
    <m/>
    <m/>
    <m/>
    <m/>
    <m/>
    <m/>
    <m/>
    <s v="Cierre-De-Turno"/>
    <s v="doc_ludo"/>
    <s v="Funcional"/>
    <s v="QA-SmokeV0.4"/>
    <s v="T3B20_POS"/>
    <s v="Tienda2.0"/>
    <s v="UAT_1_WEEK"/>
    <m/>
    <m/>
    <s v="Ludo"/>
    <d v="2025-08-04T04:39:00"/>
    <m/>
    <m/>
    <m/>
    <m/>
    <x v="0"/>
    <x v="7"/>
    <m/>
    <x v="9"/>
    <x v="14"/>
    <x v="0"/>
    <s v="No encontrado"/>
    <x v="1"/>
    <x v="2"/>
    <x v="0"/>
    <x v="0"/>
    <s v=""/>
    <n v="0"/>
  </r>
  <r>
    <s v="Error"/>
    <s v="T20-954"/>
    <n v="83054"/>
    <s v="BOT - Toast de confirmación de cierre de día aparece con un folio [XXX] para todas las transacciones"/>
    <x v="1"/>
    <x v="0"/>
    <s v="T20 Sprint 17 2025"/>
    <s v="T20 Sprint 18 2025"/>
    <s v="T20 Sprint 21 2025"/>
    <s v="T20 Sprint 22 2025"/>
    <s v="T20 Sprint 23 2025"/>
    <s v="T20 Sprint 26 2025"/>
    <m/>
    <m/>
    <m/>
    <m/>
    <m/>
    <s v="Bug_Devuelto_v0.13"/>
    <s v="Cierre-De-Día"/>
    <s v="doc_ludo"/>
    <s v="Grooming_S25"/>
    <s v="Look&amp;Feel"/>
    <s v="QA-SmokeV0.4"/>
    <s v="T3B20_BOT"/>
    <s v="Tienda2.0"/>
    <m/>
    <s v="Maria Pilar Albacete Occhi"/>
    <d v="2025-08-04T04:07:00"/>
    <s v="v0.16"/>
    <s v="v0.5"/>
    <s v="v0.6"/>
    <s v="v0.7"/>
    <x v="1"/>
    <x v="7"/>
    <m/>
    <x v="9"/>
    <x v="14"/>
    <x v="9"/>
    <n v="19"/>
    <x v="0"/>
    <x v="46"/>
    <x v="0"/>
    <x v="0"/>
    <s v="SI"/>
    <n v="1"/>
  </r>
  <r>
    <s v="Error"/>
    <s v="T20-951"/>
    <n v="83049"/>
    <s v="POS - Generar evento de devolución (= ticket) (blocked)"/>
    <x v="2"/>
    <x v="3"/>
    <s v="T20 Sprint 18 2025"/>
    <m/>
    <m/>
    <m/>
    <m/>
    <m/>
    <m/>
    <m/>
    <m/>
    <m/>
    <m/>
    <s v="Devoluciones"/>
    <s v="Eventos_iOT"/>
    <s v="Integración"/>
    <s v="QA"/>
    <s v="QA-SmokeV0.4"/>
    <s v="T3B20_POS"/>
    <s v="Tienda2.0"/>
    <m/>
    <m/>
    <s v="Ludo"/>
    <d v="2025-08-04T03:34:00"/>
    <s v="v0.7"/>
    <m/>
    <m/>
    <m/>
    <x v="0"/>
    <x v="7"/>
    <m/>
    <x v="9"/>
    <x v="14"/>
    <x v="9"/>
    <n v="19"/>
    <x v="6"/>
    <x v="24"/>
    <x v="0"/>
    <x v="0"/>
    <s v=""/>
    <n v="0"/>
  </r>
  <r>
    <s v="Error"/>
    <s v="T20-949"/>
    <n v="83046"/>
    <s v="BOT  - Validar una declaración de merma: guardar en DB + generar evento"/>
    <x v="2"/>
    <x v="3"/>
    <s v="T20 Sprint 24 2025"/>
    <s v="T20 Sprint 25 2025"/>
    <s v="T20 Sprint 26 2025"/>
    <m/>
    <m/>
    <m/>
    <m/>
    <m/>
    <m/>
    <m/>
    <m/>
    <s v="doc_ludo"/>
    <s v="Funcional"/>
    <s v="QA-SmokeV0.4"/>
    <s v="Registrar-Merma"/>
    <s v="T3B20_BOT"/>
    <s v="Tienda2.0"/>
    <s v="UAT_1_WEEK"/>
    <m/>
    <m/>
    <s v="Ludo"/>
    <d v="2025-08-04T03:08:00"/>
    <s v="v0.14"/>
    <s v="v0.5"/>
    <m/>
    <m/>
    <x v="1"/>
    <x v="7"/>
    <m/>
    <x v="9"/>
    <x v="14"/>
    <x v="11"/>
    <n v="17"/>
    <x v="1"/>
    <x v="4"/>
    <x v="0"/>
    <x v="0"/>
    <s v=""/>
    <n v="0"/>
  </r>
  <r>
    <s v="Error"/>
    <s v="T20-948"/>
    <n v="83044"/>
    <s v="BOT  - Ingresar cantidad a mermar"/>
    <x v="2"/>
    <x v="3"/>
    <m/>
    <m/>
    <m/>
    <m/>
    <m/>
    <m/>
    <m/>
    <m/>
    <m/>
    <m/>
    <m/>
    <s v="doc_ludo"/>
    <s v="Funcional"/>
    <s v="QA-SmokeV0.4"/>
    <s v="Registrar-Merma"/>
    <s v="T3B20_BOT"/>
    <s v="Tienda2.0"/>
    <m/>
    <m/>
    <m/>
    <s v="Ludo"/>
    <d v="2025-08-04T03:06:00"/>
    <s v="v0.5"/>
    <m/>
    <m/>
    <m/>
    <x v="1"/>
    <x v="7"/>
    <m/>
    <x v="9"/>
    <x v="14"/>
    <x v="11"/>
    <n v="17"/>
    <x v="1"/>
    <x v="4"/>
    <x v="0"/>
    <x v="0"/>
    <s v=""/>
    <n v="0"/>
  </r>
  <r>
    <s v="Error"/>
    <s v="T20-947"/>
    <n v="83042"/>
    <s v="BOT - Dropdown de motivo de merma"/>
    <x v="2"/>
    <x v="6"/>
    <s v="T20 Sprint 24 2025"/>
    <s v="T20 Sprint 26 2025"/>
    <m/>
    <m/>
    <m/>
    <m/>
    <m/>
    <m/>
    <m/>
    <m/>
    <m/>
    <s v="Bug_Devueltov0.14"/>
    <s v="doc_ludo"/>
    <s v="Funcional"/>
    <s v="QA-SmokeV0.4"/>
    <s v="Registrar-Merma"/>
    <s v="T3B20_BOT"/>
    <s v="Tienda2.0"/>
    <s v="UAT_1_WEEK"/>
    <m/>
    <s v="Ludo"/>
    <d v="2025-08-04T03:05:00"/>
    <s v="v0.16"/>
    <m/>
    <m/>
    <m/>
    <x v="1"/>
    <x v="7"/>
    <m/>
    <x v="9"/>
    <x v="14"/>
    <x v="1"/>
    <n v="0"/>
    <x v="1"/>
    <x v="4"/>
    <x v="0"/>
    <x v="0"/>
    <s v="SI"/>
    <n v="1"/>
  </r>
  <r>
    <s v="Error"/>
    <s v="T20-945"/>
    <n v="83039"/>
    <s v="POS - Buscar y agregar producto"/>
    <x v="2"/>
    <x v="4"/>
    <m/>
    <m/>
    <m/>
    <m/>
    <m/>
    <m/>
    <m/>
    <m/>
    <m/>
    <m/>
    <m/>
    <s v="Buscar-Artículo"/>
    <s v="doc_ludo"/>
    <s v="Funcional"/>
    <s v="QA-SmokeV0.4"/>
    <s v="T3B20_POS"/>
    <s v="Tested_In_DEV"/>
    <s v="Tienda2.0"/>
    <m/>
    <m/>
    <s v="Ludo"/>
    <d v="2025-08-04T02:34:00"/>
    <s v="v0.5"/>
    <m/>
    <m/>
    <m/>
    <x v="0"/>
    <x v="7"/>
    <m/>
    <x v="9"/>
    <x v="14"/>
    <x v="11"/>
    <n v="17"/>
    <x v="1"/>
    <x v="47"/>
    <x v="0"/>
    <x v="0"/>
    <s v=""/>
    <n v="0"/>
  </r>
  <r>
    <s v="Error"/>
    <s v="T20-943"/>
    <n v="83035"/>
    <s v="POS - Eliminar articulo de venta: corrección del flujo"/>
    <x v="2"/>
    <x v="3"/>
    <s v="T20 Sprint 24 2025"/>
    <s v="T20 Sprint 25 2025"/>
    <s v="T20 Sprint 26 2025"/>
    <m/>
    <m/>
    <m/>
    <m/>
    <m/>
    <m/>
    <m/>
    <m/>
    <s v="doc_ludo"/>
    <s v="Eliminar-Artículo-De-Venta"/>
    <s v="Funcional"/>
    <s v="QA-SmokeV0.4"/>
    <s v="T3B20_POS"/>
    <s v="Tested_In_DEV"/>
    <s v="Tienda2.0"/>
    <s v="UAT_1_WEEK"/>
    <m/>
    <s v="Ludo"/>
    <d v="2025-08-04T02:17:00"/>
    <s v="v0.5"/>
    <m/>
    <m/>
    <m/>
    <x v="0"/>
    <x v="7"/>
    <m/>
    <x v="9"/>
    <x v="14"/>
    <x v="11"/>
    <n v="17"/>
    <x v="1"/>
    <x v="13"/>
    <x v="0"/>
    <x v="0"/>
    <s v=""/>
    <n v="0"/>
  </r>
  <r>
    <s v="Error"/>
    <s v="T20-942"/>
    <n v="83033"/>
    <s v="POS - Indicar el cambio a dar al cliente cuando paga con efectivo"/>
    <x v="2"/>
    <x v="3"/>
    <s v="T20 Sprint 18 2025"/>
    <m/>
    <m/>
    <m/>
    <m/>
    <m/>
    <m/>
    <m/>
    <m/>
    <m/>
    <m/>
    <s v="doc_ludo"/>
    <s v="Funcional"/>
    <s v="Pago-En-Efectivo"/>
    <s v="QA-SmokeV0.4"/>
    <s v="T3B20_POS"/>
    <s v="Tienda2.0"/>
    <m/>
    <m/>
    <m/>
    <s v="Ludo"/>
    <d v="2025-08-04T01:29:00"/>
    <s v="v0.6"/>
    <m/>
    <m/>
    <m/>
    <x v="0"/>
    <x v="7"/>
    <m/>
    <x v="9"/>
    <x v="14"/>
    <x v="10"/>
    <n v="18"/>
    <x v="1"/>
    <x v="43"/>
    <x v="0"/>
    <x v="0"/>
    <s v=""/>
    <n v="0"/>
  </r>
  <r>
    <s v="Error"/>
    <s v="T20-940"/>
    <n v="83030"/>
    <s v="POS - Shortcuts ya no funcionan en flujo de pago"/>
    <x v="2"/>
    <x v="0"/>
    <m/>
    <m/>
    <m/>
    <m/>
    <m/>
    <m/>
    <m/>
    <m/>
    <m/>
    <m/>
    <m/>
    <s v="doc_ludo"/>
    <s v="Funcional"/>
    <s v="Pago-En-Efectivo"/>
    <s v="QA-SmokeV0.4"/>
    <s v="Shortcuts"/>
    <s v="T3B20_POS"/>
    <s v="Tienda2.0"/>
    <s v="UAT_1_WEEK"/>
    <m/>
    <s v="Ludo"/>
    <d v="2025-08-04T01:16:00"/>
    <s v="v0.5"/>
    <m/>
    <m/>
    <m/>
    <x v="0"/>
    <x v="7"/>
    <m/>
    <x v="9"/>
    <x v="14"/>
    <x v="11"/>
    <n v="17"/>
    <x v="1"/>
    <x v="43"/>
    <x v="0"/>
    <x v="0"/>
    <s v=""/>
    <n v="0"/>
  </r>
  <r>
    <s v="Error"/>
    <s v="T20-939"/>
    <n v="83028"/>
    <s v="POS - Shortcuts invertidos para opciones de pago"/>
    <x v="2"/>
    <x v="3"/>
    <m/>
    <m/>
    <m/>
    <m/>
    <m/>
    <m/>
    <m/>
    <m/>
    <m/>
    <m/>
    <m/>
    <s v="doc_ludo"/>
    <s v="Funcional"/>
    <s v="Pago-En-Efectivo"/>
    <s v="QA-SmokeV0.4"/>
    <s v="T3B20_POS"/>
    <s v="Tested_In_DEV"/>
    <s v="Tienda2.0"/>
    <s v="UAT_1_WEEK"/>
    <m/>
    <s v="Ludo"/>
    <d v="2025-08-04T01:14:00"/>
    <s v="v0.5"/>
    <m/>
    <m/>
    <m/>
    <x v="0"/>
    <x v="7"/>
    <m/>
    <x v="9"/>
    <x v="14"/>
    <x v="11"/>
    <n v="17"/>
    <x v="1"/>
    <x v="43"/>
    <x v="0"/>
    <x v="0"/>
    <s v=""/>
    <n v="0"/>
  </r>
  <r>
    <s v="Error"/>
    <s v="T20-937"/>
    <n v="83024"/>
    <s v="POS- Los modals de autenticación validan las credenciales"/>
    <x v="2"/>
    <x v="4"/>
    <m/>
    <m/>
    <m/>
    <m/>
    <m/>
    <m/>
    <m/>
    <m/>
    <m/>
    <m/>
    <m/>
    <s v="doc_ludo"/>
    <s v="Funcional"/>
    <s v="Login"/>
    <s v="QA-SmokeV0.4"/>
    <s v="T3B20_BOT"/>
    <s v="T3B20_POS"/>
    <s v="Tested_In_DEV"/>
    <s v="Tienda2.0"/>
    <m/>
    <s v="Ludo"/>
    <d v="2025-08-04T00:54:00"/>
    <s v="v0.5"/>
    <m/>
    <m/>
    <m/>
    <x v="0"/>
    <x v="7"/>
    <m/>
    <x v="9"/>
    <x v="14"/>
    <x v="11"/>
    <n v="17"/>
    <x v="1"/>
    <x v="36"/>
    <x v="0"/>
    <x v="0"/>
    <s v=""/>
    <n v="0"/>
  </r>
  <r>
    <s v="Error"/>
    <s v="T20-936"/>
    <n v="83022"/>
    <s v="POS - No se pueden realizar multiples devoluciones"/>
    <x v="1"/>
    <x v="3"/>
    <s v="T20 Sprint 21 2025"/>
    <s v="T20 Sprint 22 2025"/>
    <s v="T20 Sprint 23 2025"/>
    <s v="T20 Sprint 24 2025"/>
    <s v="T20 Sprint 25 2025"/>
    <s v="T20 Sprint 26 2025"/>
    <m/>
    <m/>
    <m/>
    <m/>
    <m/>
    <s v="Devoluciones"/>
    <s v="Funcional"/>
    <s v="QA-SmokeV0.4"/>
    <s v="T3B20_POS"/>
    <s v="Tienda2.0"/>
    <m/>
    <m/>
    <m/>
    <m/>
    <s v="Ludo"/>
    <d v="2025-08-04T00:49:00"/>
    <s v="v0.5"/>
    <m/>
    <m/>
    <m/>
    <x v="0"/>
    <x v="7"/>
    <m/>
    <x v="9"/>
    <x v="14"/>
    <x v="11"/>
    <n v="17"/>
    <x v="1"/>
    <x v="24"/>
    <x v="0"/>
    <x v="0"/>
    <s v=""/>
    <n v="0"/>
  </r>
  <r>
    <s v="Error"/>
    <s v="T20-935"/>
    <n v="83020"/>
    <s v="POS - El shortcut F7 inicia el flujo de devoluciones"/>
    <x v="2"/>
    <x v="3"/>
    <s v="T20 Sprint 17 2025"/>
    <s v="T20 Sprint 18 2025"/>
    <m/>
    <m/>
    <m/>
    <m/>
    <m/>
    <m/>
    <m/>
    <m/>
    <m/>
    <s v="Devoluciones"/>
    <s v="Funcional"/>
    <s v="QA-SmokeV0.4"/>
    <m/>
    <m/>
    <m/>
    <m/>
    <m/>
    <m/>
    <s v="Ludo"/>
    <d v="2025-08-04T00:47:00"/>
    <s v="v0.5"/>
    <m/>
    <m/>
    <m/>
    <x v="0"/>
    <x v="7"/>
    <m/>
    <x v="9"/>
    <x v="14"/>
    <x v="11"/>
    <n v="17"/>
    <x v="1"/>
    <x v="24"/>
    <x v="0"/>
    <x v="0"/>
    <s v=""/>
    <n v="0"/>
  </r>
  <r>
    <s v="Error"/>
    <s v="T20-933"/>
    <n v="83017"/>
    <s v="POS - Shortcut F9 inicia flujo de pago de servicio"/>
    <x v="2"/>
    <x v="3"/>
    <s v="T20 Sprint 19 2025"/>
    <m/>
    <m/>
    <m/>
    <m/>
    <m/>
    <m/>
    <m/>
    <m/>
    <m/>
    <m/>
    <s v="Funcional"/>
    <s v="Pago-De-Servicios-Con-Catálogo"/>
    <s v="QA-SmokeV0.4"/>
    <s v="T3B20_POS"/>
    <s v="Tienda2.0"/>
    <m/>
    <m/>
    <m/>
    <m/>
    <s v="Ludo"/>
    <d v="2025-08-04T00:38:00"/>
    <s v="v0.7"/>
    <m/>
    <m/>
    <m/>
    <x v="0"/>
    <x v="7"/>
    <m/>
    <x v="9"/>
    <x v="14"/>
    <x v="9"/>
    <n v="19"/>
    <x v="1"/>
    <x v="8"/>
    <x v="0"/>
    <x v="0"/>
    <s v=""/>
    <n v="0"/>
  </r>
  <r>
    <s v="Error"/>
    <s v="T20-931"/>
    <n v="83014"/>
    <s v="POS - Tamaño de los modals de autenticación "/>
    <x v="2"/>
    <x v="3"/>
    <m/>
    <m/>
    <m/>
    <m/>
    <m/>
    <m/>
    <m/>
    <m/>
    <m/>
    <m/>
    <m/>
    <s v="doc_ludo"/>
    <s v="Login"/>
    <s v="Look&amp;Feel"/>
    <s v="QA-SmokeV0.4"/>
    <s v="T3B20_POS"/>
    <s v="Tested_In_DEV"/>
    <s v="Tienda2.0"/>
    <m/>
    <m/>
    <s v="Ludo"/>
    <d v="2025-08-04T00:24:00"/>
    <s v="v0.5"/>
    <m/>
    <m/>
    <m/>
    <x v="0"/>
    <x v="7"/>
    <m/>
    <x v="9"/>
    <x v="14"/>
    <x v="11"/>
    <n v="17"/>
    <x v="0"/>
    <x v="36"/>
    <x v="0"/>
    <x v="0"/>
    <s v=""/>
    <n v="0"/>
  </r>
  <r>
    <s v="Error"/>
    <s v="T20-930"/>
    <n v="83012"/>
    <s v="POS - Cierre de turno: se cierra y se termina el cierre de turno al dar clic en el botón &quot;Aceptar&quot;"/>
    <x v="2"/>
    <x v="6"/>
    <m/>
    <m/>
    <m/>
    <m/>
    <m/>
    <m/>
    <m/>
    <m/>
    <m/>
    <m/>
    <m/>
    <s v="Cierre-De-Turno"/>
    <s v="doc_ludo"/>
    <s v="Funcional"/>
    <s v="Grooming_S25"/>
    <s v="QA-SmokeV0.4"/>
    <s v="T3B20_POS"/>
    <s v="Tienda2.0"/>
    <m/>
    <m/>
    <s v="Ludo"/>
    <d v="2025-08-04T00:21:00"/>
    <m/>
    <m/>
    <m/>
    <m/>
    <x v="0"/>
    <x v="7"/>
    <m/>
    <x v="9"/>
    <x v="14"/>
    <x v="0"/>
    <s v="No encontrado"/>
    <x v="1"/>
    <x v="2"/>
    <x v="0"/>
    <x v="0"/>
    <s v=""/>
    <n v="0"/>
  </r>
  <r>
    <s v="Error"/>
    <s v="T20-929"/>
    <n v="83010"/>
    <s v="POS - Cierre de turno: con shortcut F11"/>
    <x v="2"/>
    <x v="3"/>
    <s v="T20 Sprint 19 2025"/>
    <m/>
    <m/>
    <m/>
    <m/>
    <m/>
    <m/>
    <m/>
    <m/>
    <m/>
    <m/>
    <s v="Cierre-De-Turno"/>
    <s v="doc_ludo"/>
    <s v="Funcional"/>
    <s v="QA-SmokeV0.4"/>
    <s v="T3B20_POS"/>
    <s v="Tienda2.0"/>
    <m/>
    <m/>
    <m/>
    <s v="Ludo"/>
    <d v="2025-08-04T00:18:00"/>
    <s v="v0.7"/>
    <m/>
    <m/>
    <m/>
    <x v="0"/>
    <x v="7"/>
    <m/>
    <x v="9"/>
    <x v="14"/>
    <x v="9"/>
    <n v="19"/>
    <x v="1"/>
    <x v="2"/>
    <x v="0"/>
    <x v="0"/>
    <s v=""/>
    <n v="0"/>
  </r>
  <r>
    <s v="Error"/>
    <s v="T20-927"/>
    <n v="83006"/>
    <s v="POS - Inicio de turno con shortcut CTRL-A"/>
    <x v="2"/>
    <x v="3"/>
    <s v="T20 Sprint 17 2025"/>
    <s v="T20 Sprint 18 2025"/>
    <m/>
    <m/>
    <m/>
    <m/>
    <m/>
    <m/>
    <m/>
    <m/>
    <m/>
    <s v="doc_ludo"/>
    <s v="Funcional"/>
    <s v="Inicio-De-Turno"/>
    <s v="QA-SmokeV0.4"/>
    <s v="T3B20_POS"/>
    <s v="Tienda2.0"/>
    <m/>
    <m/>
    <m/>
    <s v="Ludo"/>
    <d v="2025-08-03T23:48:00"/>
    <s v="v0.6"/>
    <m/>
    <m/>
    <m/>
    <x v="0"/>
    <x v="7"/>
    <m/>
    <x v="9"/>
    <x v="14"/>
    <x v="10"/>
    <n v="18"/>
    <x v="1"/>
    <x v="31"/>
    <x v="0"/>
    <x v="0"/>
    <s v=""/>
    <n v="0"/>
  </r>
  <r>
    <s v="Error"/>
    <s v="T20-926"/>
    <n v="82992"/>
    <s v="POS - El formato de fecha en el header del POS es DD/MM/YYYY"/>
    <x v="2"/>
    <x v="3"/>
    <m/>
    <m/>
    <m/>
    <m/>
    <m/>
    <m/>
    <m/>
    <m/>
    <m/>
    <m/>
    <m/>
    <s v="doc_ludo"/>
    <s v="Look&amp;Feel"/>
    <s v="Main-Dashboard"/>
    <s v="QA-SmokeV0.4"/>
    <s v="T3B20_POS"/>
    <s v="Tienda2.0"/>
    <m/>
    <m/>
    <m/>
    <s v="Ludo"/>
    <d v="2025-08-03T23:23:00"/>
    <s v="v0.5"/>
    <m/>
    <m/>
    <m/>
    <x v="0"/>
    <x v="7"/>
    <m/>
    <x v="9"/>
    <x v="14"/>
    <x v="11"/>
    <n v="17"/>
    <x v="0"/>
    <x v="17"/>
    <x v="0"/>
    <x v="0"/>
    <s v=""/>
    <n v="0"/>
  </r>
  <r>
    <s v="Error"/>
    <s v="T20-924"/>
    <n v="82987"/>
    <s v="POS -  Inicio+Cierre de turno: correcciones en el flujo"/>
    <x v="2"/>
    <x v="3"/>
    <s v="T20 Sprint 16 2025"/>
    <s v="T20 Sprint 17 2025"/>
    <s v="T20 Sprint 18 2025"/>
    <m/>
    <m/>
    <m/>
    <m/>
    <m/>
    <m/>
    <m/>
    <m/>
    <s v="Funcional"/>
    <s v="Inicio-De-Turno"/>
    <s v="QA"/>
    <s v="QA-SmokeV0.4"/>
    <s v="T3B20_POS"/>
    <s v="Tienda2.0"/>
    <m/>
    <m/>
    <m/>
    <s v="Ludo"/>
    <d v="2025-08-03T23:16:00"/>
    <s v="v0.7"/>
    <m/>
    <m/>
    <m/>
    <x v="0"/>
    <x v="7"/>
    <m/>
    <x v="9"/>
    <x v="14"/>
    <x v="9"/>
    <n v="19"/>
    <x v="1"/>
    <x v="31"/>
    <x v="0"/>
    <x v="0"/>
    <s v=""/>
    <n v="0"/>
  </r>
  <r>
    <s v="Error"/>
    <s v="T20-920"/>
    <n v="82982"/>
    <s v="POS - Escanear producto"/>
    <x v="2"/>
    <x v="4"/>
    <m/>
    <m/>
    <m/>
    <m/>
    <m/>
    <m/>
    <m/>
    <m/>
    <m/>
    <m/>
    <m/>
    <s v="doc_ludo"/>
    <s v="Funcional"/>
    <s v="Iniciar_Venta"/>
    <s v="QA-SmokeV0.4"/>
    <s v="T3B20_POS"/>
    <s v="Tienda2.0"/>
    <m/>
    <m/>
    <m/>
    <s v="Ludo"/>
    <d v="2025-08-03T22:51:00"/>
    <s v="v0.6"/>
    <m/>
    <m/>
    <m/>
    <x v="0"/>
    <x v="7"/>
    <m/>
    <x v="9"/>
    <x v="14"/>
    <x v="10"/>
    <n v="18"/>
    <x v="1"/>
    <x v="40"/>
    <x v="0"/>
    <x v="0"/>
    <s v=""/>
    <n v="0"/>
  </r>
  <r>
    <s v="Error"/>
    <s v="T20-916"/>
    <n v="82968"/>
    <s v="POS - Login BOT+POS: no se muestra el nombre del usuario conectado"/>
    <x v="2"/>
    <x v="3"/>
    <s v="T20 Sprint 21 2025"/>
    <s v="T20 Sprint 22 2025"/>
    <s v="T20 Sprint 23 2025"/>
    <s v="T20 Sprint 24 2025"/>
    <s v="T20 Sprint 25 2025"/>
    <s v="T20 Sprint 26 2025"/>
    <m/>
    <m/>
    <m/>
    <m/>
    <m/>
    <s v="doc_ludo"/>
    <s v="Look&amp;Feel"/>
    <s v="Main-Dashboard"/>
    <s v="QA-SmokeV0.4"/>
    <s v="T3B20_BOT"/>
    <s v="Tienda2.0"/>
    <m/>
    <m/>
    <m/>
    <s v="Ludo"/>
    <d v="2025-08-03T21:58:00"/>
    <s v="v0.10.1"/>
    <s v="v0.5"/>
    <m/>
    <m/>
    <x v="0"/>
    <x v="7"/>
    <m/>
    <x v="9"/>
    <x v="14"/>
    <x v="11"/>
    <n v="17"/>
    <x v="0"/>
    <x v="17"/>
    <x v="0"/>
    <x v="0"/>
    <s v=""/>
    <n v="0"/>
  </r>
  <r>
    <s v="Error"/>
    <s v="T20-882"/>
    <n v="82878"/>
    <s v="BOT - [B+P] Navegación y menús: correcciones "/>
    <x v="2"/>
    <x v="3"/>
    <s v="T20 Sprint 16 2025"/>
    <s v="T20 Sprint 17 2025"/>
    <s v="T20 Sprint 18 2025"/>
    <m/>
    <m/>
    <m/>
    <m/>
    <m/>
    <m/>
    <m/>
    <m/>
    <s v="Funcional"/>
    <s v="Main-Dashboard"/>
    <s v="QA-SmokeV0.4"/>
    <s v="T3B20_BOT"/>
    <s v="Tested_In_DEV"/>
    <s v="Tienda2.0"/>
    <m/>
    <m/>
    <m/>
    <s v="Ludo"/>
    <d v="2025-08-03T12:24:00"/>
    <s v="v0.5"/>
    <s v="v0.6"/>
    <m/>
    <m/>
    <x v="1"/>
    <x v="7"/>
    <m/>
    <x v="9"/>
    <x v="14"/>
    <x v="10"/>
    <n v="18"/>
    <x v="1"/>
    <x v="17"/>
    <x v="0"/>
    <x v="0"/>
    <s v=""/>
    <n v="0"/>
  </r>
  <r>
    <s v="Error"/>
    <s v="T20-879"/>
    <n v="82873"/>
    <s v="BOT - Inicio de día: correcciones en el flujo"/>
    <x v="2"/>
    <x v="3"/>
    <s v="T20 Sprint 15 2025"/>
    <s v="T20 Sprint 16 2025"/>
    <s v="T20 Sprint 17 2025"/>
    <s v="T20 Sprint 18 2025"/>
    <m/>
    <m/>
    <m/>
    <m/>
    <m/>
    <m/>
    <m/>
    <s v="Funcional"/>
    <s v="Inicio-De-Día"/>
    <s v="QA-SmokeV0.4"/>
    <s v="T3B20_BOT"/>
    <s v="Tienda2.0"/>
    <m/>
    <m/>
    <m/>
    <m/>
    <s v="Ludo"/>
    <d v="2025-08-03T12:16:00"/>
    <s v="v0.5"/>
    <m/>
    <m/>
    <m/>
    <x v="1"/>
    <x v="7"/>
    <m/>
    <x v="9"/>
    <x v="14"/>
    <x v="11"/>
    <n v="17"/>
    <x v="1"/>
    <x v="32"/>
    <x v="0"/>
    <x v="0"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2"/>
    <n v="8"/>
  </r>
  <r>
    <x v="1"/>
    <n v="0.32500000000000001"/>
    <n v="13"/>
  </r>
  <r>
    <x v="2"/>
    <n v="0.32500000000000001"/>
    <n v="13"/>
  </r>
  <r>
    <x v="3"/>
    <n v="0.15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22500000000000001"/>
    <n v="9"/>
  </r>
  <r>
    <x v="1"/>
    <n v="0.32500000000000001"/>
    <n v="13"/>
  </r>
  <r>
    <x v="2"/>
    <n v="0.32500000000000001"/>
    <n v="13"/>
  </r>
  <r>
    <x v="3"/>
    <n v="0.12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C3D82-0ED2-485E-92B0-E5E23C042AC0}" name="Tabla dinámica10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7:F54" firstHeaderRow="1" firstDataRow="2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7">
        <item x="1"/>
        <item x="0"/>
        <item x="3"/>
        <item m="1" x="4"/>
        <item x="2"/>
        <item m="1" x="5"/>
        <item t="default"/>
      </items>
    </pivotField>
    <pivotField axis="axisRow" compact="0" outline="0" showAll="0">
      <items count="13">
        <item x="2"/>
        <item h="1" x="4"/>
        <item x="6"/>
        <item x="7"/>
        <item m="1" x="10"/>
        <item x="5"/>
        <item x="8"/>
        <item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6"/>
    </i>
    <i>
      <x v="7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4"/>
    </i>
    <i t="grand">
      <x/>
    </i>
  </colItems>
  <pageFields count="1">
    <pageField fld="41" item="1" hier="-1"/>
  </pageFields>
  <dataFields count="1">
    <dataField name="Recuento de Priori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8BC53-C287-48BB-8275-F4E582459076}" name="Tabla dinámica9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I11" firstHeaderRow="1" firstDataRow="2" firstDataCol="2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m="1" x="5"/>
        <item x="2"/>
        <item m="1"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13">
        <item x="2"/>
        <item x="4"/>
        <item x="6"/>
        <item x="7"/>
        <item m="1" x="10"/>
        <item x="5"/>
        <item x="8"/>
        <item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h="1" x="0"/>
        <item x="1"/>
        <item t="default"/>
      </items>
    </pivotField>
    <pivotField axis="axisRow" compact="0" outline="0" showAll="0">
      <items count="6">
        <item h="1" sd="0" x="0"/>
        <item sd="0" x="4"/>
        <item sd="0" x="2"/>
        <item sd="0" x="3"/>
        <item x="1"/>
        <item t="default"/>
      </items>
    </pivotField>
    <pivotField compact="0" outline="0" showAll="0"/>
    <pivotField compact="0" outline="0" showAll="0"/>
  </pivotFields>
  <rowFields count="2">
    <field x="42"/>
    <field x="4"/>
  </rowFields>
  <rowItems count="7">
    <i>
      <x v="1"/>
    </i>
    <i>
      <x v="2"/>
    </i>
    <i>
      <x v="3"/>
    </i>
    <i>
      <x v="4"/>
      <x v="5"/>
    </i>
    <i r="1">
      <x v="1"/>
    </i>
    <i t="default">
      <x v="4"/>
    </i>
    <i t="grand">
      <x/>
    </i>
  </rowItems>
  <colFields count="1">
    <field x="5"/>
  </colFields>
  <colItems count="7">
    <i>
      <x/>
    </i>
    <i>
      <x v="1"/>
    </i>
    <i>
      <x v="6"/>
    </i>
    <i>
      <x v="7"/>
    </i>
    <i>
      <x v="9"/>
    </i>
    <i>
      <x v="10"/>
    </i>
    <i t="grand">
      <x/>
    </i>
  </colItems>
  <pageFields count="1">
    <pageField fld="41" item="1" hier="-1"/>
  </pageFields>
  <dataFields count="1">
    <dataField name="Recuento de Fue encontrado durante UAT?" fld="41" subtotal="count" baseField="0" baseItem="0"/>
  </dataFields>
  <formats count="30">
    <format dxfId="609">
      <pivotArea type="all" dataOnly="0" outline="0" fieldPosition="0"/>
    </format>
    <format dxfId="610">
      <pivotArea outline="0" collapsedLevelsAreSubtotals="1" fieldPosition="0"/>
    </format>
    <format dxfId="611">
      <pivotArea type="origin" dataOnly="0" labelOnly="1" outline="0" fieldPosition="0"/>
    </format>
    <format dxfId="612">
      <pivotArea field="5" type="button" dataOnly="0" labelOnly="1" outline="0" axis="axisCol" fieldPosition="0"/>
    </format>
    <format dxfId="613">
      <pivotArea type="topRight" dataOnly="0" labelOnly="1" outline="0" fieldPosition="0"/>
    </format>
    <format dxfId="614">
      <pivotArea field="42" type="button" dataOnly="0" labelOnly="1" outline="0" axis="axisRow" fieldPosition="0"/>
    </format>
    <format dxfId="615">
      <pivotArea dataOnly="0" labelOnly="1" outline="0" fieldPosition="0">
        <references count="1">
          <reference field="42" count="3">
            <x v="1"/>
            <x v="2"/>
            <x v="3"/>
          </reference>
        </references>
      </pivotArea>
    </format>
    <format dxfId="616">
      <pivotArea dataOnly="0" labelOnly="1" grandRow="1" outline="0" fieldPosition="0"/>
    </format>
    <format dxfId="617">
      <pivotArea dataOnly="0" labelOnly="1" outline="0" fieldPosition="0">
        <references count="1">
          <reference field="5" count="5">
            <x v="2"/>
            <x v="3"/>
            <x v="5"/>
            <x v="7"/>
            <x v="9"/>
          </reference>
        </references>
      </pivotArea>
    </format>
    <format dxfId="618">
      <pivotArea dataOnly="0" labelOnly="1" grandCol="1" outline="0" fieldPosition="0"/>
    </format>
    <format dxfId="619">
      <pivotArea type="all" dataOnly="0" outline="0" fieldPosition="0"/>
    </format>
    <format dxfId="620">
      <pivotArea type="origin" dataOnly="0" labelOnly="1" outline="0" fieldPosition="0"/>
    </format>
    <format dxfId="621">
      <pivotArea field="5" type="button" dataOnly="0" labelOnly="1" outline="0" axis="axisCol" fieldPosition="0"/>
    </format>
    <format dxfId="622">
      <pivotArea type="topRight" dataOnly="0" labelOnly="1" outline="0" fieldPosition="0"/>
    </format>
    <format dxfId="623">
      <pivotArea field="42" type="button" dataOnly="0" labelOnly="1" outline="0" axis="axisRow" fieldPosition="0"/>
    </format>
    <format dxfId="624">
      <pivotArea dataOnly="0" labelOnly="1" outline="0" fieldPosition="0">
        <references count="1">
          <reference field="42" count="3">
            <x v="1"/>
            <x v="2"/>
            <x v="3"/>
          </reference>
        </references>
      </pivotArea>
    </format>
    <format dxfId="625">
      <pivotArea dataOnly="0" labelOnly="1" grandRow="1" outline="0" fieldPosition="0"/>
    </format>
    <format dxfId="626">
      <pivotArea type="all" dataOnly="0" outline="0" fieldPosition="0"/>
    </format>
    <format dxfId="627">
      <pivotArea outline="0" collapsedLevelsAreSubtotals="1" fieldPosition="0"/>
    </format>
    <format dxfId="628">
      <pivotArea type="origin" dataOnly="0" labelOnly="1" outline="0" fieldPosition="0"/>
    </format>
    <format dxfId="629">
      <pivotArea field="5" type="button" dataOnly="0" labelOnly="1" outline="0" axis="axisCol" fieldPosition="0"/>
    </format>
    <format dxfId="630">
      <pivotArea type="topRight" dataOnly="0" labelOnly="1" outline="0" fieldPosition="0"/>
    </format>
    <format dxfId="631">
      <pivotArea field="42" type="button" dataOnly="0" labelOnly="1" outline="0" axis="axisRow" fieldPosition="0"/>
    </format>
    <format dxfId="632">
      <pivotArea dataOnly="0" labelOnly="1" outline="0" fieldPosition="0">
        <references count="1">
          <reference field="42" count="3">
            <x v="1"/>
            <x v="2"/>
            <x v="3"/>
          </reference>
        </references>
      </pivotArea>
    </format>
    <format dxfId="633">
      <pivotArea dataOnly="0" labelOnly="1" grandRow="1" outline="0" fieldPosition="0"/>
    </format>
    <format dxfId="634">
      <pivotArea dataOnly="0" labelOnly="1" outline="0" fieldPosition="0">
        <references count="1">
          <reference field="5" count="5">
            <x v="2"/>
            <x v="3"/>
            <x v="5"/>
            <x v="7"/>
            <x v="9"/>
          </reference>
        </references>
      </pivotArea>
    </format>
    <format dxfId="635">
      <pivotArea dataOnly="0" labelOnly="1" grandCol="1" outline="0" fieldPosition="0"/>
    </format>
    <format dxfId="636">
      <pivotArea outline="0" collapsedLevelsAreSubtotals="1" fieldPosition="0"/>
    </format>
    <format dxfId="637">
      <pivotArea dataOnly="0" labelOnly="1" outline="0" fieldPosition="0">
        <references count="1">
          <reference field="5" count="5">
            <x v="2"/>
            <x v="3"/>
            <x v="5"/>
            <x v="7"/>
            <x v="9"/>
          </reference>
        </references>
      </pivotArea>
    </format>
    <format dxfId="6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0EF98-6190-4E71-B851-4B98594F249E}" name="Tabla dinámica7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6:B52" firstHeaderRow="1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20">
        <item x="7"/>
        <item x="8"/>
        <item x="9"/>
        <item x="11"/>
        <item m="1" x="16"/>
        <item x="10"/>
        <item x="13"/>
        <item m="1" x="17"/>
        <item x="12"/>
        <item x="14"/>
        <item m="1" x="15"/>
        <item x="0"/>
        <item x="2"/>
        <item x="1"/>
        <item x="3"/>
        <item x="4"/>
        <item x="5"/>
        <item x="6"/>
        <item m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6">
    <i>
      <x/>
    </i>
    <i>
      <x v="1"/>
    </i>
    <i>
      <x v="2"/>
    </i>
    <i>
      <x v="3"/>
    </i>
    <i>
      <x v="5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Recuento de ¿En qué versión fue encontrado?" fld="3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980E2-97E3-4B94-A5C3-1EB0400407D5}" name="Tabla dinámica6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9" firstHeaderRow="1" firstDataRow="1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3">
        <item x="2"/>
        <item x="4"/>
        <item x="6"/>
        <item x="7"/>
        <item m="1" x="10"/>
        <item x="5"/>
        <item x="8"/>
        <item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m="1" x="18"/>
        <item n="0.10" x="6"/>
        <item n="0.10.1" x="5"/>
        <item n="0.11" x="4"/>
        <item n="0.12" x="3"/>
        <item n="0.13" x="1"/>
        <item n="0.14" x="2"/>
        <item n="0.4" x="14"/>
        <item n="0.5" x="12"/>
        <item n="0.5.1" x="13"/>
        <item n="0.6" x="10"/>
        <item n="0.6.1" x="11"/>
        <item n="0.7" x="9"/>
        <item n="0.8" x="8"/>
        <item n="0.9" x="7"/>
        <item x="0"/>
        <item m="1" x="15"/>
        <item m="1" x="17"/>
        <item m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5" hier="-1"/>
  </pageFields>
  <dataFields count="1">
    <dataField name="Recuento de 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066C5-22A4-43B6-8999-567DEF888695}" name="TablaDinámica2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10:B125" firstHeaderRow="1" firstDataRow="1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3">
        <item x="2"/>
        <item h="1" x="4"/>
        <item x="6"/>
        <item x="7"/>
        <item m="1" x="10"/>
        <item x="5"/>
        <item x="8"/>
        <item h="1"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m="1" x="18"/>
        <item n="0.8" x="8"/>
        <item n="0.9" x="7"/>
        <item x="6"/>
        <item x="5"/>
        <item x="4"/>
        <item x="3"/>
        <item x="1"/>
        <item x="2"/>
        <item x="0"/>
        <item m="1" x="15"/>
        <item x="14"/>
        <item x="12"/>
        <item m="1" x="17"/>
        <item x="13"/>
        <item x="10"/>
        <item m="1" x="16"/>
        <item x="1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5" hier="-1"/>
  </pageFields>
  <dataFields count="1">
    <dataField name="Recuento de 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8289B-3A7A-4E6C-A2CB-DF77DCD5E60A}" name="TablaDinámica1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88:B104" firstHeaderRow="1" firstDataRow="1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3">
        <item h="1" x="2"/>
        <item h="1" x="4"/>
        <item h="1" x="6"/>
        <item h="1" x="7"/>
        <item m="1" x="10"/>
        <item h="1" x="5"/>
        <item h="1" x="8"/>
        <item x="3"/>
        <item h="1" m="1" x="9"/>
        <item h="1" x="0"/>
        <item h="1"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m="1" x="18"/>
        <item n="0.8" x="8"/>
        <item n="0.9" x="7"/>
        <item x="6"/>
        <item x="5"/>
        <item x="4"/>
        <item x="3"/>
        <item x="1"/>
        <item x="2"/>
        <item x="0"/>
        <item m="1" x="15"/>
        <item x="14"/>
        <item x="12"/>
        <item m="1" x="17"/>
        <item x="13"/>
        <item x="10"/>
        <item m="1" x="16"/>
        <item x="1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5" hier="-1"/>
  </pageFields>
  <dataFields count="1">
    <dataField name="Recuento de 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4AB14-E077-449D-A008-CEA809B67443}" name="TablaDinámica3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31:F147" firstHeaderRow="1" firstDataRow="2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1"/>
        <item x="0"/>
        <item x="3"/>
        <item m="1" x="4"/>
        <item x="2"/>
        <item m="1" x="5"/>
        <item t="default"/>
      </items>
    </pivotField>
    <pivotField axis="axisPage" dataField="1" compact="0" outline="0" multipleItemSelectionAllowed="1" showAll="0">
      <items count="13">
        <item x="2"/>
        <item h="1" x="4"/>
        <item x="6"/>
        <item x="7"/>
        <item m="1" x="10"/>
        <item x="5"/>
        <item x="8"/>
        <item h="1"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m="1" x="18"/>
        <item n="0.8" x="8"/>
        <item n="0.9" x="7"/>
        <item x="6"/>
        <item x="5"/>
        <item x="4"/>
        <item x="3"/>
        <item x="1"/>
        <item x="2"/>
        <item x="0"/>
        <item m="1" x="15"/>
        <item x="14"/>
        <item x="12"/>
        <item m="1" x="17"/>
        <item x="13"/>
        <item x="10"/>
        <item m="1" x="16"/>
        <item x="1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4"/>
    </i>
    <i>
      <x v="15"/>
    </i>
    <i>
      <x v="17"/>
    </i>
    <i>
      <x v="18"/>
    </i>
    <i t="grand">
      <x/>
    </i>
  </rowItems>
  <colFields count="1">
    <field x="4"/>
  </colFields>
  <colItems count="5">
    <i>
      <x/>
    </i>
    <i>
      <x v="1"/>
    </i>
    <i>
      <x v="2"/>
    </i>
    <i>
      <x v="4"/>
    </i>
    <i t="grand">
      <x/>
    </i>
  </colItems>
  <pageFields count="1">
    <pageField fld="5" hier="-1"/>
  </pageFields>
  <dataFields count="1">
    <dataField name="Recuento de 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2CE77-DA26-4CD8-BDA3-127924A043E9}" name="Tabla dinámica8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4:B77" firstHeaderRow="1" firstDataRow="1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3">
        <item h="1" x="2"/>
        <item x="4"/>
        <item h="1" x="6"/>
        <item h="1" x="7"/>
        <item m="1" x="10"/>
        <item h="1" x="5"/>
        <item h="1" x="8"/>
        <item h="1" x="3"/>
        <item h="1" m="1" x="9"/>
        <item h="1" x="0"/>
        <item h="1"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m="1" x="18"/>
        <item n="0.10" x="6"/>
        <item n="0.10.1" x="5"/>
        <item n="0.11" x="4"/>
        <item n="0.12" x="3"/>
        <item n="0.13" x="1"/>
        <item n="0.14" x="2"/>
        <item n="0.4" x="14"/>
        <item n="0.5" x="12"/>
        <item n="0.5.1" x="13"/>
        <item n="0.6" x="10"/>
        <item n="0.6.1" x="11"/>
        <item n="0.7" x="9"/>
        <item n="0.8" x="8"/>
        <item n="0.9" x="7"/>
        <item x="0"/>
        <item m="1" x="15"/>
        <item m="1" x="17"/>
        <item m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rowItems>
  <colItems count="1">
    <i/>
  </colItems>
  <pageFields count="1">
    <pageField fld="5" hier="-1"/>
  </pageFields>
  <dataFields count="1">
    <dataField name="Recuento de Estado" fld="5" subtotal="count" baseField="0" baseItem="0"/>
  </dataFields>
  <formats count="1">
    <format dxfId="608">
      <pivotArea dataOnly="0" labelOnly="1" outline="0" fieldPosition="0">
        <references count="1">
          <reference field="3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9E565-78EE-49D2-AD9B-7446368CAC17}" name="TablaDinámica1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>
  <location ref="A12:H18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sd="0" x="3"/>
        <item sd="0" x="1"/>
        <item sd="0" x="2"/>
        <item sd="0" x="0"/>
        <item sd="0" m="1" x="5"/>
        <item sd="0" m="1" x="4"/>
        <item t="default"/>
      </items>
    </pivotField>
    <pivotField axis="axisRow" dataField="1" showAll="0">
      <items count="13">
        <item h="1" x="4"/>
        <item h="1" x="6"/>
        <item h="1" m="1" x="10"/>
        <item h="1" x="5"/>
        <item h="1" x="8"/>
        <item x="3"/>
        <item h="1" x="0"/>
        <item h="1" x="2"/>
        <item h="1" x="7"/>
        <item h="1" x="1"/>
        <item h="1" m="1" x="11"/>
        <item h="1"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m="1" x="9"/>
        <item x="1"/>
        <item x="4"/>
        <item x="3"/>
        <item x="0"/>
        <item m="1" x="7"/>
        <item x="6"/>
        <item x="2"/>
        <item m="1" x="8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9"/>
  </colFields>
  <colItems count="7">
    <i>
      <x v="1"/>
    </i>
    <i>
      <x v="2"/>
    </i>
    <i>
      <x v="3"/>
    </i>
    <i>
      <x v="4"/>
    </i>
    <i>
      <x v="6"/>
    </i>
    <i>
      <x v="7"/>
    </i>
    <i t="grand">
      <x/>
    </i>
  </colItems>
  <dataFields count="1">
    <dataField name="Cuenta de Estado" fld="5" subtotal="count" baseField="0" baseItem="0"/>
  </dataFields>
  <formats count="45">
    <format dxfId="563">
      <pivotArea type="origin" dataOnly="0" labelOnly="1" outline="0" fieldPosition="0"/>
    </format>
    <format dxfId="564">
      <pivotArea field="39" type="button" dataOnly="0" labelOnly="1" outline="0" axis="axisCol" fieldPosition="0"/>
    </format>
    <format dxfId="565">
      <pivotArea type="topRight" dataOnly="0" labelOnly="1" outline="0" fieldPosition="0"/>
    </format>
    <format dxfId="566">
      <pivotArea type="origin" dataOnly="0" labelOnly="1" outline="0" fieldPosition="0"/>
    </format>
    <format dxfId="567">
      <pivotArea field="39" type="button" dataOnly="0" labelOnly="1" outline="0" axis="axisCol" fieldPosition="0"/>
    </format>
    <format dxfId="568">
      <pivotArea type="topRight" dataOnly="0" labelOnly="1" outline="0" fieldPosition="0"/>
    </format>
    <format dxfId="569">
      <pivotArea field="4" type="button" dataOnly="0" labelOnly="1" outline="0" axis="axisRow" fieldPosition="0"/>
    </format>
    <format dxfId="570">
      <pivotArea dataOnly="0" labelOnly="1" fieldPosition="0">
        <references count="1">
          <reference field="39" count="0"/>
        </references>
      </pivotArea>
    </format>
    <format dxfId="571">
      <pivotArea dataOnly="0" labelOnly="1" grandCol="1" outline="0" fieldPosition="0"/>
    </format>
    <format dxfId="572">
      <pivotArea field="4" type="button" dataOnly="0" labelOnly="1" outline="0" axis="axisRow" fieldPosition="0"/>
    </format>
    <format dxfId="573">
      <pivotArea dataOnly="0" labelOnly="1" fieldPosition="0">
        <references count="1">
          <reference field="39" count="0"/>
        </references>
      </pivotArea>
    </format>
    <format dxfId="574">
      <pivotArea dataOnly="0" labelOnly="1" grandCol="1" outline="0" fieldPosition="0"/>
    </format>
    <format dxfId="575">
      <pivotArea field="4" type="button" dataOnly="0" labelOnly="1" outline="0" axis="axisRow" fieldPosition="0"/>
    </format>
    <format dxfId="576">
      <pivotArea dataOnly="0" labelOnly="1" fieldPosition="0">
        <references count="1">
          <reference field="39" count="0"/>
        </references>
      </pivotArea>
    </format>
    <format dxfId="577">
      <pivotArea dataOnly="0" labelOnly="1" grandCol="1" outline="0" fieldPosition="0"/>
    </format>
    <format dxfId="578">
      <pivotArea type="all" dataOnly="0" outline="0" fieldPosition="0"/>
    </format>
    <format dxfId="579">
      <pivotArea outline="0" collapsedLevelsAreSubtotals="1" fieldPosition="0"/>
    </format>
    <format dxfId="580">
      <pivotArea type="origin" dataOnly="0" labelOnly="1" outline="0" fieldPosition="0"/>
    </format>
    <format dxfId="581">
      <pivotArea field="39" type="button" dataOnly="0" labelOnly="1" outline="0" axis="axisCol" fieldPosition="0"/>
    </format>
    <format dxfId="582">
      <pivotArea type="topRight" dataOnly="0" labelOnly="1" outline="0" fieldPosition="0"/>
    </format>
    <format dxfId="583">
      <pivotArea field="4" type="button" dataOnly="0" labelOnly="1" outline="0" axis="axisRow" fieldPosition="0"/>
    </format>
    <format dxfId="584">
      <pivotArea dataOnly="0" labelOnly="1" fieldPosition="0">
        <references count="1">
          <reference field="4" count="0"/>
        </references>
      </pivotArea>
    </format>
    <format dxfId="585">
      <pivotArea dataOnly="0" labelOnly="1" grandRow="1" outline="0" fieldPosition="0"/>
    </format>
    <format dxfId="586">
      <pivotArea dataOnly="0" labelOnly="1" fieldPosition="0">
        <references count="1">
          <reference field="39" count="0"/>
        </references>
      </pivotArea>
    </format>
    <format dxfId="587">
      <pivotArea dataOnly="0" labelOnly="1" grandCol="1" outline="0" fieldPosition="0"/>
    </format>
    <format dxfId="588">
      <pivotArea type="all" dataOnly="0" outline="0" fieldPosition="0"/>
    </format>
    <format dxfId="589">
      <pivotArea outline="0" collapsedLevelsAreSubtotals="1" fieldPosition="0"/>
    </format>
    <format dxfId="590">
      <pivotArea type="origin" dataOnly="0" labelOnly="1" outline="0" fieldPosition="0"/>
    </format>
    <format dxfId="591">
      <pivotArea field="39" type="button" dataOnly="0" labelOnly="1" outline="0" axis="axisCol" fieldPosition="0"/>
    </format>
    <format dxfId="592">
      <pivotArea type="topRight" dataOnly="0" labelOnly="1" outline="0" fieldPosition="0"/>
    </format>
    <format dxfId="593">
      <pivotArea field="4" type="button" dataOnly="0" labelOnly="1" outline="0" axis="axisRow" fieldPosition="0"/>
    </format>
    <format dxfId="594">
      <pivotArea dataOnly="0" labelOnly="1" grandRow="1" outline="0" fieldPosition="0"/>
    </format>
    <format dxfId="595">
      <pivotArea dataOnly="0" labelOnly="1" fieldPosition="0">
        <references count="1">
          <reference field="39" count="0"/>
        </references>
      </pivotArea>
    </format>
    <format dxfId="596">
      <pivotArea dataOnly="0" labelOnly="1" grandCol="1" outline="0" fieldPosition="0"/>
    </format>
    <format dxfId="597">
      <pivotArea type="all" dataOnly="0" outline="0" fieldPosition="0"/>
    </format>
    <format dxfId="598">
      <pivotArea outline="0" collapsedLevelsAreSubtotals="1" fieldPosition="0"/>
    </format>
    <format dxfId="599">
      <pivotArea type="origin" dataOnly="0" labelOnly="1" outline="0" fieldPosition="0"/>
    </format>
    <format dxfId="600">
      <pivotArea field="39" type="button" dataOnly="0" labelOnly="1" outline="0" axis="axisCol" fieldPosition="0"/>
    </format>
    <format dxfId="601">
      <pivotArea type="topRight" dataOnly="0" labelOnly="1" outline="0" fieldPosition="0"/>
    </format>
    <format dxfId="602">
      <pivotArea field="4" type="button" dataOnly="0" labelOnly="1" outline="0" axis="axisRow" fieldPosition="0"/>
    </format>
    <format dxfId="603">
      <pivotArea dataOnly="0" labelOnly="1" fieldPosition="0">
        <references count="1">
          <reference field="4" count="0"/>
        </references>
      </pivotArea>
    </format>
    <format dxfId="604">
      <pivotArea dataOnly="0" labelOnly="1" grandRow="1" outline="0" fieldPosition="0"/>
    </format>
    <format dxfId="605">
      <pivotArea dataOnly="0" labelOnly="1" fieldPosition="0">
        <references count="1">
          <reference field="39" count="0"/>
        </references>
      </pivotArea>
    </format>
    <format dxfId="606">
      <pivotArea dataOnly="0" labelOnly="1" grandCol="1" outline="0" fieldPosition="0"/>
    </format>
    <format dxfId="607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D2E25-E533-4E22-B192-D108FCA64A38}" name="TablaDinámica15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>
  <location ref="A2:I8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sd="0" x="3"/>
        <item sd="0" x="1"/>
        <item sd="0" x="2"/>
        <item sd="0" x="0"/>
        <item sd="0" m="1" x="5"/>
        <item sd="0" m="1" x="4"/>
        <item t="default"/>
      </items>
    </pivotField>
    <pivotField axis="axisRow" dataField="1" showAll="0">
      <items count="13">
        <item x="4"/>
        <item x="6"/>
        <item m="1" x="10"/>
        <item x="5"/>
        <item x="8"/>
        <item x="3"/>
        <item x="0"/>
        <item x="2"/>
        <item x="7"/>
        <item x="1"/>
        <item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m="1" x="9"/>
        <item x="1"/>
        <item x="4"/>
        <item x="3"/>
        <item x="0"/>
        <item m="1" x="7"/>
        <item x="6"/>
        <item x="2"/>
        <item m="1" x="8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9"/>
  </colFields>
  <colItems count="8">
    <i>
      <x v="1"/>
    </i>
    <i>
      <x v="2"/>
    </i>
    <i>
      <x v="3"/>
    </i>
    <i>
      <x v="4"/>
    </i>
    <i>
      <x v="6"/>
    </i>
    <i>
      <x v="7"/>
    </i>
    <i>
      <x v="9"/>
    </i>
    <i t="grand">
      <x/>
    </i>
  </colItems>
  <dataFields count="1">
    <dataField name="Cuenta de Estado" fld="5" subtotal="count" baseField="0" baseItem="0"/>
  </dataFields>
  <formats count="45">
    <format dxfId="518">
      <pivotArea type="origin" dataOnly="0" labelOnly="1" outline="0" fieldPosition="0"/>
    </format>
    <format dxfId="519">
      <pivotArea field="39" type="button" dataOnly="0" labelOnly="1" outline="0" axis="axisCol" fieldPosition="0"/>
    </format>
    <format dxfId="520">
      <pivotArea type="topRight" dataOnly="0" labelOnly="1" outline="0" fieldPosition="0"/>
    </format>
    <format dxfId="521">
      <pivotArea type="origin" dataOnly="0" labelOnly="1" outline="0" fieldPosition="0"/>
    </format>
    <format dxfId="522">
      <pivotArea field="39" type="button" dataOnly="0" labelOnly="1" outline="0" axis="axisCol" fieldPosition="0"/>
    </format>
    <format dxfId="523">
      <pivotArea type="topRight" dataOnly="0" labelOnly="1" outline="0" fieldPosition="0"/>
    </format>
    <format dxfId="524">
      <pivotArea field="4" type="button" dataOnly="0" labelOnly="1" outline="0" axis="axisRow" fieldPosition="0"/>
    </format>
    <format dxfId="525">
      <pivotArea dataOnly="0" labelOnly="1" fieldPosition="0">
        <references count="1">
          <reference field="39" count="0"/>
        </references>
      </pivotArea>
    </format>
    <format dxfId="526">
      <pivotArea dataOnly="0" labelOnly="1" grandCol="1" outline="0" fieldPosition="0"/>
    </format>
    <format dxfId="527">
      <pivotArea field="4" type="button" dataOnly="0" labelOnly="1" outline="0" axis="axisRow" fieldPosition="0"/>
    </format>
    <format dxfId="528">
      <pivotArea dataOnly="0" labelOnly="1" fieldPosition="0">
        <references count="1">
          <reference field="39" count="0"/>
        </references>
      </pivotArea>
    </format>
    <format dxfId="529">
      <pivotArea dataOnly="0" labelOnly="1" grandCol="1" outline="0" fieldPosition="0"/>
    </format>
    <format dxfId="530">
      <pivotArea field="4" type="button" dataOnly="0" labelOnly="1" outline="0" axis="axisRow" fieldPosition="0"/>
    </format>
    <format dxfId="531">
      <pivotArea dataOnly="0" labelOnly="1" fieldPosition="0">
        <references count="1">
          <reference field="39" count="0"/>
        </references>
      </pivotArea>
    </format>
    <format dxfId="532">
      <pivotArea dataOnly="0" labelOnly="1" grandCol="1" outline="0" fieldPosition="0"/>
    </format>
    <format dxfId="533">
      <pivotArea type="all" dataOnly="0" outline="0" fieldPosition="0"/>
    </format>
    <format dxfId="534">
      <pivotArea outline="0" collapsedLevelsAreSubtotals="1" fieldPosition="0"/>
    </format>
    <format dxfId="535">
      <pivotArea type="origin" dataOnly="0" labelOnly="1" outline="0" fieldPosition="0"/>
    </format>
    <format dxfId="536">
      <pivotArea field="39" type="button" dataOnly="0" labelOnly="1" outline="0" axis="axisCol" fieldPosition="0"/>
    </format>
    <format dxfId="537">
      <pivotArea type="topRight" dataOnly="0" labelOnly="1" outline="0" fieldPosition="0"/>
    </format>
    <format dxfId="538">
      <pivotArea field="4" type="button" dataOnly="0" labelOnly="1" outline="0" axis="axisRow" fieldPosition="0"/>
    </format>
    <format dxfId="539">
      <pivotArea dataOnly="0" labelOnly="1" fieldPosition="0">
        <references count="1">
          <reference field="4" count="0"/>
        </references>
      </pivotArea>
    </format>
    <format dxfId="540">
      <pivotArea dataOnly="0" labelOnly="1" grandRow="1" outline="0" fieldPosition="0"/>
    </format>
    <format dxfId="541">
      <pivotArea dataOnly="0" labelOnly="1" fieldPosition="0">
        <references count="1">
          <reference field="39" count="0"/>
        </references>
      </pivotArea>
    </format>
    <format dxfId="542">
      <pivotArea dataOnly="0" labelOnly="1" grandCol="1" outline="0" fieldPosition="0"/>
    </format>
    <format dxfId="543">
      <pivotArea type="all" dataOnly="0" outline="0" fieldPosition="0"/>
    </format>
    <format dxfId="544">
      <pivotArea outline="0" collapsedLevelsAreSubtotals="1" fieldPosition="0"/>
    </format>
    <format dxfId="545">
      <pivotArea type="origin" dataOnly="0" labelOnly="1" outline="0" fieldPosition="0"/>
    </format>
    <format dxfId="546">
      <pivotArea field="39" type="button" dataOnly="0" labelOnly="1" outline="0" axis="axisCol" fieldPosition="0"/>
    </format>
    <format dxfId="547">
      <pivotArea type="topRight" dataOnly="0" labelOnly="1" outline="0" fieldPosition="0"/>
    </format>
    <format dxfId="548">
      <pivotArea field="4" type="button" dataOnly="0" labelOnly="1" outline="0" axis="axisRow" fieldPosition="0"/>
    </format>
    <format dxfId="549">
      <pivotArea dataOnly="0" labelOnly="1" grandRow="1" outline="0" fieldPosition="0"/>
    </format>
    <format dxfId="550">
      <pivotArea dataOnly="0" labelOnly="1" fieldPosition="0">
        <references count="1">
          <reference field="39" count="0"/>
        </references>
      </pivotArea>
    </format>
    <format dxfId="551">
      <pivotArea dataOnly="0" labelOnly="1" grandCol="1" outline="0" fieldPosition="0"/>
    </format>
    <format dxfId="552">
      <pivotArea type="all" dataOnly="0" outline="0" fieldPosition="0"/>
    </format>
    <format dxfId="553">
      <pivotArea outline="0" collapsedLevelsAreSubtotals="1" fieldPosition="0"/>
    </format>
    <format dxfId="554">
      <pivotArea type="origin" dataOnly="0" labelOnly="1" outline="0" fieldPosition="0"/>
    </format>
    <format dxfId="555">
      <pivotArea field="39" type="button" dataOnly="0" labelOnly="1" outline="0" axis="axisCol" fieldPosition="0"/>
    </format>
    <format dxfId="556">
      <pivotArea type="topRight" dataOnly="0" labelOnly="1" outline="0" fieldPosition="0"/>
    </format>
    <format dxfId="557">
      <pivotArea field="4" type="button" dataOnly="0" labelOnly="1" outline="0" axis="axisRow" fieldPosition="0"/>
    </format>
    <format dxfId="558">
      <pivotArea dataOnly="0" labelOnly="1" fieldPosition="0">
        <references count="1">
          <reference field="4" count="0"/>
        </references>
      </pivotArea>
    </format>
    <format dxfId="559">
      <pivotArea dataOnly="0" labelOnly="1" grandRow="1" outline="0" fieldPosition="0"/>
    </format>
    <format dxfId="560">
      <pivotArea dataOnly="0" labelOnly="1" fieldPosition="0">
        <references count="1">
          <reference field="39" count="0"/>
        </references>
      </pivotArea>
    </format>
    <format dxfId="561">
      <pivotArea dataOnly="0" labelOnly="1" grandCol="1" outline="0" fieldPosition="0"/>
    </format>
    <format dxfId="562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8BC25-644A-4394-A030-0C4013A24DE4}" name="TablaDinámica2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">
  <location ref="A23:G29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sd="0" x="3"/>
        <item sd="0" x="1"/>
        <item sd="0" x="2"/>
        <item sd="0" x="0"/>
        <item sd="0" m="1" x="5"/>
        <item sd="0" m="1" x="4"/>
        <item t="default"/>
      </items>
    </pivotField>
    <pivotField axis="axisRow" dataField="1" showAll="0">
      <items count="13">
        <item h="1" x="4"/>
        <item x="6"/>
        <item h="1" m="1" x="10"/>
        <item x="5"/>
        <item x="8"/>
        <item h="1" x="3"/>
        <item x="0"/>
        <item x="2"/>
        <item x="7"/>
        <item x="1"/>
        <item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m="1" x="9"/>
        <item x="1"/>
        <item x="4"/>
        <item x="3"/>
        <item x="0"/>
        <item m="1" x="7"/>
        <item x="6"/>
        <item x="2"/>
        <item m="1" x="8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9"/>
  </colFields>
  <colItems count="6">
    <i>
      <x v="1"/>
    </i>
    <i>
      <x v="3"/>
    </i>
    <i>
      <x v="4"/>
    </i>
    <i>
      <x v="7"/>
    </i>
    <i>
      <x v="9"/>
    </i>
    <i t="grand">
      <x/>
    </i>
  </colItems>
  <dataFields count="1">
    <dataField name="Cuenta de Estado" fld="5" subtotal="count" baseField="0" baseItem="0"/>
  </dataFields>
  <formats count="45">
    <format dxfId="473">
      <pivotArea type="origin" dataOnly="0" labelOnly="1" outline="0" fieldPosition="0"/>
    </format>
    <format dxfId="474">
      <pivotArea field="39" type="button" dataOnly="0" labelOnly="1" outline="0" axis="axisCol" fieldPosition="0"/>
    </format>
    <format dxfId="475">
      <pivotArea type="topRight" dataOnly="0" labelOnly="1" outline="0" fieldPosition="0"/>
    </format>
    <format dxfId="476">
      <pivotArea type="origin" dataOnly="0" labelOnly="1" outline="0" fieldPosition="0"/>
    </format>
    <format dxfId="477">
      <pivotArea field="39" type="button" dataOnly="0" labelOnly="1" outline="0" axis="axisCol" fieldPosition="0"/>
    </format>
    <format dxfId="478">
      <pivotArea type="topRight" dataOnly="0" labelOnly="1" outline="0" fieldPosition="0"/>
    </format>
    <format dxfId="479">
      <pivotArea field="4" type="button" dataOnly="0" labelOnly="1" outline="0" axis="axisRow" fieldPosition="0"/>
    </format>
    <format dxfId="480">
      <pivotArea dataOnly="0" labelOnly="1" fieldPosition="0">
        <references count="1">
          <reference field="39" count="0"/>
        </references>
      </pivotArea>
    </format>
    <format dxfId="481">
      <pivotArea dataOnly="0" labelOnly="1" grandCol="1" outline="0" fieldPosition="0"/>
    </format>
    <format dxfId="482">
      <pivotArea field="4" type="button" dataOnly="0" labelOnly="1" outline="0" axis="axisRow" fieldPosition="0"/>
    </format>
    <format dxfId="483">
      <pivotArea dataOnly="0" labelOnly="1" fieldPosition="0">
        <references count="1">
          <reference field="39" count="0"/>
        </references>
      </pivotArea>
    </format>
    <format dxfId="484">
      <pivotArea dataOnly="0" labelOnly="1" grandCol="1" outline="0" fieldPosition="0"/>
    </format>
    <format dxfId="485">
      <pivotArea field="4" type="button" dataOnly="0" labelOnly="1" outline="0" axis="axisRow" fieldPosition="0"/>
    </format>
    <format dxfId="486">
      <pivotArea dataOnly="0" labelOnly="1" fieldPosition="0">
        <references count="1">
          <reference field="39" count="0"/>
        </references>
      </pivotArea>
    </format>
    <format dxfId="487">
      <pivotArea dataOnly="0" labelOnly="1" grandCol="1" outline="0" fieldPosition="0"/>
    </format>
    <format dxfId="488">
      <pivotArea type="all" dataOnly="0" outline="0" fieldPosition="0"/>
    </format>
    <format dxfId="489">
      <pivotArea outline="0" collapsedLevelsAreSubtotals="1" fieldPosition="0"/>
    </format>
    <format dxfId="490">
      <pivotArea type="origin" dataOnly="0" labelOnly="1" outline="0" fieldPosition="0"/>
    </format>
    <format dxfId="491">
      <pivotArea field="39" type="button" dataOnly="0" labelOnly="1" outline="0" axis="axisCol" fieldPosition="0"/>
    </format>
    <format dxfId="492">
      <pivotArea type="topRight" dataOnly="0" labelOnly="1" outline="0" fieldPosition="0"/>
    </format>
    <format dxfId="493">
      <pivotArea field="4" type="button" dataOnly="0" labelOnly="1" outline="0" axis="axisRow" fieldPosition="0"/>
    </format>
    <format dxfId="494">
      <pivotArea dataOnly="0" labelOnly="1" fieldPosition="0">
        <references count="1">
          <reference field="4" count="0"/>
        </references>
      </pivotArea>
    </format>
    <format dxfId="495">
      <pivotArea dataOnly="0" labelOnly="1" grandRow="1" outline="0" fieldPosition="0"/>
    </format>
    <format dxfId="496">
      <pivotArea dataOnly="0" labelOnly="1" fieldPosition="0">
        <references count="1">
          <reference field="39" count="0"/>
        </references>
      </pivotArea>
    </format>
    <format dxfId="497">
      <pivotArea dataOnly="0" labelOnly="1" grandCol="1" outline="0" fieldPosition="0"/>
    </format>
    <format dxfId="498">
      <pivotArea type="all" dataOnly="0" outline="0" fieldPosition="0"/>
    </format>
    <format dxfId="499">
      <pivotArea outline="0" collapsedLevelsAreSubtotals="1" fieldPosition="0"/>
    </format>
    <format dxfId="500">
      <pivotArea type="origin" dataOnly="0" labelOnly="1" outline="0" fieldPosition="0"/>
    </format>
    <format dxfId="501">
      <pivotArea field="39" type="button" dataOnly="0" labelOnly="1" outline="0" axis="axisCol" fieldPosition="0"/>
    </format>
    <format dxfId="502">
      <pivotArea type="topRight" dataOnly="0" labelOnly="1" outline="0" fieldPosition="0"/>
    </format>
    <format dxfId="503">
      <pivotArea field="4" type="button" dataOnly="0" labelOnly="1" outline="0" axis="axisRow" fieldPosition="0"/>
    </format>
    <format dxfId="504">
      <pivotArea dataOnly="0" labelOnly="1" grandRow="1" outline="0" fieldPosition="0"/>
    </format>
    <format dxfId="505">
      <pivotArea dataOnly="0" labelOnly="1" fieldPosition="0">
        <references count="1">
          <reference field="39" count="0"/>
        </references>
      </pivotArea>
    </format>
    <format dxfId="506">
      <pivotArea dataOnly="0" labelOnly="1" grandCol="1" outline="0" fieldPosition="0"/>
    </format>
    <format dxfId="507">
      <pivotArea type="all" dataOnly="0" outline="0" fieldPosition="0"/>
    </format>
    <format dxfId="508">
      <pivotArea outline="0" collapsedLevelsAreSubtotals="1" fieldPosition="0"/>
    </format>
    <format dxfId="509">
      <pivotArea type="origin" dataOnly="0" labelOnly="1" outline="0" fieldPosition="0"/>
    </format>
    <format dxfId="510">
      <pivotArea field="39" type="button" dataOnly="0" labelOnly="1" outline="0" axis="axisCol" fieldPosition="0"/>
    </format>
    <format dxfId="511">
      <pivotArea type="topRight" dataOnly="0" labelOnly="1" outline="0" fieldPosition="0"/>
    </format>
    <format dxfId="512">
      <pivotArea field="4" type="button" dataOnly="0" labelOnly="1" outline="0" axis="axisRow" fieldPosition="0"/>
    </format>
    <format dxfId="513">
      <pivotArea dataOnly="0" labelOnly="1" fieldPosition="0">
        <references count="1">
          <reference field="4" count="0"/>
        </references>
      </pivotArea>
    </format>
    <format dxfId="514">
      <pivotArea dataOnly="0" labelOnly="1" grandRow="1" outline="0" fieldPosition="0"/>
    </format>
    <format dxfId="515">
      <pivotArea dataOnly="0" labelOnly="1" fieldPosition="0">
        <references count="1">
          <reference field="39" count="0"/>
        </references>
      </pivotArea>
    </format>
    <format dxfId="516">
      <pivotArea dataOnly="0" labelOnly="1" grandCol="1" outline="0" fieldPosition="0"/>
    </format>
    <format dxfId="517">
      <pivotArea dataOnly="0" labelOnly="1" fieldPosition="0">
        <references count="1">
          <reference field="4" count="0"/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4A5D0-0A8B-4B39-B782-8E6BC0FF5DF2}" name="Tabla dinámica1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K16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13">
        <item x="4"/>
        <item x="0"/>
        <item x="6"/>
        <item x="5"/>
        <item x="8"/>
        <item x="3"/>
        <item m="1" x="10"/>
        <item x="2"/>
        <item x="7"/>
        <item x="1"/>
        <item m="1" x="11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12"/>
        <item m="1" x="13"/>
        <item x="9"/>
        <item x="0"/>
        <item x="4"/>
        <item x="8"/>
        <item x="6"/>
        <item x="2"/>
        <item x="1"/>
        <item x="10"/>
        <item x="3"/>
        <item x="5"/>
        <item m="1" x="1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 por" fld="5" subtotal="count" baseField="0" baseItem="0"/>
  </dataFields>
  <formats count="43">
    <format dxfId="430">
      <pivotArea type="all" dataOnly="0" outline="0" fieldPosition="0"/>
    </format>
    <format dxfId="431">
      <pivotArea outline="0" collapsedLevelsAreSubtotals="1" fieldPosition="0"/>
    </format>
    <format dxfId="432">
      <pivotArea type="origin" dataOnly="0" labelOnly="1" outline="0" fieldPosition="0"/>
    </format>
    <format dxfId="433">
      <pivotArea field="5" type="button" dataOnly="0" labelOnly="1" outline="0" axis="axisCol" fieldPosition="0"/>
    </format>
    <format dxfId="434">
      <pivotArea type="topRight" dataOnly="0" labelOnly="1" outline="0" fieldPosition="0"/>
    </format>
    <format dxfId="435">
      <pivotArea field="33" type="button" dataOnly="0" labelOnly="1" outline="0" axis="axisRow" fieldPosition="0"/>
    </format>
    <format dxfId="436">
      <pivotArea dataOnly="0" labelOnly="1" outline="0" fieldPosition="0">
        <references count="1">
          <reference field="33" count="0"/>
        </references>
      </pivotArea>
    </format>
    <format dxfId="437">
      <pivotArea dataOnly="0" labelOnly="1" grandRow="1" outline="0" fieldPosition="0"/>
    </format>
    <format dxfId="438">
      <pivotArea dataOnly="0" labelOnly="1" outline="0" fieldPosition="0">
        <references count="1">
          <reference field="5" count="0"/>
        </references>
      </pivotArea>
    </format>
    <format dxfId="439">
      <pivotArea dataOnly="0" labelOnly="1" grandCol="1" outline="0" fieldPosition="0"/>
    </format>
    <format dxfId="440">
      <pivotArea type="all" dataOnly="0" outline="0" fieldPosition="0"/>
    </format>
    <format dxfId="441">
      <pivotArea outline="0" collapsedLevelsAreSubtotals="1" fieldPosition="0"/>
    </format>
    <format dxfId="442">
      <pivotArea type="origin" dataOnly="0" labelOnly="1" outline="0" fieldPosition="0"/>
    </format>
    <format dxfId="443">
      <pivotArea field="5" type="button" dataOnly="0" labelOnly="1" outline="0" axis="axisCol" fieldPosition="0"/>
    </format>
    <format dxfId="444">
      <pivotArea type="topRight" dataOnly="0" labelOnly="1" outline="0" fieldPosition="0"/>
    </format>
    <format dxfId="445">
      <pivotArea field="33" type="button" dataOnly="0" labelOnly="1" outline="0" axis="axisRow" fieldPosition="0"/>
    </format>
    <format dxfId="446">
      <pivotArea dataOnly="0" labelOnly="1" grandRow="1" outline="0" fieldPosition="0"/>
    </format>
    <format dxfId="447">
      <pivotArea dataOnly="0" labelOnly="1" outline="0" fieldPosition="0">
        <references count="1">
          <reference field="5" count="0"/>
        </references>
      </pivotArea>
    </format>
    <format dxfId="448">
      <pivotArea dataOnly="0" labelOnly="1" grandCol="1" outline="0" fieldPosition="0"/>
    </format>
    <format dxfId="449">
      <pivotArea type="all" dataOnly="0" outline="0" fieldPosition="0"/>
    </format>
    <format dxfId="450">
      <pivotArea outline="0" collapsedLevelsAreSubtotals="1" fieldPosition="0"/>
    </format>
    <format dxfId="451">
      <pivotArea type="origin" dataOnly="0" labelOnly="1" outline="0" fieldPosition="0"/>
    </format>
    <format dxfId="452">
      <pivotArea field="5" type="button" dataOnly="0" labelOnly="1" outline="0" axis="axisCol" fieldPosition="0"/>
    </format>
    <format dxfId="453">
      <pivotArea type="topRight" dataOnly="0" labelOnly="1" outline="0" fieldPosition="0"/>
    </format>
    <format dxfId="454">
      <pivotArea field="33" type="button" dataOnly="0" labelOnly="1" outline="0" axis="axisRow" fieldPosition="0"/>
    </format>
    <format dxfId="455">
      <pivotArea dataOnly="0" labelOnly="1" outline="0" fieldPosition="0">
        <references count="1">
          <reference field="33" count="0"/>
        </references>
      </pivotArea>
    </format>
    <format dxfId="456">
      <pivotArea dataOnly="0" labelOnly="1" grandRow="1" outline="0" fieldPosition="0"/>
    </format>
    <format dxfId="457">
      <pivotArea dataOnly="0" labelOnly="1" outline="0" fieldPosition="0">
        <references count="1">
          <reference field="5" count="0"/>
        </references>
      </pivotArea>
    </format>
    <format dxfId="458">
      <pivotArea dataOnly="0" labelOnly="1" grandCol="1" outline="0" fieldPosition="0"/>
    </format>
    <format dxfId="459">
      <pivotArea type="origin" dataOnly="0" labelOnly="1" outline="0" fieldPosition="0"/>
    </format>
    <format dxfId="460">
      <pivotArea field="5" type="button" dataOnly="0" labelOnly="1" outline="0" axis="axisCol" fieldPosition="0"/>
    </format>
    <format dxfId="461">
      <pivotArea type="origin" dataOnly="0" labelOnly="1" outline="0" fieldPosition="0"/>
    </format>
    <format dxfId="462">
      <pivotArea field="5" type="button" dataOnly="0" labelOnly="1" outline="0" axis="axisCol" fieldPosition="0"/>
    </format>
    <format dxfId="463">
      <pivotArea field="33" type="button" dataOnly="0" labelOnly="1" outline="0" axis="axisRow" fieldPosition="0"/>
    </format>
    <format dxfId="464">
      <pivotArea dataOnly="0" labelOnly="1" outline="0" fieldPosition="0">
        <references count="1">
          <reference field="5" count="0"/>
        </references>
      </pivotArea>
    </format>
    <format dxfId="465">
      <pivotArea dataOnly="0" labelOnly="1" grandCol="1" outline="0" fieldPosition="0"/>
    </format>
    <format dxfId="466">
      <pivotArea field="33" type="button" dataOnly="0" labelOnly="1" outline="0" axis="axisRow" fieldPosition="0"/>
    </format>
    <format dxfId="467">
      <pivotArea dataOnly="0" labelOnly="1" outline="0" fieldPosition="0">
        <references count="1">
          <reference field="5" count="0"/>
        </references>
      </pivotArea>
    </format>
    <format dxfId="468">
      <pivotArea dataOnly="0" labelOnly="1" grandCol="1" outline="0" fieldPosition="0"/>
    </format>
    <format dxfId="469">
      <pivotArea type="origin" dataOnly="0" labelOnly="1" outline="0" fieldPosition="0"/>
    </format>
    <format dxfId="470">
      <pivotArea field="5" type="button" dataOnly="0" labelOnly="1" outline="0" axis="axisCol" fieldPosition="0"/>
    </format>
    <format dxfId="471">
      <pivotArea dataOnly="0" labelOnly="1" outline="0" fieldPosition="0">
        <references count="1">
          <reference field="33" count="0"/>
        </references>
      </pivotArea>
    </format>
    <format dxfId="47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B49C3-93E3-4932-9DAF-9E355C105F56}" name="Tabla dinámica2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8:F32" firstHeaderRow="1" firstDataRow="3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sd="0" x="3"/>
        <item sd="0" x="1"/>
        <item sd="0" x="2"/>
        <item sd="0" x="0"/>
        <item m="1" x="5"/>
        <item m="1" x="4"/>
        <item t="default"/>
      </items>
    </pivotField>
    <pivotField axis="axisCol" compact="0" outline="0" showAll="0">
      <items count="13">
        <item x="4"/>
        <item x="6"/>
        <item m="1" x="10"/>
        <item x="5"/>
        <item x="8"/>
        <item x="3"/>
        <item x="0"/>
        <item x="2"/>
        <item x="7"/>
        <item x="1"/>
        <item m="1" x="11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5">
        <item m="1" x="12"/>
        <item m="1" x="13"/>
        <item x="9"/>
        <item x="0"/>
        <item x="4"/>
        <item x="8"/>
        <item x="6"/>
        <item x="2"/>
        <item x="1"/>
        <item x="10"/>
        <item x="3"/>
        <item x="5"/>
        <item m="1" x="1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2">
    <field x="4"/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Bugs por " fld="33" subtotal="count" baseField="0" baseItem="0"/>
  </dataFields>
  <formats count="32">
    <format dxfId="398">
      <pivotArea type="origin" dataOnly="0" labelOnly="1" outline="0" fieldPosition="0"/>
    </format>
    <format dxfId="399">
      <pivotArea field="4" type="button" dataOnly="0" labelOnly="1" outline="0" axis="axisCol" fieldPosition="0"/>
    </format>
    <format dxfId="400">
      <pivotArea type="topRight" dataOnly="0" labelOnly="1" outline="0" fieldPosition="0"/>
    </format>
    <format dxfId="401">
      <pivotArea type="origin" dataOnly="0" labelOnly="1" outline="0" fieldPosition="0"/>
    </format>
    <format dxfId="402">
      <pivotArea field="4" type="button" dataOnly="0" labelOnly="1" outline="0" axis="axisCol" fieldPosition="0"/>
    </format>
    <format dxfId="403">
      <pivotArea type="topRight" dataOnly="0" labelOnly="1" outline="0" fieldPosition="0"/>
    </format>
    <format dxfId="404">
      <pivotArea type="origin" dataOnly="0" labelOnly="1" outline="0" fieldPosition="0"/>
    </format>
    <format dxfId="405">
      <pivotArea field="4" type="button" dataOnly="0" labelOnly="1" outline="0" axis="axisCol" fieldPosition="0"/>
    </format>
    <format dxfId="406">
      <pivotArea type="topRight" dataOnly="0" labelOnly="1" outline="0" fieldPosition="0"/>
    </format>
    <format dxfId="407">
      <pivotArea field="33" type="button" dataOnly="0" labelOnly="1" outline="0" axis="axisRow" fieldPosition="0"/>
    </format>
    <format dxfId="408">
      <pivotArea dataOnly="0" labelOnly="1" outline="0" fieldPosition="0">
        <references count="1">
          <reference field="4" count="0"/>
        </references>
      </pivotArea>
    </format>
    <format dxfId="409">
      <pivotArea dataOnly="0" labelOnly="1" grandCol="1" outline="0" fieldPosition="0"/>
    </format>
    <format dxfId="410">
      <pivotArea field="33" type="button" dataOnly="0" labelOnly="1" outline="0" axis="axisRow" fieldPosition="0"/>
    </format>
    <format dxfId="411">
      <pivotArea dataOnly="0" labelOnly="1" outline="0" fieldPosition="0">
        <references count="1">
          <reference field="4" count="0"/>
        </references>
      </pivotArea>
    </format>
    <format dxfId="412">
      <pivotArea dataOnly="0" labelOnly="1" grandCol="1" outline="0" fieldPosition="0"/>
    </format>
    <format dxfId="413">
      <pivotArea type="all" dataOnly="0" outline="0" fieldPosition="0"/>
    </format>
    <format dxfId="414">
      <pivotArea outline="0" collapsedLevelsAreSubtotals="1" fieldPosition="0"/>
    </format>
    <format dxfId="415">
      <pivotArea type="origin" dataOnly="0" labelOnly="1" outline="0" fieldPosition="0"/>
    </format>
    <format dxfId="416">
      <pivotArea field="4" type="button" dataOnly="0" labelOnly="1" outline="0" axis="axisCol" fieldPosition="0"/>
    </format>
    <format dxfId="417">
      <pivotArea type="topRight" dataOnly="0" labelOnly="1" outline="0" fieldPosition="0"/>
    </format>
    <format dxfId="418">
      <pivotArea field="33" type="button" dataOnly="0" labelOnly="1" outline="0" axis="axisRow" fieldPosition="0"/>
    </format>
    <format dxfId="419">
      <pivotArea dataOnly="0" labelOnly="1" outline="0" fieldPosition="0">
        <references count="1">
          <reference field="33" count="0"/>
        </references>
      </pivotArea>
    </format>
    <format dxfId="420">
      <pivotArea dataOnly="0" labelOnly="1" grandRow="1" outline="0" fieldPosition="0"/>
    </format>
    <format dxfId="421">
      <pivotArea dataOnly="0" labelOnly="1" outline="0" fieldPosition="0">
        <references count="1">
          <reference field="4" count="0"/>
        </references>
      </pivotArea>
    </format>
    <format dxfId="422">
      <pivotArea dataOnly="0" labelOnly="1" grandCol="1" outline="0" fieldPosition="0"/>
    </format>
    <format dxfId="423">
      <pivotArea outline="0" collapsedLevelsAreSubtotals="1" fieldPosition="0"/>
    </format>
    <format dxfId="424">
      <pivotArea outline="0" collapsedLevelsAreSubtotals="1" fieldPosition="0"/>
    </format>
    <format dxfId="425">
      <pivotArea field="5" type="button" dataOnly="0" labelOnly="1" outline="0" axis="axisCol" fieldPosition="1"/>
    </format>
    <format dxfId="426">
      <pivotArea dataOnly="0" labelOnly="1" outline="0" offset="IV256" fieldPosition="0">
        <references count="1">
          <reference field="4" count="1">
            <x v="0"/>
          </reference>
        </references>
      </pivotArea>
    </format>
    <format dxfId="427">
      <pivotArea dataOnly="0" labelOnly="1" outline="0" offset="IV256" fieldPosition="0">
        <references count="1">
          <reference field="4" count="1">
            <x v="1"/>
          </reference>
        </references>
      </pivotArea>
    </format>
    <format dxfId="428">
      <pivotArea dataOnly="0" labelOnly="1" outline="0" offset="IV256" fieldPosition="0">
        <references count="1">
          <reference field="4" count="1">
            <x v="2"/>
          </reference>
        </references>
      </pivotArea>
    </format>
    <format dxfId="429">
      <pivotArea dataOnly="0" labelOnly="1" outline="0" offset="IV256" fieldPosition="0">
        <references count="1">
          <reference field="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94CB3-3D14-45DA-BBBC-3F087A8B504B}" name="Total" cacheId="2252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rowHeaderCaption="SPRINT" colHeaderCaption="ESTADO">
  <location ref="M3:T14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x="1"/>
        <item h="1" x="0"/>
        <item x="3"/>
        <item h="1" x="2"/>
        <item h="1" m="1" x="5"/>
        <item h="1" m="1" x="4"/>
        <item t="default"/>
      </items>
    </pivotField>
    <pivotField axis="axisCol" dataField="1" showAll="0">
      <items count="13">
        <item h="1" x="4"/>
        <item x="0"/>
        <item x="6"/>
        <item x="5"/>
        <item x="8"/>
        <item h="1" x="3"/>
        <item h="1" m="1" x="10"/>
        <item x="2"/>
        <item x="7"/>
        <item x="1"/>
        <item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m="1" x="10"/>
        <item sd="0" x="9"/>
        <item sd="0" x="8"/>
        <item sd="0" x="7"/>
        <item sd="0" x="6"/>
        <item sd="0" x="5"/>
        <item sd="0" x="4"/>
        <item sd="0" x="3"/>
        <item sd="0" x="1"/>
        <item sd="0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5"/>
    <field x="4"/>
  </rowFields>
  <rowItems count="10">
    <i>
      <x v="1"/>
    </i>
    <i>
      <x v="2"/>
    </i>
    <i>
      <x v="5"/>
    </i>
    <i>
      <x v="7"/>
    </i>
    <i>
      <x v="8"/>
    </i>
    <i>
      <x v="9"/>
    </i>
    <i>
      <x v="10"/>
    </i>
    <i r="1">
      <x/>
    </i>
    <i r="1">
      <x v="2"/>
    </i>
    <i t="grand">
      <x/>
    </i>
  </rowItems>
  <colFields count="1">
    <field x="5"/>
  </colFields>
  <colItems count="7">
    <i>
      <x v="1"/>
    </i>
    <i>
      <x v="3"/>
    </i>
    <i>
      <x v="4"/>
    </i>
    <i>
      <x v="7"/>
    </i>
    <i>
      <x v="8"/>
    </i>
    <i>
      <x v="9"/>
    </i>
    <i t="grand">
      <x/>
    </i>
  </colItems>
  <dataFields count="1">
    <dataField name="BUGS     X" fld="5" subtotal="count" baseField="0" baseItem="0"/>
  </dataFields>
  <formats count="56">
    <format dxfId="342">
      <pivotArea type="all" dataOnly="0" outline="0" fieldPosition="0"/>
    </format>
    <format dxfId="343">
      <pivotArea outline="0" collapsedLevelsAreSubtotals="1" fieldPosition="0"/>
    </format>
    <format dxfId="344">
      <pivotArea type="origin" dataOnly="0" labelOnly="1" outline="0" fieldPosition="0"/>
    </format>
    <format dxfId="345">
      <pivotArea field="5" type="button" dataOnly="0" labelOnly="1" outline="0" axis="axisCol" fieldPosition="0"/>
    </format>
    <format dxfId="346">
      <pivotArea type="topRight" dataOnly="0" labelOnly="1" outline="0" fieldPosition="0"/>
    </format>
    <format dxfId="347">
      <pivotArea field="35" type="button" dataOnly="0" labelOnly="1" outline="0" axis="axisRow" fieldPosition="0"/>
    </format>
    <format dxfId="348">
      <pivotArea dataOnly="0" labelOnly="1" fieldPosition="0">
        <references count="1">
          <reference field="35" count="0"/>
        </references>
      </pivotArea>
    </format>
    <format dxfId="349">
      <pivotArea dataOnly="0" labelOnly="1" grandRow="1" outline="0" fieldPosition="0"/>
    </format>
    <format dxfId="350">
      <pivotArea dataOnly="0" labelOnly="1" fieldPosition="0">
        <references count="1">
          <reference field="5" count="0"/>
        </references>
      </pivotArea>
    </format>
    <format dxfId="351">
      <pivotArea dataOnly="0" labelOnly="1" grandCol="1" outline="0" fieldPosition="0"/>
    </format>
    <format dxfId="352">
      <pivotArea type="origin" dataOnly="0" labelOnly="1" outline="0" fieldPosition="0"/>
    </format>
    <format dxfId="353">
      <pivotArea field="5" type="button" dataOnly="0" labelOnly="1" outline="0" axis="axisCol" fieldPosition="0"/>
    </format>
    <format dxfId="354">
      <pivotArea type="topRight" dataOnly="0" labelOnly="1" outline="0" fieldPosition="0"/>
    </format>
    <format dxfId="355">
      <pivotArea type="origin" dataOnly="0" labelOnly="1" outline="0" fieldPosition="0"/>
    </format>
    <format dxfId="356">
      <pivotArea field="5" type="button" dataOnly="0" labelOnly="1" outline="0" axis="axisCol" fieldPosition="0"/>
    </format>
    <format dxfId="357">
      <pivotArea type="topRight" dataOnly="0" labelOnly="1" outline="0" fieldPosition="0"/>
    </format>
    <format dxfId="358">
      <pivotArea field="35" type="button" dataOnly="0" labelOnly="1" outline="0" axis="axisRow" fieldPosition="0"/>
    </format>
    <format dxfId="359">
      <pivotArea dataOnly="0" labelOnly="1" fieldPosition="0">
        <references count="1">
          <reference field="5" count="0"/>
        </references>
      </pivotArea>
    </format>
    <format dxfId="360">
      <pivotArea dataOnly="0" labelOnly="1" grandCol="1" outline="0" fieldPosition="0"/>
    </format>
    <format dxfId="361">
      <pivotArea field="35" type="button" dataOnly="0" labelOnly="1" outline="0" axis="axisRow" fieldPosition="0"/>
    </format>
    <format dxfId="362">
      <pivotArea dataOnly="0" labelOnly="1" fieldPosition="0">
        <references count="1">
          <reference field="5" count="0"/>
        </references>
      </pivotArea>
    </format>
    <format dxfId="363">
      <pivotArea dataOnly="0" labelOnly="1" grandCol="1" outline="0" fieldPosition="0"/>
    </format>
    <format dxfId="364">
      <pivotArea grandRow="1" grandCol="1" outline="0" collapsedLevelsAreSubtotals="1" fieldPosition="0"/>
    </format>
    <format dxfId="365">
      <pivotArea grandRow="1" grandCol="1" outline="0" collapsedLevelsAreSubtotals="1" fieldPosition="0"/>
    </format>
    <format dxfId="366">
      <pivotArea type="all" dataOnly="0" outline="0" fieldPosition="0"/>
    </format>
    <format dxfId="367">
      <pivotArea outline="0" collapsedLevelsAreSubtotals="1" fieldPosition="0"/>
    </format>
    <format dxfId="368">
      <pivotArea type="origin" dataOnly="0" labelOnly="1" outline="0" fieldPosition="0"/>
    </format>
    <format dxfId="369">
      <pivotArea field="5" type="button" dataOnly="0" labelOnly="1" outline="0" axis="axisCol" fieldPosition="0"/>
    </format>
    <format dxfId="370">
      <pivotArea type="topRight" dataOnly="0" labelOnly="1" outline="0" fieldPosition="0"/>
    </format>
    <format dxfId="371">
      <pivotArea field="35" type="button" dataOnly="0" labelOnly="1" outline="0" axis="axisRow" fieldPosition="0"/>
    </format>
    <format dxfId="372">
      <pivotArea dataOnly="0" labelOnly="1" fieldPosition="0">
        <references count="1">
          <reference field="35" count="0"/>
        </references>
      </pivotArea>
    </format>
    <format dxfId="373">
      <pivotArea dataOnly="0" labelOnly="1" grandRow="1" outline="0" fieldPosition="0"/>
    </format>
    <format dxfId="374">
      <pivotArea dataOnly="0" labelOnly="1" fieldPosition="0">
        <references count="1">
          <reference field="5" count="0"/>
        </references>
      </pivotArea>
    </format>
    <format dxfId="375">
      <pivotArea dataOnly="0" labelOnly="1" grandCol="1" outline="0" fieldPosition="0"/>
    </format>
    <format dxfId="376">
      <pivotArea type="all" dataOnly="0" outline="0" fieldPosition="0"/>
    </format>
    <format dxfId="377">
      <pivotArea outline="0" collapsedLevelsAreSubtotals="1" fieldPosition="0"/>
    </format>
    <format dxfId="378">
      <pivotArea type="origin" dataOnly="0" labelOnly="1" outline="0" fieldPosition="0"/>
    </format>
    <format dxfId="379">
      <pivotArea field="5" type="button" dataOnly="0" labelOnly="1" outline="0" axis="axisCol" fieldPosition="0"/>
    </format>
    <format dxfId="380">
      <pivotArea type="topRight" dataOnly="0" labelOnly="1" outline="0" fieldPosition="0"/>
    </format>
    <format dxfId="381">
      <pivotArea field="35" type="button" dataOnly="0" labelOnly="1" outline="0" axis="axisRow" fieldPosition="0"/>
    </format>
    <format dxfId="382">
      <pivotArea dataOnly="0" labelOnly="1" fieldPosition="0">
        <references count="1">
          <reference field="35" count="0"/>
        </references>
      </pivotArea>
    </format>
    <format dxfId="383">
      <pivotArea dataOnly="0" labelOnly="1" grandRow="1" outline="0" fieldPosition="0"/>
    </format>
    <format dxfId="384">
      <pivotArea dataOnly="0" labelOnly="1" fieldPosition="0">
        <references count="1">
          <reference field="5" count="0"/>
        </references>
      </pivotArea>
    </format>
    <format dxfId="385">
      <pivotArea dataOnly="0" labelOnly="1" grandCol="1" outline="0" fieldPosition="0"/>
    </format>
    <format dxfId="386">
      <pivotArea grandRow="1" grandCol="1" outline="0" collapsedLevelsAreSubtotals="1" fieldPosition="0"/>
    </format>
    <format dxfId="387">
      <pivotArea grandRow="1" grandCol="1" outline="0" collapsedLevelsAreSubtotals="1" fieldPosition="0"/>
    </format>
    <format dxfId="388">
      <pivotArea type="all" dataOnly="0" outline="0" fieldPosition="0"/>
    </format>
    <format dxfId="389">
      <pivotArea outline="0" collapsedLevelsAreSubtotals="1" fieldPosition="0"/>
    </format>
    <format dxfId="390">
      <pivotArea type="origin" dataOnly="0" labelOnly="1" outline="0" fieldPosition="0"/>
    </format>
    <format dxfId="391">
      <pivotArea field="5" type="button" dataOnly="0" labelOnly="1" outline="0" axis="axisCol" fieldPosition="0"/>
    </format>
    <format dxfId="392">
      <pivotArea type="topRight" dataOnly="0" labelOnly="1" outline="0" fieldPosition="0"/>
    </format>
    <format dxfId="393">
      <pivotArea field="35" type="button" dataOnly="0" labelOnly="1" outline="0" axis="axisRow" fieldPosition="0"/>
    </format>
    <format dxfId="394">
      <pivotArea dataOnly="0" labelOnly="1" fieldPosition="0">
        <references count="1">
          <reference field="35" count="0"/>
        </references>
      </pivotArea>
    </format>
    <format dxfId="395">
      <pivotArea dataOnly="0" labelOnly="1" grandRow="1" outline="0" fieldPosition="0"/>
    </format>
    <format dxfId="396">
      <pivotArea dataOnly="0" labelOnly="1" fieldPosition="0">
        <references count="1">
          <reference field="5" count="0"/>
        </references>
      </pivotArea>
    </format>
    <format dxfId="39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57D92-9931-41AB-9B9C-342E1FB500A7}" name="TablaDinámica7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 colHeaderCaption="Estado">
  <location ref="A19:I23" firstHeaderRow="1" firstDataRow="2" firstDataCol="1"/>
  <pivotFields count="45">
    <pivotField showAll="0"/>
    <pivotField showAll="0"/>
    <pivotField showAll="0"/>
    <pivotField showAll="0"/>
    <pivotField multipleItemSelectionAllowed="1" showAll="0">
      <items count="7">
        <item sd="0" x="3"/>
        <item sd="0" x="1"/>
        <item sd="0" x="2"/>
        <item sd="0" x="0"/>
        <item m="1" x="5"/>
        <item m="1" x="4"/>
        <item t="default"/>
      </items>
    </pivotField>
    <pivotField axis="axisCol" showAll="0">
      <items count="13">
        <item h="1" x="4"/>
        <item x="0"/>
        <item x="6"/>
        <item x="5"/>
        <item m="1" x="10"/>
        <item x="8"/>
        <item h="1" x="3"/>
        <item x="2"/>
        <item x="7"/>
        <item x="1"/>
        <item h="1"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m="1"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3">
    <i>
      <x/>
    </i>
    <i>
      <x v="1"/>
    </i>
    <i t="grand">
      <x/>
    </i>
  </rowItems>
  <colFields count="1">
    <field x="5"/>
  </colFields>
  <colItems count="8">
    <i>
      <x v="1"/>
    </i>
    <i>
      <x v="2"/>
    </i>
    <i>
      <x v="3"/>
    </i>
    <i>
      <x v="5"/>
    </i>
    <i>
      <x v="7"/>
    </i>
    <i>
      <x v="8"/>
    </i>
    <i>
      <x v="9"/>
    </i>
    <i t="grand">
      <x/>
    </i>
  </colItems>
  <dataFields count="1">
    <dataField name="BUGS X " fld="32" subtotal="count" baseField="0" baseItem="0"/>
  </dataFields>
  <formats count="20">
    <format dxfId="322">
      <pivotArea type="origin" dataOnly="0" labelOnly="1" outline="0" offset="A1" fieldPosition="0"/>
    </format>
    <format dxfId="323">
      <pivotArea field="4" type="button" dataOnly="0" labelOnly="1" outline="0"/>
    </format>
    <format dxfId="324">
      <pivotArea type="origin" dataOnly="0" labelOnly="1" outline="0" fieldPosition="0"/>
    </format>
    <format dxfId="325">
      <pivotArea field="4" type="button" dataOnly="0" labelOnly="1" outline="0"/>
    </format>
    <format dxfId="326">
      <pivotArea type="all" dataOnly="0" outline="0" fieldPosition="0"/>
    </format>
    <format dxfId="327">
      <pivotArea outline="0" collapsedLevelsAreSubtotals="1" fieldPosition="0"/>
    </format>
    <format dxfId="328">
      <pivotArea type="origin" dataOnly="0" labelOnly="1" outline="0" fieldPosition="0"/>
    </format>
    <format dxfId="329">
      <pivotArea field="4" type="button" dataOnly="0" labelOnly="1" outline="0"/>
    </format>
    <format dxfId="330">
      <pivotArea field="5" type="button" dataOnly="0" labelOnly="1" outline="0" axis="axisCol" fieldPosition="0"/>
    </format>
    <format dxfId="331">
      <pivotArea type="topRight" dataOnly="0" labelOnly="1" outline="0" fieldPosition="0"/>
    </format>
    <format dxfId="332">
      <pivotArea field="32" type="button" dataOnly="0" labelOnly="1" outline="0" axis="axisRow" fieldPosition="0"/>
    </format>
    <format dxfId="333">
      <pivotArea dataOnly="0" labelOnly="1" fieldPosition="0">
        <references count="1">
          <reference field="32" count="0"/>
        </references>
      </pivotArea>
    </format>
    <format dxfId="334">
      <pivotArea dataOnly="0" labelOnly="1" grandRow="1" outline="0" fieldPosition="0"/>
    </format>
    <format dxfId="335">
      <pivotArea dataOnly="0" labelOnly="1" grandCol="1" outline="0" fieldPosition="0"/>
    </format>
    <format dxfId="336">
      <pivotArea outline="0" collapsedLevelsAreSubtotals="1" fieldPosition="0"/>
    </format>
    <format dxfId="337">
      <pivotArea outline="0" collapsedLevelsAreSubtotals="1" fieldPosition="0"/>
    </format>
    <format dxfId="338">
      <pivotArea dataOnly="0" labelOnly="1" grandCol="1" outline="0" offset="IV1" fieldPosition="0"/>
    </format>
    <format dxfId="339">
      <pivotArea dataOnly="0" labelOnly="1" grandCol="1" outline="0" fieldPosition="0"/>
    </format>
    <format dxfId="340">
      <pivotArea field="5" type="button" dataOnly="0" labelOnly="1" outline="0" axis="axisCol" fieldPosition="0"/>
    </format>
    <format dxfId="3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58FCB-60C0-469F-8E0E-3BCD8D39C73F}" name="TablaDinámica6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 colHeaderCaption="Prioridad">
  <location ref="A10:F15" firstHeaderRow="1" firstDataRow="3" firstDataCol="1"/>
  <pivotFields count="45">
    <pivotField showAll="0"/>
    <pivotField showAll="0"/>
    <pivotField showAll="0"/>
    <pivotField showAll="0"/>
    <pivotField axis="axisCol" multipleItemSelectionAllowed="1" showAll="0">
      <items count="7">
        <item sd="0" x="3"/>
        <item sd="0" x="1"/>
        <item sd="0" x="2"/>
        <item sd="0" x="0"/>
        <item m="1" x="5"/>
        <item m="1" x="4"/>
        <item t="default"/>
      </items>
    </pivotField>
    <pivotField axis="axisCol" showAll="0">
      <items count="13">
        <item x="4"/>
        <item x="0"/>
        <item x="6"/>
        <item x="5"/>
        <item m="1" x="10"/>
        <item x="8"/>
        <item x="3"/>
        <item x="2"/>
        <item x="7"/>
        <item x="1"/>
        <item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m="1"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3">
    <i>
      <x/>
    </i>
    <i>
      <x v="1"/>
    </i>
    <i t="grand">
      <x/>
    </i>
  </rowItems>
  <colFields count="2">
    <field x="4"/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BUGS X " fld="32" subtotal="count" baseField="0" baseItem="0"/>
  </dataFields>
  <formats count="27">
    <format dxfId="295">
      <pivotArea type="origin" dataOnly="0" labelOnly="1" outline="0" offset="A1" fieldPosition="0"/>
    </format>
    <format dxfId="296">
      <pivotArea field="4" type="button" dataOnly="0" labelOnly="1" outline="0" axis="axisCol" fieldPosition="0"/>
    </format>
    <format dxfId="297">
      <pivotArea type="origin" dataOnly="0" labelOnly="1" outline="0" fieldPosition="0"/>
    </format>
    <format dxfId="298">
      <pivotArea field="4" type="button" dataOnly="0" labelOnly="1" outline="0" axis="axisCol" fieldPosition="0"/>
    </format>
    <format dxfId="299">
      <pivotArea type="all" dataOnly="0" outline="0" fieldPosition="0"/>
    </format>
    <format dxfId="300">
      <pivotArea outline="0" collapsedLevelsAreSubtotals="1" fieldPosition="0"/>
    </format>
    <format dxfId="301">
      <pivotArea type="origin" dataOnly="0" labelOnly="1" outline="0" fieldPosition="0"/>
    </format>
    <format dxfId="302">
      <pivotArea field="4" type="button" dataOnly="0" labelOnly="1" outline="0" axis="axisCol" fieldPosition="0"/>
    </format>
    <format dxfId="303">
      <pivotArea field="5" type="button" dataOnly="0" labelOnly="1" outline="0" axis="axisCol" fieldPosition="1"/>
    </format>
    <format dxfId="304">
      <pivotArea type="topRight" dataOnly="0" labelOnly="1" outline="0" fieldPosition="0"/>
    </format>
    <format dxfId="305">
      <pivotArea field="32" type="button" dataOnly="0" labelOnly="1" outline="0" axis="axisRow" fieldPosition="0"/>
    </format>
    <format dxfId="306">
      <pivotArea dataOnly="0" labelOnly="1" fieldPosition="0">
        <references count="1">
          <reference field="32" count="0"/>
        </references>
      </pivotArea>
    </format>
    <format dxfId="307">
      <pivotArea dataOnly="0" labelOnly="1" grandRow="1" outline="0" fieldPosition="0"/>
    </format>
    <format dxfId="308">
      <pivotArea dataOnly="0" labelOnly="1" fieldPosition="0">
        <references count="1">
          <reference field="4" count="0"/>
        </references>
      </pivotArea>
    </format>
    <format dxfId="309">
      <pivotArea dataOnly="0" labelOnly="1" grandCol="1" outline="0" fieldPosition="0"/>
    </format>
    <format dxfId="310">
      <pivotArea outline="0" collapsedLevelsAreSubtotals="1" fieldPosition="0"/>
    </format>
    <format dxfId="311">
      <pivotArea outline="0" collapsedLevelsAreSubtotals="1" fieldPosition="0"/>
    </format>
    <format dxfId="312">
      <pivotArea dataOnly="0" labelOnly="1" offset="IV1" fieldPosition="0">
        <references count="1">
          <reference field="4" count="1">
            <x v="0"/>
          </reference>
        </references>
      </pivotArea>
    </format>
    <format dxfId="313">
      <pivotArea dataOnly="0" labelOnly="1" offset="IV1" fieldPosition="0">
        <references count="1">
          <reference field="4" count="1">
            <x v="1"/>
          </reference>
        </references>
      </pivotArea>
    </format>
    <format dxfId="314">
      <pivotArea dataOnly="0" labelOnly="1" offset="IV1" fieldPosition="0">
        <references count="1">
          <reference field="4" count="1">
            <x v="2"/>
          </reference>
        </references>
      </pivotArea>
    </format>
    <format dxfId="315">
      <pivotArea dataOnly="0" labelOnly="1" offset="IV1" fieldPosition="0">
        <references count="1">
          <reference field="4" count="1">
            <x v="3"/>
          </reference>
        </references>
      </pivotArea>
    </format>
    <format dxfId="316">
      <pivotArea dataOnly="0" labelOnly="1" grandCol="1" outline="0" offset="IV1" fieldPosition="0"/>
    </format>
    <format dxfId="317">
      <pivotArea dataOnly="0" labelOnly="1" fieldPosition="0">
        <references count="1">
          <reference field="4" count="1">
            <x v="0"/>
          </reference>
        </references>
      </pivotArea>
    </format>
    <format dxfId="318">
      <pivotArea dataOnly="0" labelOnly="1" fieldPosition="0">
        <references count="1">
          <reference field="4" count="1">
            <x v="1"/>
          </reference>
        </references>
      </pivotArea>
    </format>
    <format dxfId="319">
      <pivotArea dataOnly="0" labelOnly="1" fieldPosition="0">
        <references count="1">
          <reference field="4" count="1">
            <x v="2"/>
          </reference>
        </references>
      </pivotArea>
    </format>
    <format dxfId="320">
      <pivotArea dataOnly="0" labelOnly="1" fieldPosition="0">
        <references count="1">
          <reference field="4" count="1">
            <x v="3"/>
          </reference>
        </references>
      </pivotArea>
    </format>
    <format dxfId="3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8D5D6-4EB9-4EF7-A46E-AB978C722A5D}" name="TablaDinámica4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>
  <location ref="A3:B6" firstHeaderRow="1" firstDataRow="1" firstDataCol="1"/>
  <pivotFields count="45">
    <pivotField showAll="0"/>
    <pivotField showAll="0"/>
    <pivotField showAll="0"/>
    <pivotField showAll="0"/>
    <pivotField multipleItemSelectionAllowe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m="1"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Bugs" fld="5" subtotal="count" baseField="26" baseItem="0"/>
  </dataFields>
  <formats count="4">
    <format dxfId="291">
      <pivotArea field="32" type="button" dataOnly="0" labelOnly="1" outline="0" axis="axisRow" fieldPosition="0"/>
    </format>
    <format dxfId="292">
      <pivotArea dataOnly="0" labelOnly="1" outline="0" axis="axisValues" fieldPosition="0"/>
    </format>
    <format dxfId="293">
      <pivotArea field="32" type="button" dataOnly="0" labelOnly="1" outline="0" axis="axisRow" fieldPosition="0"/>
    </format>
    <format dxfId="2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F7E29-7793-493C-9D75-709B53268104}" name="Tabla dinámica5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0" firstHeaderRow="1" firstDataRow="2" firstDataCol="1" rowPageCount="1" colPageCount="1"/>
  <pivotFields count="45"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">
        <item x="1"/>
        <item x="0"/>
        <item x="3"/>
        <item m="1" x="4"/>
        <item x="2"/>
        <item m="1" x="5"/>
        <item t="default"/>
      </items>
    </pivotField>
    <pivotField axis="axisCol" compact="0" outline="0" showAll="0">
      <items count="13">
        <item x="2"/>
        <item h="1" x="4"/>
        <item x="6"/>
        <item x="7"/>
        <item m="1" x="10"/>
        <item x="5"/>
        <item x="8"/>
        <item h="1" x="3"/>
        <item m="1" x="9"/>
        <item x="0"/>
        <item x="1"/>
        <item m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5">
        <item sd="0" x="5"/>
        <item sd="0" x="22"/>
        <item sd="0" x="19"/>
        <item sd="0" x="35"/>
        <item sd="0" x="18"/>
        <item sd="0" x="49"/>
        <item sd="0" x="47"/>
        <item sd="0" x="38"/>
        <item sd="0" x="37"/>
        <item sd="0" x="53"/>
        <item sd="0" x="46"/>
        <item sd="0" x="2"/>
        <item sd="0" x="28"/>
        <item sd="0" x="34"/>
        <item sd="0" x="50"/>
        <item sd="0" x="48"/>
        <item sd="0" x="39"/>
        <item sd="0" x="25"/>
        <item sd="0" x="0"/>
        <item sd="0" x="26"/>
        <item sd="0" x="16"/>
        <item sd="0" x="21"/>
        <item sd="0" x="24"/>
        <item sd="0" x="13"/>
        <item sd="0" x="11"/>
        <item sd="0" x="41"/>
        <item sd="0" x="52"/>
        <item sd="0" x="6"/>
        <item sd="0" x="42"/>
        <item sd="0" x="40"/>
        <item sd="0" x="32"/>
        <item sd="0" x="31"/>
        <item sd="0" x="36"/>
        <item sd="0" x="45"/>
        <item x="17"/>
        <item x="10"/>
        <item x="12"/>
        <item x="15"/>
        <item x="8"/>
        <item x="7"/>
        <item x="43"/>
        <item x="51"/>
        <item x="29"/>
        <item x="9"/>
        <item x="14"/>
        <item x="3"/>
        <item x="33"/>
        <item x="4"/>
        <item x="27"/>
        <item x="44"/>
        <item x="20"/>
        <item x="23"/>
        <item x="3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0"/>
  </rowFields>
  <rowItems count="46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5"/>
  </colFields>
  <colItems count="8">
    <i>
      <x/>
    </i>
    <i>
      <x v="2"/>
    </i>
    <i>
      <x v="3"/>
    </i>
    <i>
      <x v="5"/>
    </i>
    <i>
      <x v="6"/>
    </i>
    <i>
      <x v="9"/>
    </i>
    <i>
      <x v="10"/>
    </i>
    <i t="grand">
      <x/>
    </i>
  </colItems>
  <pageFields count="1">
    <pageField fld="4" hier="-1"/>
  </pageFields>
  <dataFields count="1">
    <dataField name="Recuento de Funcionalidad" fld="40" subtotal="count" baseField="0" baseItem="0"/>
  </dataFields>
  <formats count="58">
    <format dxfId="233">
      <pivotArea type="all" dataOnly="0" outline="0" fieldPosition="0"/>
    </format>
    <format dxfId="234">
      <pivotArea outline="0" collapsedLevelsAreSubtotals="1" fieldPosition="0"/>
    </format>
    <format dxfId="235">
      <pivotArea field="5" type="button" dataOnly="0" labelOnly="1" outline="0" axis="axisCol" fieldPosition="0"/>
    </format>
    <format dxfId="236">
      <pivotArea type="topRight" dataOnly="0" labelOnly="1" outline="0" fieldPosition="0"/>
    </format>
    <format dxfId="237">
      <pivotArea dataOnly="0" labelOnly="1" outline="0" fieldPosition="0">
        <references count="1">
          <reference field="5" count="5">
            <x v="0"/>
            <x v="3"/>
            <x v="5"/>
            <x v="8"/>
            <x v="9"/>
          </reference>
        </references>
      </pivotArea>
    </format>
    <format dxfId="238">
      <pivotArea dataOnly="0" labelOnly="1" grandCol="1" outline="0" fieldPosition="0"/>
    </format>
    <format dxfId="239">
      <pivotArea type="all" dataOnly="0" outline="0" fieldPosition="0"/>
    </format>
    <format dxfId="240">
      <pivotArea outline="0" collapsedLevelsAreSubtotals="1" fieldPosition="0"/>
    </format>
    <format dxfId="241">
      <pivotArea field="5" type="button" dataOnly="0" labelOnly="1" outline="0" axis="axisCol" fieldPosition="0"/>
    </format>
    <format dxfId="242">
      <pivotArea type="topRight" dataOnly="0" labelOnly="1" outline="0" fieldPosition="0"/>
    </format>
    <format dxfId="243">
      <pivotArea dataOnly="0" labelOnly="1" outline="0" fieldPosition="0">
        <references count="1">
          <reference field="40" count="35">
            <x v="0"/>
            <x v="1"/>
            <x v="2"/>
            <x v="3"/>
            <x v="6"/>
            <x v="7"/>
            <x v="10"/>
            <x v="11"/>
            <x v="13"/>
            <x v="16"/>
            <x v="17"/>
            <x v="18"/>
            <x v="20"/>
            <x v="21"/>
            <x v="22"/>
            <x v="24"/>
            <x v="27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</reference>
        </references>
      </pivotArea>
    </format>
    <format dxfId="244">
      <pivotArea dataOnly="0" labelOnly="1" grandRow="1" outline="0" fieldPosition="0"/>
    </format>
    <format dxfId="245">
      <pivotArea dataOnly="0" labelOnly="1" outline="0" fieldPosition="0">
        <references count="1">
          <reference field="5" count="5">
            <x v="0"/>
            <x v="3"/>
            <x v="5"/>
            <x v="8"/>
            <x v="9"/>
          </reference>
        </references>
      </pivotArea>
    </format>
    <format dxfId="246">
      <pivotArea dataOnly="0" labelOnly="1" grandCol="1" outline="0" fieldPosition="0"/>
    </format>
    <format dxfId="247">
      <pivotArea dataOnly="0" labelOnly="1" outline="0" fieldPosition="0">
        <references count="1">
          <reference field="40" count="35">
            <x v="0"/>
            <x v="1"/>
            <x v="2"/>
            <x v="3"/>
            <x v="6"/>
            <x v="7"/>
            <x v="10"/>
            <x v="11"/>
            <x v="13"/>
            <x v="16"/>
            <x v="17"/>
            <x v="18"/>
            <x v="20"/>
            <x v="21"/>
            <x v="22"/>
            <x v="24"/>
            <x v="27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</reference>
        </references>
      </pivotArea>
    </format>
    <format dxfId="248">
      <pivotArea dataOnly="0" labelOnly="1" grandRow="1" outline="0" fieldPosition="0"/>
    </format>
    <format dxfId="249">
      <pivotArea dataOnly="0" labelOnly="1" outline="0" fieldPosition="0">
        <references count="1">
          <reference field="40" count="35">
            <x v="0"/>
            <x v="1"/>
            <x v="2"/>
            <x v="3"/>
            <x v="6"/>
            <x v="7"/>
            <x v="10"/>
            <x v="11"/>
            <x v="13"/>
            <x v="16"/>
            <x v="17"/>
            <x v="18"/>
            <x v="20"/>
            <x v="21"/>
            <x v="22"/>
            <x v="24"/>
            <x v="27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</reference>
        </references>
      </pivotArea>
    </format>
    <format dxfId="250">
      <pivotArea dataOnly="0" labelOnly="1" grandRow="1" outline="0" fieldPosition="0"/>
    </format>
    <format dxfId="251">
      <pivotArea field="4" type="button" dataOnly="0" labelOnly="1" outline="0" axis="axisPage" fieldPosition="0"/>
    </format>
    <format dxfId="252">
      <pivotArea type="origin" dataOnly="0" labelOnly="1" outline="0" fieldPosition="0"/>
    </format>
    <format dxfId="253">
      <pivotArea field="40" type="button" dataOnly="0" labelOnly="1" outline="0" axis="axisRow" fieldPosition="0"/>
    </format>
    <format dxfId="254">
      <pivotArea dataOnly="0" labelOnly="1" outline="0" fieldPosition="0">
        <references count="1">
          <reference field="40" count="45">
            <x v="0"/>
            <x v="1"/>
            <x v="2"/>
            <x v="3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5">
      <pivotArea dataOnly="0" labelOnly="1" grandRow="1" outline="0" fieldPosition="0"/>
    </format>
    <format dxfId="256">
      <pivotArea field="4" type="button" dataOnly="0" labelOnly="1" outline="0" axis="axisPage" fieldPosition="0"/>
    </format>
    <format dxfId="257">
      <pivotArea type="origin" dataOnly="0" labelOnly="1" outline="0" fieldPosition="0"/>
    </format>
    <format dxfId="258">
      <pivotArea field="40" type="button" dataOnly="0" labelOnly="1" outline="0" axis="axisRow" fieldPosition="0"/>
    </format>
    <format dxfId="259">
      <pivotArea dataOnly="0" labelOnly="1" outline="0" fieldPosition="0">
        <references count="1">
          <reference field="40" count="45">
            <x v="0"/>
            <x v="1"/>
            <x v="2"/>
            <x v="3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0">
      <pivotArea dataOnly="0" labelOnly="1" grandRow="1" outline="0" fieldPosition="0"/>
    </format>
    <format dxfId="261">
      <pivotArea field="4" type="button" dataOnly="0" labelOnly="1" outline="0" axis="axisPage" fieldPosition="0"/>
    </format>
    <format dxfId="262">
      <pivotArea type="origin" dataOnly="0" labelOnly="1" outline="0" fieldPosition="0"/>
    </format>
    <format dxfId="263">
      <pivotArea field="40" type="button" dataOnly="0" labelOnly="1" outline="0" axis="axisRow" fieldPosition="0"/>
    </format>
    <format dxfId="264">
      <pivotArea dataOnly="0" labelOnly="1" outline="0" fieldPosition="0">
        <references count="1">
          <reference field="40" count="45">
            <x v="0"/>
            <x v="1"/>
            <x v="2"/>
            <x v="3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5">
      <pivotArea dataOnly="0" labelOnly="1" grandRow="1" outline="0" fieldPosition="0"/>
    </format>
    <format dxfId="266">
      <pivotArea field="40" grandCol="1" outline="0" axis="axisRow" fieldPosition="0">
        <references count="1">
          <reference field="40" count="1" selected="0">
            <x v="11"/>
          </reference>
        </references>
      </pivotArea>
    </format>
    <format dxfId="267">
      <pivotArea outline="0" fieldPosition="0">
        <references count="1">
          <reference field="40" count="1" selected="0">
            <x v="11"/>
          </reference>
        </references>
      </pivotArea>
    </format>
    <format dxfId="268">
      <pivotArea dataOnly="0" labelOnly="1" outline="0" fieldPosition="0">
        <references count="1">
          <reference field="40" count="1">
            <x v="11"/>
          </reference>
        </references>
      </pivotArea>
    </format>
    <format dxfId="269">
      <pivotArea outline="0" fieldPosition="0">
        <references count="1">
          <reference field="40" count="1" selected="0">
            <x v="27"/>
          </reference>
        </references>
      </pivotArea>
    </format>
    <format dxfId="270">
      <pivotArea dataOnly="0" labelOnly="1" outline="0" fieldPosition="0">
        <references count="1">
          <reference field="40" count="1">
            <x v="27"/>
          </reference>
        </references>
      </pivotArea>
    </format>
    <format dxfId="271">
      <pivotArea type="all" dataOnly="0" outline="0" fieldPosition="0"/>
    </format>
    <format dxfId="272">
      <pivotArea outline="0" collapsedLevelsAreSubtotals="1" fieldPosition="0"/>
    </format>
    <format dxfId="273">
      <pivotArea type="origin" dataOnly="0" labelOnly="1" outline="0" fieldPosition="0"/>
    </format>
    <format dxfId="274">
      <pivotArea field="5" type="button" dataOnly="0" labelOnly="1" outline="0" axis="axisCol" fieldPosition="0"/>
    </format>
    <format dxfId="275">
      <pivotArea type="topRight" dataOnly="0" labelOnly="1" outline="0" fieldPosition="0"/>
    </format>
    <format dxfId="276">
      <pivotArea field="40" type="button" dataOnly="0" labelOnly="1" outline="0" axis="axisRow" fieldPosition="0"/>
    </format>
    <format dxfId="277">
      <pivotArea dataOnly="0" labelOnly="1" outline="0" fieldPosition="0">
        <references count="1">
          <reference field="40" count="47">
            <x v="0"/>
            <x v="1"/>
            <x v="2"/>
            <x v="3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278">
      <pivotArea dataOnly="0" labelOnly="1" grandRow="1" outline="0" fieldPosition="0"/>
    </format>
    <format dxfId="279">
      <pivotArea dataOnly="0" labelOnly="1" outline="0" fieldPosition="0">
        <references count="1">
          <reference field="5" count="0"/>
        </references>
      </pivotArea>
    </format>
    <format dxfId="280">
      <pivotArea dataOnly="0" labelOnly="1" grandCol="1" outline="0" fieldPosition="0"/>
    </format>
    <format dxfId="281">
      <pivotArea type="all" dataOnly="0" outline="0" fieldPosition="0"/>
    </format>
    <format dxfId="282">
      <pivotArea outline="0" collapsedLevelsAreSubtotals="1" fieldPosition="0"/>
    </format>
    <format dxfId="283">
      <pivotArea type="origin" dataOnly="0" labelOnly="1" outline="0" fieldPosition="0"/>
    </format>
    <format dxfId="284">
      <pivotArea field="5" type="button" dataOnly="0" labelOnly="1" outline="0" axis="axisCol" fieldPosition="0"/>
    </format>
    <format dxfId="285">
      <pivotArea type="topRight" dataOnly="0" labelOnly="1" outline="0" fieldPosition="0"/>
    </format>
    <format dxfId="286">
      <pivotArea field="40" type="button" dataOnly="0" labelOnly="1" outline="0" axis="axisRow" fieldPosition="0"/>
    </format>
    <format dxfId="287">
      <pivotArea dataOnly="0" labelOnly="1" outline="0" fieldPosition="0">
        <references count="1">
          <reference field="40" count="47">
            <x v="0"/>
            <x v="1"/>
            <x v="2"/>
            <x v="3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288">
      <pivotArea dataOnly="0" labelOnly="1" grandRow="1" outline="0" fieldPosition="0"/>
    </format>
    <format dxfId="289">
      <pivotArea dataOnly="0" labelOnly="1" outline="0" fieldPosition="0">
        <references count="1">
          <reference field="5" count="0"/>
        </references>
      </pivotArea>
    </format>
    <format dxfId="2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FF4B7-1896-4A76-8284-487F14F8C8E8}" name="Tabla dinámica3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 fieldListSortAscending="1">
  <location ref="A2:I8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7">
        <item x="3"/>
        <item x="1"/>
        <item x="2"/>
        <item x="0"/>
        <item m="1" x="5"/>
        <item m="1" x="4"/>
        <item t="default"/>
      </items>
    </pivotField>
    <pivotField name="Estatus" axis="axisCol" compact="0" outline="0" showAll="0">
      <items count="13">
        <item h="1" x="4"/>
        <item x="0"/>
        <item x="2"/>
        <item x="7"/>
        <item x="6"/>
        <item m="1" x="10"/>
        <item x="1"/>
        <item x="5"/>
        <item x="8"/>
        <item h="1" x="3"/>
        <item h="1" m="1" x="11"/>
        <item h="1"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colItems>
  <dataFields count="1">
    <dataField name="Bugs x " fld="4" subtotal="count" baseField="0" baseItem="0"/>
  </dataFields>
  <formats count="44">
    <format dxfId="189">
      <pivotArea type="origin" dataOnly="0" labelOnly="1" outline="0" fieldPosition="0"/>
    </format>
    <format dxfId="190">
      <pivotArea field="5" type="button" dataOnly="0" labelOnly="1" outline="0" axis="axisCol" fieldPosition="0"/>
    </format>
    <format dxfId="191">
      <pivotArea type="topRight" dataOnly="0" labelOnly="1" outline="0" fieldPosition="0"/>
    </format>
    <format dxfId="192">
      <pivotArea field="4" type="button" dataOnly="0" labelOnly="1" outline="0" axis="axisRow" fieldPosition="0"/>
    </format>
    <format dxfId="193">
      <pivotArea dataOnly="0" labelOnly="1" outline="0" fieldPosition="0">
        <references count="1">
          <reference field="5" count="0"/>
        </references>
      </pivotArea>
    </format>
    <format dxfId="194">
      <pivotArea dataOnly="0" labelOnly="1" grandCol="1" outline="0" fieldPosition="0"/>
    </format>
    <format dxfId="195">
      <pivotArea type="origin" dataOnly="0" labelOnly="1" outline="0" fieldPosition="0"/>
    </format>
    <format dxfId="196">
      <pivotArea field="5" type="button" dataOnly="0" labelOnly="1" outline="0" axis="axisCol" fieldPosition="0"/>
    </format>
    <format dxfId="197">
      <pivotArea type="topRight" dataOnly="0" labelOnly="1" outline="0" fieldPosition="0"/>
    </format>
    <format dxfId="198">
      <pivotArea field="4" type="button" dataOnly="0" labelOnly="1" outline="0" axis="axisRow" fieldPosition="0"/>
    </format>
    <format dxfId="199">
      <pivotArea dataOnly="0" labelOnly="1" outline="0" fieldPosition="0">
        <references count="1">
          <reference field="5" count="0"/>
        </references>
      </pivotArea>
    </format>
    <format dxfId="200">
      <pivotArea dataOnly="0" labelOnly="1" grandCol="1" outline="0" fieldPosition="0"/>
    </format>
    <format dxfId="201">
      <pivotArea type="origin" dataOnly="0" labelOnly="1" outline="0" fieldPosition="0"/>
    </format>
    <format dxfId="202">
      <pivotArea field="5" type="button" dataOnly="0" labelOnly="1" outline="0" axis="axisCol" fieldPosition="0"/>
    </format>
    <format dxfId="203">
      <pivotArea type="topRight" dataOnly="0" labelOnly="1" outline="0" fieldPosition="0"/>
    </format>
    <format dxfId="204">
      <pivotArea field="4" type="button" dataOnly="0" labelOnly="1" outline="0" axis="axisRow" fieldPosition="0"/>
    </format>
    <format dxfId="205">
      <pivotArea dataOnly="0" labelOnly="1" outline="0" fieldPosition="0">
        <references count="1">
          <reference field="5" count="0"/>
        </references>
      </pivotArea>
    </format>
    <format dxfId="206">
      <pivotArea dataOnly="0" labelOnly="1" grandCol="1" outline="0" fieldPosition="0"/>
    </format>
    <format dxfId="207">
      <pivotArea outline="0" collapsedLevelsAreSubtotals="1" fieldPosition="0"/>
    </format>
    <format dxfId="208">
      <pivotArea dataOnly="0" labelOnly="1" outline="0" fieldPosition="0">
        <references count="1">
          <reference field="4" count="0"/>
        </references>
      </pivotArea>
    </format>
    <format dxfId="209">
      <pivotArea dataOnly="0" labelOnly="1" grandRow="1" outline="0" fieldPosition="0"/>
    </format>
    <format dxfId="210">
      <pivotArea dataOnly="0" labelOnly="1" grandRow="1" outline="0" fieldPosition="0"/>
    </format>
    <format dxfId="211">
      <pivotArea outline="0" collapsedLevelsAreSubtotals="1" fieldPosition="0"/>
    </format>
    <format dxfId="212">
      <pivotArea dataOnly="0" labelOnly="1" outline="0" fieldPosition="0">
        <references count="1">
          <reference field="4" count="0"/>
        </references>
      </pivotArea>
    </format>
    <format dxfId="213">
      <pivotArea dataOnly="0" labelOnly="1" grandRow="1" outline="0" fieldPosition="0"/>
    </format>
    <format dxfId="214">
      <pivotArea outline="0" collapsedLevelsAreSubtotals="1" fieldPosition="0"/>
    </format>
    <format dxfId="215">
      <pivotArea dataOnly="0" labelOnly="1" outline="0" fieldPosition="0">
        <references count="1">
          <reference field="4" count="0"/>
        </references>
      </pivotArea>
    </format>
    <format dxfId="216">
      <pivotArea dataOnly="0" labelOnly="1" grandRow="1" outline="0" fieldPosition="0"/>
    </format>
    <format dxfId="217">
      <pivotArea grandRow="1" grandCol="1" outline="0" collapsedLevelsAreSubtotals="1" fieldPosition="0"/>
    </format>
    <format dxfId="218">
      <pivotArea field="4" type="button" dataOnly="0" labelOnly="1" outline="0" axis="axisRow" fieldPosition="0"/>
    </format>
    <format dxfId="219">
      <pivotArea dataOnly="0" labelOnly="1" outline="0" fieldPosition="0">
        <references count="1">
          <reference field="5" count="0"/>
        </references>
      </pivotArea>
    </format>
    <format dxfId="220">
      <pivotArea dataOnly="0" labelOnly="1" grandCol="1" outline="0" fieldPosition="0"/>
    </format>
    <format dxfId="221">
      <pivotArea type="origin" dataOnly="0" labelOnly="1" outline="0" fieldPosition="0"/>
    </format>
    <format dxfId="222">
      <pivotArea outline="0" fieldPosition="0">
        <references count="1">
          <reference field="4" count="1" selected="0">
            <x v="0"/>
          </reference>
        </references>
      </pivotArea>
    </format>
    <format dxfId="223">
      <pivotArea dataOnly="0" labelOnly="1" outline="0" fieldPosition="0">
        <references count="1">
          <reference field="4" count="1">
            <x v="0"/>
          </reference>
        </references>
      </pivotArea>
    </format>
    <format dxfId="224">
      <pivotArea outline="0" fieldPosition="0">
        <references count="1">
          <reference field="4" count="1" selected="0">
            <x v="1"/>
          </reference>
        </references>
      </pivotArea>
    </format>
    <format dxfId="225">
      <pivotArea dataOnly="0" labelOnly="1" outline="0" fieldPosition="0">
        <references count="1">
          <reference field="4" count="1">
            <x v="1"/>
          </reference>
        </references>
      </pivotArea>
    </format>
    <format dxfId="226">
      <pivotArea outline="0" fieldPosition="0">
        <references count="1">
          <reference field="4" count="1" selected="0">
            <x v="2"/>
          </reference>
        </references>
      </pivotArea>
    </format>
    <format dxfId="227">
      <pivotArea dataOnly="0" labelOnly="1" outline="0" fieldPosition="0">
        <references count="1">
          <reference field="4" count="1">
            <x v="2"/>
          </reference>
        </references>
      </pivotArea>
    </format>
    <format dxfId="228">
      <pivotArea outline="0" fieldPosition="0">
        <references count="1">
          <reference field="4" count="1" selected="0">
            <x v="3"/>
          </reference>
        </references>
      </pivotArea>
    </format>
    <format dxfId="229">
      <pivotArea dataOnly="0" labelOnly="1" outline="0" fieldPosition="0">
        <references count="1">
          <reference field="4" count="1">
            <x v="3"/>
          </reference>
        </references>
      </pivotArea>
    </format>
    <format dxfId="230">
      <pivotArea grandRow="1" outline="0" collapsedLevelsAreSubtotals="1" fieldPosition="0"/>
    </format>
    <format dxfId="231">
      <pivotArea dataOnly="0" labelOnly="1" grandRow="1" outline="0" fieldPosition="0"/>
    </format>
    <format dxfId="23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4ED7E-B697-44CF-81B8-ABFBF7C4E58C}" name="TablaDinámica10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Estatus">
  <location ref="AE5:AM41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x="1"/>
        <item x="0"/>
        <item x="3"/>
        <item x="2"/>
        <item m="1" x="5"/>
        <item m="1" x="4"/>
        <item t="default"/>
      </items>
    </pivotField>
    <pivotField axis="axisCol" dataField="1" showAll="0">
      <items count="13">
        <item h="1" x="4"/>
        <item x="0"/>
        <item x="6"/>
        <item h="1" m="1" x="10"/>
        <item x="5"/>
        <item x="8"/>
        <item h="1" x="3"/>
        <item x="2"/>
        <item x="7"/>
        <item x="1"/>
        <item h="1"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1"/>
        <item x="3"/>
        <item x="4"/>
        <item x="5"/>
        <item x="6"/>
        <item x="7"/>
        <item x="8"/>
        <item x="9"/>
        <item x="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5"/>
    <field x="4"/>
  </rowFields>
  <rowItems count="3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 v="3"/>
    </i>
    <i>
      <x v="4"/>
    </i>
    <i r="1">
      <x/>
    </i>
    <i r="1">
      <x v="3"/>
    </i>
    <i>
      <x v="5"/>
    </i>
    <i r="1">
      <x v="1"/>
    </i>
    <i r="1">
      <x v="3"/>
    </i>
    <i>
      <x v="6"/>
    </i>
    <i r="1">
      <x v="3"/>
    </i>
    <i>
      <x v="7"/>
    </i>
    <i r="1">
      <x/>
    </i>
    <i>
      <x v="8"/>
    </i>
    <i r="1">
      <x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5"/>
  </colFields>
  <colItems count="8">
    <i>
      <x v="1"/>
    </i>
    <i>
      <x v="2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X Sprint - Pendientes" fld="5" subtotal="count" baseField="0" baseItem="0"/>
  </dataFields>
  <formats count="29">
    <format dxfId="160">
      <pivotArea type="all" dataOnly="0" outline="0" fieldPosition="0"/>
    </format>
    <format dxfId="161">
      <pivotArea outline="0" collapsedLevelsAreSubtotals="1" fieldPosition="0"/>
    </format>
    <format dxfId="162">
      <pivotArea type="origin" dataOnly="0" labelOnly="1" outline="0" fieldPosition="0"/>
    </format>
    <format dxfId="163">
      <pivotArea field="5" type="button" dataOnly="0" labelOnly="1" outline="0" axis="axisCol" fieldPosition="0"/>
    </format>
    <format dxfId="164">
      <pivotArea type="topRight" dataOnly="0" labelOnly="1" outline="0" fieldPosition="0"/>
    </format>
    <format dxfId="165">
      <pivotArea field="35" type="button" dataOnly="0" labelOnly="1" outline="0" axis="axisRow" fieldPosition="0"/>
    </format>
    <format dxfId="166">
      <pivotArea dataOnly="0" labelOnly="1" fieldPosition="0">
        <references count="1">
          <reference field="35" count="0"/>
        </references>
      </pivotArea>
    </format>
    <format dxfId="167">
      <pivotArea dataOnly="0" labelOnly="1" grandRow="1" outline="0" fieldPosition="0"/>
    </format>
    <format dxfId="168">
      <pivotArea dataOnly="0" labelOnly="1" fieldPosition="0">
        <references count="1">
          <reference field="5" count="0"/>
        </references>
      </pivotArea>
    </format>
    <format dxfId="169">
      <pivotArea dataOnly="0" labelOnly="1" grandCol="1" outline="0" fieldPosition="0"/>
    </format>
    <format dxfId="170">
      <pivotArea type="origin" dataOnly="0" labelOnly="1" outline="0" fieldPosition="0"/>
    </format>
    <format dxfId="171">
      <pivotArea field="5" type="button" dataOnly="0" labelOnly="1" outline="0" axis="axisCol" fieldPosition="0"/>
    </format>
    <format dxfId="172">
      <pivotArea type="topRight" dataOnly="0" labelOnly="1" outline="0" fieldPosition="0"/>
    </format>
    <format dxfId="173">
      <pivotArea type="origin" dataOnly="0" labelOnly="1" outline="0" fieldPosition="0"/>
    </format>
    <format dxfId="174">
      <pivotArea field="5" type="button" dataOnly="0" labelOnly="1" outline="0" axis="axisCol" fieldPosition="0"/>
    </format>
    <format dxfId="175">
      <pivotArea type="topRight" dataOnly="0" labelOnly="1" outline="0" fieldPosition="0"/>
    </format>
    <format dxfId="176">
      <pivotArea type="origin" dataOnly="0" labelOnly="1" outline="0" fieldPosition="0"/>
    </format>
    <format dxfId="177">
      <pivotArea field="5" type="button" dataOnly="0" labelOnly="1" outline="0" axis="axisCol" fieldPosition="0"/>
    </format>
    <format dxfId="178">
      <pivotArea type="topRight" dataOnly="0" labelOnly="1" outline="0" fieldPosition="0"/>
    </format>
    <format dxfId="179">
      <pivotArea field="35" type="button" dataOnly="0" labelOnly="1" outline="0" axis="axisRow" fieldPosition="0"/>
    </format>
    <format dxfId="180">
      <pivotArea dataOnly="0" labelOnly="1" fieldPosition="0">
        <references count="1">
          <reference field="5" count="0"/>
        </references>
      </pivotArea>
    </format>
    <format dxfId="181">
      <pivotArea dataOnly="0" labelOnly="1" grandCol="1" outline="0" fieldPosition="0"/>
    </format>
    <format dxfId="182">
      <pivotArea field="35" type="button" dataOnly="0" labelOnly="1" outline="0" axis="axisRow" fieldPosition="0"/>
    </format>
    <format dxfId="183">
      <pivotArea dataOnly="0" labelOnly="1" fieldPosition="0">
        <references count="1">
          <reference field="5" count="0"/>
        </references>
      </pivotArea>
    </format>
    <format dxfId="184">
      <pivotArea dataOnly="0" labelOnly="1" grandCol="1" outline="0" fieldPosition="0"/>
    </format>
    <format dxfId="185">
      <pivotArea grandRow="1" grandCol="1" outline="0" collapsedLevelsAreSubtotals="1" fieldPosition="0"/>
    </format>
    <format dxfId="186">
      <pivotArea grandRow="1" grandCol="1" outline="0" collapsedLevelsAreSubtotals="1" fieldPosition="0"/>
    </format>
    <format dxfId="187">
      <pivotArea outline="0" collapsedLevelsAreSubtotals="1" fieldPosition="0"/>
    </format>
    <format dxfId="1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F167A-4741-408E-99E9-7FC0E62213A0}" name="Tabla dinámica4" cacheId="2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5:Y21" firstHeaderRow="1" firstDataRow="2" firstDataCol="2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13">
        <item x="2"/>
        <item h="1" x="4"/>
        <item x="6"/>
        <item x="7"/>
        <item h="1" m="1" x="10"/>
        <item x="5"/>
        <item x="8"/>
        <item h="1" x="3"/>
        <item x="0"/>
        <item x="1"/>
        <item h="1" m="1" x="11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2"/>
        <item x="1"/>
        <item x="3"/>
        <item x="4"/>
        <item x="5"/>
        <item x="6"/>
        <item x="7"/>
        <item x="8"/>
        <item x="9"/>
        <item x="0"/>
        <item m="1" x="10"/>
        <item t="default"/>
      </items>
    </pivotField>
    <pivotField compact="0" outline="0" showAll="0"/>
    <pivotField axis="axisRow" compact="0" outline="0" showAll="0">
      <items count="14">
        <item sd="0" x="0"/>
        <item sd="0" m="1" x="12"/>
        <item sd="0" x="11"/>
        <item sd="0" x="10"/>
        <item sd="0" x="9"/>
        <item sd="0" x="7"/>
        <item sd="0" x="3"/>
        <item sd="0" x="4"/>
        <item sd="0" x="2"/>
        <item sd="0" x="5"/>
        <item sd="0" x="6"/>
        <item sd="0" x="8"/>
        <item x="1"/>
        <item t="default"/>
      </items>
    </pivotField>
    <pivotField compact="0" outline="0" showAll="0"/>
    <pivotField axis="axisRow" compact="0" outline="0" showAll="0">
      <items count="11">
        <item m="1" x="9"/>
        <item x="2"/>
        <item x="4"/>
        <item x="3"/>
        <item x="1"/>
        <item x="6"/>
        <item x="0"/>
        <item m="1" x="7"/>
        <item m="1" x="8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7"/>
    <field x="39"/>
  </rowFields>
  <rowItems count="15">
    <i>
      <x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  <x v="3"/>
    </i>
    <i r="1">
      <x v="4"/>
    </i>
    <i r="1">
      <x v="6"/>
    </i>
    <i t="default">
      <x v="12"/>
    </i>
    <i t="grand">
      <x/>
    </i>
  </rowItems>
  <colFields count="1">
    <field x="5"/>
  </colFields>
  <colItems count="8">
    <i>
      <x/>
    </i>
    <i>
      <x v="2"/>
    </i>
    <i>
      <x v="3"/>
    </i>
    <i>
      <x v="5"/>
    </i>
    <i>
      <x v="6"/>
    </i>
    <i>
      <x v="8"/>
    </i>
    <i>
      <x v="9"/>
    </i>
    <i t="grand">
      <x/>
    </i>
  </colItems>
  <dataFields count="1">
    <dataField name="Recuento de Estado" fld="5" subtotal="count" baseField="0" baseItem="0"/>
  </dataFields>
  <formats count="4">
    <format dxfId="156">
      <pivotArea field="35" type="button" dataOnly="0" labelOnly="1" outline="0"/>
    </format>
    <format dxfId="157">
      <pivotArea dataOnly="0" labelOnly="1" grandCol="1" outline="0" fieldPosition="0"/>
    </format>
    <format dxfId="158">
      <pivotArea field="35" type="button" dataOnly="0" labelOnly="1" outline="0"/>
    </format>
    <format dxfId="15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1E511-FF7E-43A3-9C0D-5A59217C4A82}" name="TablaDinámica17" cacheId="225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olHeaderCaption="Estatus">
  <location ref="AY5:BD14" firstHeaderRow="1" firstDataRow="2" firstDataCol="1"/>
  <pivotFields count="45">
    <pivotField showAll="0"/>
    <pivotField showAll="0"/>
    <pivotField showAll="0"/>
    <pivotField showAll="0"/>
    <pivotField axis="axisCol" dataField="1" showAll="0">
      <items count="7">
        <item x="3"/>
        <item x="1"/>
        <item x="2"/>
        <item x="0"/>
        <item m="1" x="5"/>
        <item m="1" x="4"/>
        <item t="default"/>
      </items>
    </pivotField>
    <pivotField axis="axisRow" showAll="0">
      <items count="13">
        <item h="1" x="4"/>
        <item x="0"/>
        <item x="6"/>
        <item h="1" m="1" x="10"/>
        <item x="5"/>
        <item x="8"/>
        <item h="1" x="3"/>
        <item x="2"/>
        <item x="7"/>
        <item x="1"/>
        <item h="1"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2"/>
        <item x="1"/>
        <item x="3"/>
        <item x="4"/>
        <item x="5"/>
        <item x="6"/>
        <item x="7"/>
        <item x="8"/>
        <item x="9"/>
        <item x="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1"/>
    </i>
    <i>
      <x v="2"/>
    </i>
    <i>
      <x v="4"/>
    </i>
    <i>
      <x v="5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ioridad" fld="4" subtotal="count" baseField="0" baseItem="0"/>
  </dataFields>
  <formats count="55">
    <format dxfId="101">
      <pivotArea type="all" dataOnly="0" outline="0" fieldPosition="0"/>
    </format>
    <format dxfId="102">
      <pivotArea outline="0" collapsedLevelsAreSubtotals="1" fieldPosition="0"/>
    </format>
    <format dxfId="103">
      <pivotArea type="origin" dataOnly="0" labelOnly="1" outline="0" fieldPosition="0"/>
    </format>
    <format dxfId="104">
      <pivotArea field="5" type="button" dataOnly="0" labelOnly="1" outline="0" axis="axisRow" fieldPosition="0"/>
    </format>
    <format dxfId="105">
      <pivotArea type="topRight" dataOnly="0" labelOnly="1" outline="0" fieldPosition="0"/>
    </format>
    <format dxfId="106">
      <pivotArea field="35" type="button" dataOnly="0" labelOnly="1" outline="0"/>
    </format>
    <format dxfId="107">
      <pivotArea dataOnly="0" labelOnly="1" grandRow="1" outline="0" fieldPosition="0"/>
    </format>
    <format dxfId="108">
      <pivotArea dataOnly="0" labelOnly="1" grandCol="1" outline="0" fieldPosition="0"/>
    </format>
    <format dxfId="109">
      <pivotArea type="origin" dataOnly="0" labelOnly="1" outline="0" fieldPosition="0"/>
    </format>
    <format dxfId="110">
      <pivotArea field="5" type="button" dataOnly="0" labelOnly="1" outline="0" axis="axisRow" fieldPosition="0"/>
    </format>
    <format dxfId="111">
      <pivotArea type="topRight" dataOnly="0" labelOnly="1" outline="0" fieldPosition="0"/>
    </format>
    <format dxfId="112">
      <pivotArea type="origin" dataOnly="0" labelOnly="1" outline="0" fieldPosition="0"/>
    </format>
    <format dxfId="113">
      <pivotArea field="5" type="button" dataOnly="0" labelOnly="1" outline="0" axis="axisRow" fieldPosition="0"/>
    </format>
    <format dxfId="114">
      <pivotArea type="topRight" dataOnly="0" labelOnly="1" outline="0" fieldPosition="0"/>
    </format>
    <format dxfId="115">
      <pivotArea type="origin" dataOnly="0" labelOnly="1" outline="0" fieldPosition="0"/>
    </format>
    <format dxfId="116">
      <pivotArea field="5" type="button" dataOnly="0" labelOnly="1" outline="0" axis="axisRow" fieldPosition="0"/>
    </format>
    <format dxfId="117">
      <pivotArea type="topRight" dataOnly="0" labelOnly="1" outline="0" fieldPosition="0"/>
    </format>
    <format dxfId="118">
      <pivotArea field="35" type="button" dataOnly="0" labelOnly="1" outline="0"/>
    </format>
    <format dxfId="119">
      <pivotArea dataOnly="0" labelOnly="1" grandCol="1" outline="0" fieldPosition="0"/>
    </format>
    <format dxfId="120">
      <pivotArea field="35" type="button" dataOnly="0" labelOnly="1" outline="0"/>
    </format>
    <format dxfId="121">
      <pivotArea dataOnly="0" labelOnly="1" grandCol="1" outline="0" fieldPosition="0"/>
    </format>
    <format dxfId="122">
      <pivotArea grandRow="1" grandCol="1" outline="0" collapsedLevelsAreSubtotals="1" fieldPosition="0"/>
    </format>
    <format dxfId="123">
      <pivotArea grandRow="1" grandCol="1" outline="0" collapsedLevelsAreSubtotals="1" fieldPosition="0"/>
    </format>
    <format dxfId="124">
      <pivotArea field="4" type="button" dataOnly="0" labelOnly="1" outline="0" axis="axisCol" fieldPosition="0"/>
    </format>
    <format dxfId="125">
      <pivotArea dataOnly="0" labelOnly="1" fieldPosition="0">
        <references count="1">
          <reference field="4" count="0"/>
        </references>
      </pivotArea>
    </format>
    <format dxfId="126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127">
      <pivotArea dataOnly="0" labelOnly="1" fieldPosition="0">
        <references count="1">
          <reference field="4" count="1">
            <x v="0"/>
          </reference>
        </references>
      </pivotArea>
    </format>
    <format dxfId="128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129">
      <pivotArea dataOnly="0" labelOnly="1" fieldPosition="0">
        <references count="1">
          <reference field="4" count="1">
            <x v="0"/>
          </reference>
        </references>
      </pivotArea>
    </format>
    <format dxfId="130">
      <pivotArea outline="0" collapsedLevelsAreSubtotals="1" fieldPosition="0">
        <references count="1">
          <reference field="4" count="1" selected="0">
            <x v="1"/>
          </reference>
        </references>
      </pivotArea>
    </format>
    <format dxfId="131">
      <pivotArea dataOnly="0" labelOnly="1" fieldPosition="0">
        <references count="1">
          <reference field="4" count="1">
            <x v="1"/>
          </reference>
        </references>
      </pivotArea>
    </format>
    <format dxfId="132">
      <pivotArea outline="0" collapsedLevelsAreSubtotals="1" fieldPosition="0">
        <references count="1">
          <reference field="4" count="1" selected="0">
            <x v="1"/>
          </reference>
        </references>
      </pivotArea>
    </format>
    <format dxfId="133">
      <pivotArea dataOnly="0" labelOnly="1" fieldPosition="0">
        <references count="1">
          <reference field="4" count="1">
            <x v="1"/>
          </reference>
        </references>
      </pivotArea>
    </format>
    <format dxfId="134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135">
      <pivotArea dataOnly="0" labelOnly="1" fieldPosition="0">
        <references count="1">
          <reference field="4" count="1">
            <x v="2"/>
          </reference>
        </references>
      </pivotArea>
    </format>
    <format dxfId="136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137">
      <pivotArea dataOnly="0" labelOnly="1" fieldPosition="0">
        <references count="1">
          <reference field="4" count="1">
            <x v="2"/>
          </reference>
        </references>
      </pivotArea>
    </format>
    <format dxfId="138">
      <pivotArea outline="0" collapsedLevelsAreSubtotals="1" fieldPosition="0">
        <references count="1">
          <reference field="4" count="1" selected="0">
            <x v="3"/>
          </reference>
        </references>
      </pivotArea>
    </format>
    <format dxfId="139">
      <pivotArea dataOnly="0" labelOnly="1" fieldPosition="0">
        <references count="1">
          <reference field="4" count="1">
            <x v="3"/>
          </reference>
        </references>
      </pivotArea>
    </format>
    <format dxfId="140">
      <pivotArea outline="0" collapsedLevelsAreSubtotals="1" fieldPosition="0">
        <references count="1">
          <reference field="4" count="1" selected="0">
            <x v="3"/>
          </reference>
        </references>
      </pivotArea>
    </format>
    <format dxfId="141">
      <pivotArea dataOnly="0" labelOnly="1" fieldPosition="0">
        <references count="1">
          <reference field="4" count="1">
            <x v="3"/>
          </reference>
        </references>
      </pivotArea>
    </format>
    <format dxfId="142">
      <pivotArea grandCol="1" outline="0" collapsedLevelsAreSubtotals="1" fieldPosition="0"/>
    </format>
    <format dxfId="143">
      <pivotArea dataOnly="0" labelOnly="1" grandCol="1" outline="0" fieldPosition="0"/>
    </format>
    <format dxfId="144">
      <pivotArea grandCol="1" outline="0" collapsedLevelsAreSubtotals="1" fieldPosition="0"/>
    </format>
    <format dxfId="145">
      <pivotArea dataOnly="0" labelOnly="1" grandCol="1" outline="0" fieldPosition="0"/>
    </format>
    <format dxfId="146">
      <pivotArea grandRow="1" grandCol="1" outline="0" collapsedLevelsAreSubtotals="1" fieldPosition="0"/>
    </format>
    <format dxfId="147">
      <pivotArea dataOnly="0" grandCol="1" outline="0" axis="axisCol" fieldPosition="0"/>
    </format>
    <format dxfId="148">
      <pivotArea field="4" dataOnly="0" grandCol="1" outline="0" axis="axisCol" fieldPosition="0">
        <references count="1">
          <reference field="4" count="0"/>
        </references>
      </pivotArea>
    </format>
    <format dxfId="149">
      <pivotArea field="4" dataOnly="0" grandCol="1" outline="0" axis="axisCol" fieldPosition="0">
        <references count="1">
          <reference field="4" count="0"/>
        </references>
      </pivotArea>
    </format>
    <format dxfId="150">
      <pivotArea outline="0" collapsedLevelsAreSubtotals="1" fieldPosition="0"/>
    </format>
    <format dxfId="151">
      <pivotArea dataOnly="0" labelOnly="1" fieldPosition="0">
        <references count="1">
          <reference field="4" count="0"/>
        </references>
      </pivotArea>
    </format>
    <format dxfId="152">
      <pivotArea dataOnly="0" labelOnly="1" grandCol="1" outline="0" fieldPosition="0"/>
    </format>
    <format dxfId="153">
      <pivotArea outline="0" collapsedLevelsAreSubtotals="1" fieldPosition="0"/>
    </format>
    <format dxfId="154">
      <pivotArea dataOnly="0" labelOnly="1" fieldPosition="0">
        <references count="1">
          <reference field="4" count="0"/>
        </references>
      </pivotArea>
    </format>
    <format dxfId="1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0037F-9FE4-4BDB-9412-5105E60A04E9}" name="TablaDinámica14" cacheId="2252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 rowHeaderCaption="SPRINT" colHeaderCaption="ESTADO">
  <location ref="A5:K21" firstHeaderRow="1" firstDataRow="2" firstDataCol="1"/>
  <pivotFields count="45">
    <pivotField showAll="0"/>
    <pivotField showAll="0"/>
    <pivotField showAll="0"/>
    <pivotField showAll="0"/>
    <pivotField axis="axisRow" showAll="0">
      <items count="7">
        <item x="1"/>
        <item x="0"/>
        <item x="3"/>
        <item x="2"/>
        <item m="1" x="5"/>
        <item m="1" x="4"/>
        <item t="default"/>
      </items>
    </pivotField>
    <pivotField axis="axisCol" dataField="1" showAll="0">
      <items count="13">
        <item x="4"/>
        <item x="0"/>
        <item x="6"/>
        <item x="5"/>
        <item x="8"/>
        <item x="3"/>
        <item m="1" x="10"/>
        <item x="2"/>
        <item x="7"/>
        <item x="1"/>
        <item m="1" x="11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sd="0" x="2"/>
        <item sd="0" x="1"/>
        <item sd="0" x="3"/>
        <item sd="0" x="4"/>
        <item sd="0" x="5"/>
        <item sd="0" x="6"/>
        <item sd="0" x="7"/>
        <item sd="0" x="8"/>
        <item sd="0" x="9"/>
        <item x="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5"/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    X" fld="5" subtotal="count" baseField="0" baseItem="0"/>
  </dataFields>
  <formats count="44">
    <format dxfId="57">
      <pivotArea type="all" dataOnly="0" outline="0" fieldPosition="0"/>
    </format>
    <format dxfId="58">
      <pivotArea outline="0" collapsedLevelsAreSubtotals="1" fieldPosition="0"/>
    </format>
    <format dxfId="59">
      <pivotArea type="origin" dataOnly="0" labelOnly="1" outline="0" fieldPosition="0"/>
    </format>
    <format dxfId="60">
      <pivotArea field="5" type="button" dataOnly="0" labelOnly="1" outline="0" axis="axisCol" fieldPosition="0"/>
    </format>
    <format dxfId="61">
      <pivotArea type="topRight" dataOnly="0" labelOnly="1" outline="0" fieldPosition="0"/>
    </format>
    <format dxfId="62">
      <pivotArea field="35" type="button" dataOnly="0" labelOnly="1" outline="0" axis="axisRow" fieldPosition="0"/>
    </format>
    <format dxfId="63">
      <pivotArea dataOnly="0" labelOnly="1" fieldPosition="0">
        <references count="1">
          <reference field="35" count="0"/>
        </references>
      </pivotArea>
    </format>
    <format dxfId="64">
      <pivotArea dataOnly="0" labelOnly="1" grandRow="1" outline="0" fieldPosition="0"/>
    </format>
    <format dxfId="65">
      <pivotArea dataOnly="0" labelOnly="1" fieldPosition="0">
        <references count="1">
          <reference field="5" count="0"/>
        </references>
      </pivotArea>
    </format>
    <format dxfId="66">
      <pivotArea dataOnly="0" labelOnly="1" grandCol="1" outline="0" fieldPosition="0"/>
    </format>
    <format dxfId="67">
      <pivotArea type="origin" dataOnly="0" labelOnly="1" outline="0" fieldPosition="0"/>
    </format>
    <format dxfId="68">
      <pivotArea field="5" type="button" dataOnly="0" labelOnly="1" outline="0" axis="axisCol" fieldPosition="0"/>
    </format>
    <format dxfId="69">
      <pivotArea type="topRight" dataOnly="0" labelOnly="1" outline="0" fieldPosition="0"/>
    </format>
    <format dxfId="70">
      <pivotArea type="origin" dataOnly="0" labelOnly="1" outline="0" fieldPosition="0"/>
    </format>
    <format dxfId="71">
      <pivotArea field="5" type="button" dataOnly="0" labelOnly="1" outline="0" axis="axisCol" fieldPosition="0"/>
    </format>
    <format dxfId="72">
      <pivotArea type="topRight" dataOnly="0" labelOnly="1" outline="0" fieldPosition="0"/>
    </format>
    <format dxfId="73">
      <pivotArea field="35" type="button" dataOnly="0" labelOnly="1" outline="0" axis="axisRow" fieldPosition="0"/>
    </format>
    <format dxfId="74">
      <pivotArea dataOnly="0" labelOnly="1" fieldPosition="0">
        <references count="1">
          <reference field="5" count="0"/>
        </references>
      </pivotArea>
    </format>
    <format dxfId="75">
      <pivotArea dataOnly="0" labelOnly="1" grandCol="1" outline="0" fieldPosition="0"/>
    </format>
    <format dxfId="76">
      <pivotArea field="35" type="button" dataOnly="0" labelOnly="1" outline="0" axis="axisRow" fieldPosition="0"/>
    </format>
    <format dxfId="77">
      <pivotArea dataOnly="0" labelOnly="1" fieldPosition="0">
        <references count="1">
          <reference field="5" count="0"/>
        </references>
      </pivotArea>
    </format>
    <format dxfId="78">
      <pivotArea dataOnly="0" labelOnly="1" grandCol="1" outline="0" fieldPosition="0"/>
    </format>
    <format dxfId="79">
      <pivotArea grandRow="1" grandCol="1" outline="0" collapsedLevelsAreSubtotals="1" fieldPosition="0"/>
    </format>
    <format dxfId="80">
      <pivotArea grandRow="1" grandCol="1" outline="0" collapsedLevelsAreSubtotals="1" fieldPosition="0"/>
    </format>
    <format dxfId="81">
      <pivotArea type="all" dataOnly="0" outline="0" fieldPosition="0"/>
    </format>
    <format dxfId="82">
      <pivotArea outline="0" collapsedLevelsAreSubtotals="1" fieldPosition="0"/>
    </format>
    <format dxfId="83">
      <pivotArea type="origin" dataOnly="0" labelOnly="1" outline="0" fieldPosition="0"/>
    </format>
    <format dxfId="84">
      <pivotArea field="5" type="button" dataOnly="0" labelOnly="1" outline="0" axis="axisCol" fieldPosition="0"/>
    </format>
    <format dxfId="85">
      <pivotArea type="topRight" dataOnly="0" labelOnly="1" outline="0" fieldPosition="0"/>
    </format>
    <format dxfId="86">
      <pivotArea field="35" type="button" dataOnly="0" labelOnly="1" outline="0" axis="axisRow" fieldPosition="0"/>
    </format>
    <format dxfId="87">
      <pivotArea dataOnly="0" labelOnly="1" fieldPosition="0">
        <references count="1">
          <reference field="35" count="0"/>
        </references>
      </pivotArea>
    </format>
    <format dxfId="88">
      <pivotArea dataOnly="0" labelOnly="1" grandRow="1" outline="0" fieldPosition="0"/>
    </format>
    <format dxfId="89">
      <pivotArea dataOnly="0" labelOnly="1" fieldPosition="0">
        <references count="1">
          <reference field="5" count="0"/>
        </references>
      </pivotArea>
    </format>
    <format dxfId="90">
      <pivotArea dataOnly="0" labelOnly="1" grandCol="1" outline="0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type="origin" dataOnly="0" labelOnly="1" outline="0" fieldPosition="0"/>
    </format>
    <format dxfId="94">
      <pivotArea field="5" type="button" dataOnly="0" labelOnly="1" outline="0" axis="axisCol" fieldPosition="0"/>
    </format>
    <format dxfId="95">
      <pivotArea type="topRight" dataOnly="0" labelOnly="1" outline="0" fieldPosition="0"/>
    </format>
    <format dxfId="96">
      <pivotArea field="35" type="button" dataOnly="0" labelOnly="1" outline="0" axis="axisRow" fieldPosition="0"/>
    </format>
    <format dxfId="97">
      <pivotArea dataOnly="0" labelOnly="1" fieldPosition="0">
        <references count="1">
          <reference field="35" count="0"/>
        </references>
      </pivotArea>
    </format>
    <format dxfId="98">
      <pivotArea dataOnly="0" labelOnly="1" grandRow="1" outline="0" fieldPosition="0"/>
    </format>
    <format dxfId="99">
      <pivotArea dataOnly="0" labelOnly="1" fieldPosition="0">
        <references count="1">
          <reference field="5" count="0"/>
        </references>
      </pivotArea>
    </format>
    <format dxfId="10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E2753-038E-4D87-9AA0-49272B11060B}" name="Tabla dinámica11" cacheId="22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:B7" firstHeaderRow="1" firstDataRow="1" firstDataCol="1"/>
  <pivotFields count="3"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  <pivotField dataField="1"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a de Campo3" fld="2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172E1-8D9B-4013-BB67-4F12C1665236}" name="Tabla dinámica12" cacheId="22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:B7" firstHeaderRow="1" firstDataRow="1" firstDataCol="1"/>
  <pivotFields count="3"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a de Campo3" fld="2" baseField="0" baseItem="0"/>
  </dataFields>
  <chartFormats count="8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5C6750C-1DFB-42F9-9889-04D9E088BD10}" autoFormatId="16" applyNumberFormats="0" applyBorderFormats="0" applyFontFormats="0" applyPatternFormats="0" applyAlignmentFormats="0" applyWidthHeightFormats="0">
  <queryTableRefresh nextId="79" unboundColumnsRight="14">
    <queryTableFields count="45">
      <queryTableField id="1" name="Tipo de Incidencia" tableColumnId="1"/>
      <queryTableField id="2" name="Clave de incidencia" tableColumnId="2"/>
      <queryTableField id="3" name="ID de la incidencia" tableColumnId="3"/>
      <queryTableField id="4" name="Resumen" tableColumnId="4"/>
      <queryTableField id="5" name="Principal" tableColumnId="5"/>
      <queryTableField id="6" name="Clave principal" tableColumnId="6"/>
      <queryTableField id="7" name="Parent summary" tableColumnId="7"/>
      <queryTableField id="8" name="Prioridad" tableColumnId="8"/>
      <queryTableField id="9" name="Estado" tableColumnId="9"/>
      <queryTableField id="10" name="Sprint" tableColumnId="10"/>
      <queryTableField id="11" name="Sprint_1" tableColumnId="11"/>
      <queryTableField id="12" name="Sprint_2" tableColumnId="12"/>
      <queryTableField id="13" name="Sprint_3" tableColumnId="13"/>
      <queryTableField id="14" name="Sprint_4" tableColumnId="14"/>
      <queryTableField id="54" dataBound="0" tableColumnId="29"/>
      <queryTableField id="76" dataBound="0" tableColumnId="45"/>
      <queryTableField id="77" dataBound="0" tableColumnId="41"/>
      <queryTableField id="15" name="Etiquetas" tableColumnId="15"/>
      <queryTableField id="16" name="Etiquetas_5" tableColumnId="16"/>
      <queryTableField id="17" name="Etiquetas_6" tableColumnId="17"/>
      <queryTableField id="18" name="Etiquetas_7" tableColumnId="18"/>
      <queryTableField id="19" name="Etiquetas_8" tableColumnId="19"/>
      <queryTableField id="20" name="Etiquetas_9" tableColumnId="20"/>
      <queryTableField id="21" name="Etiquetas_10" tableColumnId="21"/>
      <queryTableField id="58" dataBound="0" tableColumnId="32"/>
      <queryTableField id="64" dataBound="0" tableColumnId="30"/>
      <queryTableField id="22" name="Informador" tableColumnId="22"/>
      <queryTableField id="27" name="Creada" tableColumnId="27"/>
      <queryTableField id="33" name="Versiones corregidas" tableColumnId="33"/>
      <queryTableField id="34" name="Versiones corregidas_13" tableColumnId="34"/>
      <queryTableField id="35" name="Versiones corregidas_14" tableColumnId="35"/>
      <queryTableField id="60" dataBound="0" tableColumnId="37"/>
      <queryTableField id="59" dataBound="0" tableColumnId="36"/>
      <queryTableField id="40" dataBound="0" tableColumnId="40"/>
      <queryTableField id="45" dataBound="0" tableColumnId="25"/>
      <queryTableField id="49" dataBound="0" tableColumnId="28"/>
      <queryTableField id="69" dataBound="0" tableColumnId="38"/>
      <queryTableField id="46" dataBound="0" tableColumnId="26"/>
      <queryTableField id="48" dataBound="0" tableColumnId="24"/>
      <queryTableField id="50" dataBound="0" tableColumnId="23"/>
      <queryTableField id="68" dataBound="0" tableColumnId="42"/>
      <queryTableField id="70" dataBound="0" tableColumnId="31"/>
      <queryTableField id="71" dataBound="0" tableColumnId="39"/>
      <queryTableField id="74" dataBound="0" tableColumnId="43"/>
      <queryTableField id="75" dataBound="0" tableColumnId="44"/>
    </queryTableFields>
    <queryTableDeletedFields count="12">
      <deletedField name="Campo personalizado (Elementos vinculados)"/>
      <deletedField name="Campo personalizado (Test plan)"/>
      <deletedField name="Campo personalizado (Usuario)"/>
      <deletedField name="Actualizada"/>
      <deletedField name="Campo personalizado (T-Shirt Estimation)"/>
      <deletedField name="Campo personalizado (T-Shirt Estimation)_11"/>
      <deletedField name="Campo personalizado (T-Shirt Estimation)_12"/>
      <deletedField name="Campo personalizado (Story Points)"/>
      <deletedField name="Resolución"/>
      <deletedField name="ID del informador"/>
      <deletedField name="Persona asignada"/>
      <deletedField name="ID de la persona asigna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1288-BB43-4DA2-8299-249ADABE9431}" name="Tabla" displayName="Tabla" ref="A1:AS361" tableType="queryTable" headerRowDxfId="56" dataDxfId="55">
  <autoFilter ref="A1:AS361" xr:uid="{93A41288-BB43-4DA2-8299-249ADABE9431}"/>
  <sortState xmlns:xlrd2="http://schemas.microsoft.com/office/spreadsheetml/2017/richdata2" ref="A2:AN279">
    <sortCondition descending="1" ref="B1:B279"/>
  </sortState>
  <tableColumns count="45">
    <tableColumn id="1" xr3:uid="{472B6AF9-251B-4540-ADF4-69AFFD0328BA}" uniqueName="1" name="Tipo de Incidencia" totalsRowLabel="Total" queryTableFieldId="1"/>
    <tableColumn id="2" xr3:uid="{EBDD0740-00E1-4FC2-A597-23DE0B176B7E}" uniqueName="2" name="Clave de incidencia" queryTableFieldId="2"/>
    <tableColumn id="3" xr3:uid="{158B8656-EE26-4F48-91FD-D1EA7B567EDD}" uniqueName="3" name="ID de la incidencia" queryTableFieldId="3"/>
    <tableColumn id="4" xr3:uid="{9083BA8B-924B-4C7B-89A0-6E1D6A8ABFA7}" uniqueName="4" name="Resumen" queryTableFieldId="4"/>
    <tableColumn id="5" xr3:uid="{B1572E98-B13A-4F21-B6C5-F58E0917EA5A}" uniqueName="5" name="Prioridad" queryTableFieldId="5"/>
    <tableColumn id="6" xr3:uid="{187A700B-BBB8-4C3D-B175-E5C7CB588A05}" uniqueName="6" name="Estado" queryTableFieldId="6"/>
    <tableColumn id="7" xr3:uid="{365BB287-CF58-4A6A-B4E9-D4A1AE8DDC97}" uniqueName="7" name="Sprint" queryTableFieldId="7"/>
    <tableColumn id="8" xr3:uid="{1DF9E625-61DE-45C7-BBEE-37C241DCA3A1}" uniqueName="8" name="Sprint2" queryTableFieldId="8"/>
    <tableColumn id="9" xr3:uid="{038F1F7E-00B4-4EFA-8E27-F9D7B1D0ABA8}" uniqueName="9" name="Sprint3" queryTableFieldId="9"/>
    <tableColumn id="10" xr3:uid="{49378AB4-1C6E-4375-B443-41A30E7BCA59}" uniqueName="10" name="Sprint4" queryTableFieldId="10"/>
    <tableColumn id="11" xr3:uid="{7C35751B-5C75-4D75-B71F-4EEEA47FA232}" uniqueName="11" name="Sprint5" queryTableFieldId="11"/>
    <tableColumn id="12" xr3:uid="{D1A0DA15-0824-4F43-8779-79057675E6DD}" uniqueName="12" name="Sprint6" queryTableFieldId="12"/>
    <tableColumn id="13" xr3:uid="{44B62CA8-8836-4E78-BD10-1A3FA0A25822}" uniqueName="13" name="Sprint7" queryTableFieldId="13"/>
    <tableColumn id="14" xr3:uid="{2C453F7E-9876-40FD-9DB2-D3CB7076F6D3}" uniqueName="14" name="Sprint8" queryTableFieldId="14"/>
    <tableColumn id="29" xr3:uid="{8105D084-0399-4B36-A4C3-7A3677EEDB22}" uniqueName="29" name="Sprint9" queryTableFieldId="54"/>
    <tableColumn id="45" xr3:uid="{3C882D68-2BD9-468E-B4CE-0D59EB224427}" uniqueName="45" name="Sprint10" queryTableFieldId="76"/>
    <tableColumn id="41" xr3:uid="{8920D3B4-D845-490F-A739-D0DEAE4D3E0B}" uniqueName="41" name="Sprint11" queryTableFieldId="77"/>
    <tableColumn id="15" xr3:uid="{9AC294CB-C70A-4C9E-93FC-DFCCFEF53A2E}" uniqueName="15" name="Etiquetas" queryTableFieldId="15"/>
    <tableColumn id="16" xr3:uid="{30F6990C-6DA5-4FD8-9715-7772ACC50E43}" uniqueName="16" name="Etiquetas10" queryTableFieldId="16"/>
    <tableColumn id="17" xr3:uid="{86038530-7F08-4CE5-A117-182A85E7B71C}" uniqueName="17" name="Etiquetas11" queryTableFieldId="17"/>
    <tableColumn id="18" xr3:uid="{26B30E23-4B8C-44C1-B324-901C832B01CD}" uniqueName="18" name="Etiquetas12" queryTableFieldId="18"/>
    <tableColumn id="19" xr3:uid="{9AEECDCB-0DAF-4C44-9E33-E4D4517C2824}" uniqueName="19" name="Etiquetas13" queryTableFieldId="19"/>
    <tableColumn id="20" xr3:uid="{3352019A-22E9-42AD-B711-B394F0DA56F5}" uniqueName="20" name="Etiquetas14" queryTableFieldId="20"/>
    <tableColumn id="21" xr3:uid="{CBB4716E-AD89-4147-9D23-66520CB0E5D3}" uniqueName="21" name="Etiquetas15" queryTableFieldId="21"/>
    <tableColumn id="32" xr3:uid="{E579BD4B-B16E-4C3B-8E7D-CC16E074B653}" uniqueName="32" name="Etiquetas16" queryTableFieldId="58"/>
    <tableColumn id="30" xr3:uid="{650DCB5D-AF92-4204-83B3-DAB19B31B87B}" uniqueName="30" name="Etiquetas17" queryTableFieldId="64"/>
    <tableColumn id="22" xr3:uid="{A238397B-9E26-484A-A629-8E7D97DC12E1}" uniqueName="22" name="Informador" queryTableFieldId="22"/>
    <tableColumn id="27" xr3:uid="{8F2FD764-475E-4B99-8C1F-EDFD9E018081}" uniqueName="27" name="Creada" queryTableFieldId="27"/>
    <tableColumn id="33" xr3:uid="{04DDEA51-60DE-402C-AB4E-758B1ECA407D}" uniqueName="33" name="Versiones corregidas" queryTableFieldId="33"/>
    <tableColumn id="34" xr3:uid="{1E55D1A5-B897-400D-8B33-6DA2D122E765}" uniqueName="34" name="Versiones corregidas19" queryTableFieldId="34"/>
    <tableColumn id="35" xr3:uid="{840043CA-A5BD-455B-BA97-46BCF8F43B45}" uniqueName="35" name="Versiones corregidas20" queryTableFieldId="35"/>
    <tableColumn id="37" xr3:uid="{4BECC42B-A366-4A84-A13A-A7C81D6F1C08}" uniqueName="37" name="Versiones corregidas21" queryTableFieldId="60"/>
    <tableColumn id="36" xr3:uid="{F4FCE28C-02CD-42A4-8395-3952E3FA1CBC}" uniqueName="36" name="Módulo" queryTableFieldId="59"/>
    <tableColumn id="40" xr3:uid="{41FFE95B-4444-4B98-9AC0-102E1B25250F}" uniqueName="40" name="Desarrollador" queryTableFieldId="40" dataDxfId="53" totalsRowDxfId="54"/>
    <tableColumn id="25" xr3:uid="{1CF2B895-DA46-4602-A038-FE1B1AB6912F}" uniqueName="25" name="Desarrollador_Bug_Cancelado" queryTableFieldId="45" dataDxfId="51" totalsRowDxfId="52"/>
    <tableColumn id="28" xr3:uid="{DC9D81F4-72FB-483C-89F0-D430C82A7BD6}" uniqueName="28" name="¿En que Sprint fue encontrado?" queryTableFieldId="49" dataDxfId="49" totalsRowDxfId="50">
      <calculatedColumnFormula array="1">IFERROR(_xlfn.XLOOKUP(TRUE,COUNTIF(Tabla[[#This Row],[Etiquetas]:[Etiquetas17]],Versiones!$G$2:$G$36)&gt;0,Versiones!$B$2:$B$36), "")</calculatedColumnFormula>
    </tableColumn>
    <tableColumn id="38" xr3:uid="{C84C2E80-6F24-4774-9DFE-676DF4242A1D}" uniqueName="38" name="¿En qué versión fue encontrado?" queryTableFieldId="69" dataDxfId="47" totalsRowDxfId="48">
      <calculatedColumnFormula array="1">IFERROR(_xlfn.XLOOKUP(TRUE,COUNTIF(Tabla[[#This Row],[Etiquetas]:[Etiquetas17]],Versiones!$G$2:$G$36)&gt;0,Versiones!$A$2:$A$36), "")</calculatedColumnFormula>
    </tableColumn>
    <tableColumn id="26" xr3:uid="{EAD0CEDB-E22A-4B1B-B405-42F706DBCA40}" uniqueName="26" name="¿En qué versión fue corregido?" queryTableFieldId="46" dataDxfId="45" totalsRowDxfId="46">
      <calculatedColumnFormula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calculatedColumnFormula>
    </tableColumn>
    <tableColumn id="24" xr3:uid="{9993617E-12EB-4CC3-B6A5-E1520E0C5186}" uniqueName="24" name="¿En que Sprint fue corregido?" queryTableFieldId="48" dataDxfId="43" totalsRowDxfId="44">
      <calculatedColumnFormula>IFERROR(_xlfn.XLOOKUP(Tabla[[#This Row],[¿En qué versión fue corregido?]],Versiones!$A$2:$A$34,Versiones!$B$2:$B$34),"No encontrado")</calculatedColumnFormula>
    </tableColumn>
    <tableColumn id="23" xr3:uid="{2FE297B1-2133-4E86-AFFF-28270B59C29F}" uniqueName="23" name="Categoría" queryTableFieldId="50" dataDxfId="41" totalsRowDxfId="42">
      <calculatedColumnFormula array="1">IFERROR(_xlfn.XLOOKUP(TRUE,COUNTIF(Tabla[[#This Row],[Etiquetas]:[Etiquetas17]],Categorías!$A$2:$A$12)&gt;0,Categorías!$A$2:$A$12),"No encontrado")</calculatedColumnFormula>
    </tableColumn>
    <tableColumn id="42" xr3:uid="{A54717F1-7DFF-4B40-BDFE-0DEA663E52EE}" uniqueName="42" name="Funcionalidad" queryTableFieldId="68" dataDxfId="39" totalsRowDxfId="40">
      <calculatedColumnFormula array="1">IFERROR(INDEX(Funcionalidades!$A$2:$A$80,MATCH(TRUE, COUNTIF(Reporte_Gral!R2:Z2,Funcionalidades!$A$2:$A$80)&gt;0,0)),"No encontrado")</calculatedColumnFormula>
    </tableColumn>
    <tableColumn id="31" xr3:uid="{9ACAFF88-1BE6-46AD-8DA0-E6D7DD09BB61}" uniqueName="31" name="Fue encontrado durante UAT?" queryTableFieldId="70" dataDxfId="37" totalsRowDxfId="38">
      <calculatedColumnFormula>IF(AND(COUNTIF(Tabla[[#This Row],[Etiquetas]:[Etiquetas17]],"*UAT_V*")&gt;0,COUNTIF(Tabla[[#This Row],[Etiquetas]:[Etiquetas17]],"*QA-Integración*")=0),"SI","")</calculatedColumnFormula>
    </tableColumn>
    <tableColumn id="39" xr3:uid="{4F61A2E3-1A23-4CC9-9C51-80DA1BFFEC6B}" uniqueName="39" name="En que versión de UAT fue encontrado?" queryTableFieldId="71" dataDxfId="35" totalsRowDxfId="36">
      <calculatedColumnFormula array="1">IF(Tabla[[#This Row],[Fue encontrado durante UAT?]]="SI",IFERROR(_xlfn.XLOOKUP(TRUE,ISNUMBER(SEARCH("UAT_V",Tabla[[#This Row],[Etiquetas]:[Etiquetas17]])),Tabla[[#This Row],[Etiquetas]:[Etiquetas17]]),""),"")</calculatedColumnFormula>
    </tableColumn>
    <tableColumn id="43" xr3:uid="{9BFDC6B4-2D08-46F1-8749-22C7C2475B3A}" uniqueName="43" name="Fue devuelto?" queryTableFieldId="74" dataDxfId="33" totalsRowDxfId="34">
      <calculatedColumnFormula>IF(COUNTIF(Tabla[[#This Row],[Etiquetas]:[Etiquetas17]],"*Devuelto*")&gt;0,"SI","")</calculatedColumnFormula>
    </tableColumn>
    <tableColumn id="44" xr3:uid="{91F31EF2-CAE7-4A9B-BF97-4D2BD61AA517}" uniqueName="44" name="Cuántas veces fue devuelto?" totalsRowFunction="sum" queryTableFieldId="75" dataDxfId="31" totalsRowDxfId="32">
      <calculatedColumnFormula>COUNTIF(Tabla[[#This Row],[Etiquetas]:[Etiquetas17]],"*Devuelto*")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B55CBA-9B37-4EC7-B371-CE33B64831A1}" name="Jira__325" displayName="Jira__325" ref="A1:AH139" totalsRowShown="0">
  <autoFilter ref="A1:AH139" xr:uid="{98B55CBA-9B37-4EC7-B371-CE33B64831A1}"/>
  <sortState xmlns:xlrd2="http://schemas.microsoft.com/office/spreadsheetml/2017/richdata2" ref="A2:AH127">
    <sortCondition descending="1" ref="B1:B127"/>
  </sortState>
  <tableColumns count="34">
    <tableColumn id="1" xr3:uid="{D5C42C96-D794-4DF1-8A62-EBB558DB2C00}" name="Tipo de Incidencia" dataDxfId="30"/>
    <tableColumn id="2" xr3:uid="{0B5B7569-2B3C-4D80-9290-C3D82C344B98}" name="Clave de incidencia" dataDxfId="29"/>
    <tableColumn id="3" xr3:uid="{F6CBADCA-20E9-4217-A247-2E900B24F1FC}" name="ID de la incidencia"/>
    <tableColumn id="4" xr3:uid="{36D42D5A-03F3-4FF7-A107-2E236F353553}" name="Resumen" dataDxfId="28"/>
    <tableColumn id="5" xr3:uid="{18CFF498-F137-41E9-B550-F06DA3E2A0BC}" name="Principal"/>
    <tableColumn id="6" xr3:uid="{9E5FDFF1-B51B-48D8-8755-0875DD6896A8}" name="Clave principal" dataDxfId="27"/>
    <tableColumn id="7" xr3:uid="{8772FB39-2942-4F00-8B20-EA8D8CEEB745}" name="Parent summary" dataDxfId="26"/>
    <tableColumn id="8" xr3:uid="{67A41C06-C731-4714-A25A-D38FB600CBDB}" name="Prioridad" dataDxfId="25"/>
    <tableColumn id="9" xr3:uid="{BEE2776F-F87E-46F0-BDB9-811A74C47D20}" name="Estado" dataDxfId="24"/>
    <tableColumn id="10" xr3:uid="{C409D159-9BD4-4714-9557-2158BA7E66F2}" name="Sprint" dataDxfId="23"/>
    <tableColumn id="11" xr3:uid="{5148CC01-6BA7-43A1-AB3A-AE8804AD0C38}" name="Sprint_1" dataDxfId="22"/>
    <tableColumn id="12" xr3:uid="{A58F353A-398B-4C5A-8D67-F7F7ADC86D3E}" name="Sprint_2" dataDxfId="21"/>
    <tableColumn id="13" xr3:uid="{6AC83182-328C-4C16-9CAF-8DF45CDF65E7}" name="Sprint_3" dataDxfId="20"/>
    <tableColumn id="14" xr3:uid="{75D37A42-AAB3-4D5C-8E4A-552D80468AB1}" name="Sprint_4" dataDxfId="19"/>
    <tableColumn id="29" xr3:uid="{06731F70-554D-486F-BD9D-F384C14C86C4}" name="Sprint_5"/>
    <tableColumn id="15" xr3:uid="{CD1EA234-1399-4197-9F6B-EC73E2202BAA}" name="Etiquetas" dataDxfId="18"/>
    <tableColumn id="16" xr3:uid="{EA153D22-320E-49CC-A8AB-FA2259AA2E8B}" name="Etiquetas_5" dataDxfId="17"/>
    <tableColumn id="17" xr3:uid="{1B48C6E3-5093-412F-A8CF-D2DF2D32234D}" name="Etiquetas_6" dataDxfId="16"/>
    <tableColumn id="18" xr3:uid="{FC9D79FD-C22D-44AE-9519-EB5A9B02570C}" name="Etiquetas_7" dataDxfId="15"/>
    <tableColumn id="19" xr3:uid="{35674137-CA3A-4CF0-9E97-B2FD15EE85DA}" name="Etiquetas_8" dataDxfId="14"/>
    <tableColumn id="20" xr3:uid="{CE357298-7003-4212-9AD3-81F75F23E7B7}" name="Etiquetas_9" dataDxfId="13"/>
    <tableColumn id="21" xr3:uid="{63A205FA-1D6C-4FFD-8CAE-C49834FA156F}" name="Etiquetas_10" dataDxfId="12"/>
    <tableColumn id="22" xr3:uid="{318F6A2E-E036-4F01-B13E-35E8311DA083}" name="Informador" dataDxfId="11"/>
    <tableColumn id="27" xr3:uid="{2C07BDB4-4229-4C1F-AB23-063D8E9573AD}" name="Creada" dataDxfId="10"/>
    <tableColumn id="33" xr3:uid="{1FAE67FC-B97D-4BC5-BDCE-6D10825B4C05}" name="Versiones corregidas" dataDxfId="9"/>
    <tableColumn id="34" xr3:uid="{4D4AB56C-040E-42AF-998F-BDC950EFB363}" name="Versiones corregidas_13" dataDxfId="8"/>
    <tableColumn id="35" xr3:uid="{AEBC4298-D8C0-49D4-91F2-A85743671ED4}" name="Versiones corregidas_14" dataDxfId="7"/>
    <tableColumn id="39" xr3:uid="{1FAC286E-E8B5-40EA-9C13-1D2594D9600A}" name="Módulo" dataDxfId="6">
      <calculatedColumnFormula>IF(LEFT(Jira__325[[#This Row],[Resumen]],3)="POS","POS",IF(LEFT(Jira__325[[#This Row],[Resumen]],3)="BOT","BOT",""))</calculatedColumnFormula>
    </tableColumn>
    <tableColumn id="40" xr3:uid="{E20DEAC8-9946-4620-986F-AE5883186615}" name="Desarrollador" dataDxfId="5"/>
    <tableColumn id="25" xr3:uid="{C0ED8318-F8C8-4E6D-9727-5DE4D3224312}" name="Desarrollador_Bug_Cancelado" dataDxfId="4"/>
    <tableColumn id="28" xr3:uid="{8E3D443B-6AF3-4450-AFDF-8EA9A033CD6F}" name="¿En que Sprint fue encontrado?" dataDxfId="3">
      <calculatedColumnFormula array="1">_xlfn.IFS(OR(COUNTIF(P2:V2,Categorías!#REF!)&gt;0, COUNTIF(P2:V2,Categorías!#REF!)&gt;0), "Sprint 21",OR(COUNTIF(P2:V2,Categorías!#REF!)&gt;0, COUNTIF(P2:V2,Categorías!#REF!)&gt;0, COUNTIF(P2:V2,Categorías!#REF!)&gt;0), "Sprint 20",OR(COUNTIF(P2:V2,Categorías!#REF!)&gt;0, COUNTIF(P2:V2,Categorías!#REF!)&gt;0, COUNTIF(P2:V2,Categorías!#REF!)&gt;0), "Sprint 19",OR(COUNTIF(P2:V2,Categorías!#REF!)&gt;0, COUNTIF(P2:V2,Categorías!#REF!)&gt;0, COUNTIF(P2:V2,Categorías!#REF!)&gt;0), "Sprint 18",OR(COUNTIF(P2:V2,Categorías!#REF!)&gt;0, COUNTIF(P2:V2,Categorías!#REF!)&gt;0, COUNTIF(P2:V2,Categorías!#REF!)&gt;0, COUNTIF(P2:V2,Categorías!#REF!)&gt;0), "Sprint 17",OR(COUNTIF(P2:V2,Categorías!#REF!)&gt;0, COUNTIF(P2:V2,Categorías!#REF!)&gt;0, COUNTIF(P2:V2,Categorías!#REF!)&gt;0, COUNTIF(P2:V2,Categorías!#REF!)&gt;0), "Sprint 16", OR(COUNTIF(P2:V2,Categorías!#REF!)&gt;0, COUNTIF(P2:V2,Categorías!#REF!)&gt;0, COUNTIF(P2:V2,Categorías!#REF!)&gt;0, COUNTIF(P2:V2,Categorías!#REF!)&gt;0), "Sprint 16",TRUE, "")</calculatedColumnFormula>
    </tableColumn>
    <tableColumn id="26" xr3:uid="{8BE52F3B-EA79-4F02-8A91-C39CE2CD95F3}" name="¿En qué versión fue corregido?" dataDxfId="2">
      <calculatedColumnFormula>"v"&amp;MAX(
    IFERROR(VALUE(MID(Jira__325[[#This Row],[Versiones corregidas]],2,99)),0),
    IFERROR(VALUE(MID(Jira__325[[#This Row],[Versiones corregidas_13]],2,99)),0),
    IFERROR(VALUE(MID(Jira__325[[#This Row],[Versiones corregidas_14]],2,99)),0)
)</calculatedColumnFormula>
    </tableColumn>
    <tableColumn id="24" xr3:uid="{60DE6702-41FF-4995-8A86-E4AAA2E79EF3}" name="¿En que Sprint fue corregido?" dataDxfId="1">
      <calculatedColumnFormula array="1">_xlfn.IFS(Jira__325[[#This Row],[¿En qué versión fue corregido?]]="v0","Sprint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 TRUE,"Desconocido")</calculatedColumnFormula>
    </tableColumn>
    <tableColumn id="23" xr3:uid="{F057D94D-7BA6-4F87-987E-D92068B8D7E2}" name="Categoría" dataDxfId="0">
      <calculatedColumnFormula array="1">_xlfn.IFS(COUNTIF(P2:V2, Categorías!$A$2)&gt;0, "Funcional", COUNTIF(P2:V2, Categorías!$A$3)&gt;0, "Configuración", COUNTIF(P2:V2, Categorías!$A$4)&gt;0, "Look&amp;Feel", COUNTIF(P2:V2, Categorías!$A$5)&gt;0, "Integración", COUNTIF(P2:V2, Categorías!$A$6)&gt;0, "Contenido/Datos", COUNTIF(P2:V2, Categorías!$A$7)&gt;0, "Eventos_Cosmos", COUNTIF(P2:V2, Categorías!$A$8)&gt;0, "Eventos_iOT", COUNTIF(P2:V2, Categorías!$A$9)&gt;0, "Eventos_Fabric", TRUE, "No encontrado")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iendas3b.atlassian.net/browse/T20-2243" TargetMode="External"/><Relationship Id="rId3" Type="http://schemas.openxmlformats.org/officeDocument/2006/relationships/hyperlink" Target="https://tiendas3b.atlassian.net/browse/T20-947" TargetMode="External"/><Relationship Id="rId7" Type="http://schemas.openxmlformats.org/officeDocument/2006/relationships/hyperlink" Target="https://tiendas3b.atlassian.net/browse/T20-3507" TargetMode="External"/><Relationship Id="rId12" Type="http://schemas.openxmlformats.org/officeDocument/2006/relationships/hyperlink" Target="https://tiendas3b.atlassian.net/browse/T20-3581" TargetMode="External"/><Relationship Id="rId2" Type="http://schemas.openxmlformats.org/officeDocument/2006/relationships/hyperlink" Target="https://tiendas3b.atlassian.net/browse/T20-3173" TargetMode="External"/><Relationship Id="rId1" Type="http://schemas.openxmlformats.org/officeDocument/2006/relationships/hyperlink" Target="https://tiendas3b.atlassian.net/browse/T20-3045" TargetMode="External"/><Relationship Id="rId6" Type="http://schemas.openxmlformats.org/officeDocument/2006/relationships/hyperlink" Target="https://tiendas3b.atlassian.net/browse/T20-3629" TargetMode="External"/><Relationship Id="rId11" Type="http://schemas.openxmlformats.org/officeDocument/2006/relationships/hyperlink" Target="https://tiendas3b.atlassian.net/browse/T20-3098" TargetMode="External"/><Relationship Id="rId5" Type="http://schemas.openxmlformats.org/officeDocument/2006/relationships/hyperlink" Target="https://tiendas3b.atlassian.net/browse/T20-3628" TargetMode="External"/><Relationship Id="rId10" Type="http://schemas.openxmlformats.org/officeDocument/2006/relationships/hyperlink" Target="https://tiendas3b.atlassian.net/browse/T20-3746" TargetMode="External"/><Relationship Id="rId4" Type="http://schemas.openxmlformats.org/officeDocument/2006/relationships/hyperlink" Target="https://tiendas3b.atlassian.net/browse/T20-3630" TargetMode="External"/><Relationship Id="rId9" Type="http://schemas.openxmlformats.org/officeDocument/2006/relationships/hyperlink" Target="https://tiendas3b.atlassian.net/browse/T20-366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pivotTable" Target="../pivotTables/pivotTable2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28F5-2989-4798-9549-A3C4927B2E04}">
  <dimension ref="A1:L17"/>
  <sheetViews>
    <sheetView workbookViewId="0">
      <selection activeCell="J3" sqref="J3:J6"/>
    </sheetView>
  </sheetViews>
  <sheetFormatPr defaultRowHeight="15"/>
  <cols>
    <col min="1" max="1" width="27" customWidth="1"/>
    <col min="2" max="2" width="15.85546875" customWidth="1"/>
    <col min="3" max="3" width="19" customWidth="1"/>
    <col min="4" max="4" width="23.28515625" customWidth="1"/>
    <col min="5" max="6" width="18.5703125" customWidth="1"/>
    <col min="7" max="7" width="8.7109375" bestFit="1" customWidth="1"/>
    <col min="8" max="8" width="6.140625" bestFit="1" customWidth="1"/>
    <col min="9" max="9" width="19.42578125" bestFit="1" customWidth="1"/>
    <col min="10" max="10" width="19.28515625" customWidth="1"/>
    <col min="11" max="11" width="18.42578125" customWidth="1"/>
    <col min="12" max="12" width="16" customWidth="1"/>
    <col min="13" max="13" width="19.85546875" customWidth="1"/>
    <col min="14" max="22" width="12.5703125" customWidth="1"/>
    <col min="23" max="23" width="16" bestFit="1" customWidth="1"/>
    <col min="24" max="24" width="12.5703125" bestFit="1" customWidth="1"/>
    <col min="25" max="25" width="10.5703125" bestFit="1" customWidth="1"/>
    <col min="26" max="26" width="8.7109375" bestFit="1" customWidth="1"/>
    <col min="27" max="27" width="21.7109375" customWidth="1"/>
    <col min="28" max="28" width="13.7109375" bestFit="1" customWidth="1"/>
    <col min="29" max="29" width="8" bestFit="1" customWidth="1"/>
    <col min="30" max="30" width="6.5703125" bestFit="1" customWidth="1"/>
    <col min="31" max="31" width="11" bestFit="1" customWidth="1"/>
    <col min="32" max="32" width="17" bestFit="1" customWidth="1"/>
    <col min="33" max="33" width="5" bestFit="1" customWidth="1"/>
    <col min="34" max="34" width="8.5703125" bestFit="1" customWidth="1"/>
    <col min="35" max="35" width="6.5703125" bestFit="1" customWidth="1"/>
    <col min="36" max="36" width="20.140625" bestFit="1" customWidth="1"/>
    <col min="37" max="37" width="24.85546875" bestFit="1" customWidth="1"/>
    <col min="38" max="38" width="27.85546875" bestFit="1" customWidth="1"/>
    <col min="39" max="39" width="18" bestFit="1" customWidth="1"/>
    <col min="40" max="40" width="5" bestFit="1" customWidth="1"/>
    <col min="41" max="41" width="8.5703125" bestFit="1" customWidth="1"/>
    <col min="42" max="42" width="6.5703125" bestFit="1" customWidth="1"/>
    <col min="43" max="43" width="20.85546875" bestFit="1" customWidth="1"/>
    <col min="44" max="44" width="12.5703125" bestFit="1" customWidth="1"/>
  </cols>
  <sheetData>
    <row r="1" spans="1:12">
      <c r="A1" s="177" t="s">
        <v>0</v>
      </c>
      <c r="B1" s="178" t="s">
        <v>1</v>
      </c>
      <c r="C1" s="178" t="s">
        <v>2</v>
      </c>
      <c r="D1" s="178" t="s">
        <v>3</v>
      </c>
      <c r="E1" s="178" t="s">
        <v>4</v>
      </c>
      <c r="F1" s="178" t="s">
        <v>5</v>
      </c>
      <c r="G1" s="178" t="s">
        <v>6</v>
      </c>
      <c r="I1" s="169" t="s">
        <v>7</v>
      </c>
      <c r="J1" s="169" t="s">
        <v>3</v>
      </c>
      <c r="K1" s="169" t="s">
        <v>4</v>
      </c>
      <c r="L1" s="169" t="s">
        <v>8</v>
      </c>
    </row>
    <row r="2" spans="1:12">
      <c r="A2" s="153">
        <v>45993</v>
      </c>
      <c r="B2" s="14">
        <v>280</v>
      </c>
      <c r="C2" s="14">
        <f>B2-D2-E2</f>
        <v>36</v>
      </c>
      <c r="D2" s="14">
        <v>104</v>
      </c>
      <c r="E2" s="14">
        <v>140</v>
      </c>
      <c r="F2" s="14">
        <v>23</v>
      </c>
      <c r="G2" s="154">
        <f>F2/B2</f>
        <v>8.2142857142857142E-2</v>
      </c>
      <c r="H2" s="170"/>
      <c r="I2" s="137"/>
      <c r="J2" s="137"/>
      <c r="K2" s="137"/>
      <c r="L2" s="170"/>
    </row>
    <row r="3" spans="1:12">
      <c r="A3" s="153">
        <v>45999</v>
      </c>
      <c r="B3" s="14">
        <v>296</v>
      </c>
      <c r="C3" s="14">
        <f t="shared" ref="C3:C4" si="0">B3-D3-E3</f>
        <v>36</v>
      </c>
      <c r="D3" s="14">
        <v>114</v>
      </c>
      <c r="E3" s="14">
        <v>146</v>
      </c>
      <c r="F3" s="14">
        <v>32</v>
      </c>
      <c r="G3" s="154">
        <f>F3/B3</f>
        <v>0.10810810810810811</v>
      </c>
      <c r="H3" s="170"/>
      <c r="I3" s="137">
        <f>B3-B2</f>
        <v>16</v>
      </c>
      <c r="J3" s="137">
        <f>D3-D2</f>
        <v>10</v>
      </c>
      <c r="K3" s="137">
        <f>E3-E2</f>
        <v>6</v>
      </c>
      <c r="L3" s="170">
        <f>F3-F2</f>
        <v>9</v>
      </c>
    </row>
    <row r="4" spans="1:12">
      <c r="A4" s="153">
        <v>46006</v>
      </c>
      <c r="B4" s="14">
        <v>319</v>
      </c>
      <c r="C4" s="14">
        <f t="shared" si="0"/>
        <v>46</v>
      </c>
      <c r="D4" s="14">
        <v>129</v>
      </c>
      <c r="E4" s="14">
        <v>144</v>
      </c>
      <c r="F4" s="14">
        <v>40</v>
      </c>
      <c r="G4" s="154">
        <f>F4/B4</f>
        <v>0.12539184952978055</v>
      </c>
      <c r="H4" s="170"/>
      <c r="I4" s="137">
        <f>B4-B3</f>
        <v>23</v>
      </c>
      <c r="J4" s="137">
        <f>D4-D3</f>
        <v>15</v>
      </c>
      <c r="K4" s="137">
        <f>E4-E3</f>
        <v>-2</v>
      </c>
      <c r="L4" s="170">
        <f>F4-F3</f>
        <v>8</v>
      </c>
    </row>
    <row r="5" spans="1:12">
      <c r="A5" s="171">
        <v>46013</v>
      </c>
      <c r="B5" s="137">
        <v>338</v>
      </c>
      <c r="C5" s="137">
        <v>56</v>
      </c>
      <c r="D5" s="137">
        <v>140</v>
      </c>
      <c r="E5" s="137">
        <v>142</v>
      </c>
      <c r="F5" s="137">
        <v>36</v>
      </c>
      <c r="G5" s="154">
        <f>F5/B5</f>
        <v>0.10650887573964497</v>
      </c>
      <c r="H5" s="170"/>
      <c r="I5" s="137">
        <f>B5-B4</f>
        <v>19</v>
      </c>
      <c r="J5" s="137">
        <f>D5-D4</f>
        <v>11</v>
      </c>
      <c r="K5" s="137">
        <f>E5-E4</f>
        <v>-2</v>
      </c>
      <c r="L5" s="170">
        <f>F5-F4</f>
        <v>-4</v>
      </c>
    </row>
    <row r="6" spans="1:12">
      <c r="A6" s="171">
        <v>46020</v>
      </c>
      <c r="B6" s="137">
        <v>356</v>
      </c>
      <c r="C6" s="137">
        <v>56</v>
      </c>
      <c r="D6" s="137">
        <v>158</v>
      </c>
      <c r="E6" s="137">
        <v>142</v>
      </c>
      <c r="F6" s="137">
        <v>40</v>
      </c>
      <c r="G6" s="154">
        <f>F6/B6</f>
        <v>0.11235955056179775</v>
      </c>
      <c r="I6" s="137">
        <f>B6-B5</f>
        <v>18</v>
      </c>
      <c r="J6" s="137">
        <f>D6-D5</f>
        <v>18</v>
      </c>
      <c r="K6" s="137">
        <f>E6-E5</f>
        <v>0</v>
      </c>
      <c r="L6" s="170">
        <f>F6-F5</f>
        <v>4</v>
      </c>
    </row>
    <row r="7" spans="1:12">
      <c r="A7" s="153">
        <v>46027</v>
      </c>
      <c r="B7" s="14">
        <v>360</v>
      </c>
      <c r="C7" s="14">
        <v>56</v>
      </c>
      <c r="D7" s="14">
        <v>158</v>
      </c>
      <c r="E7" s="14">
        <v>146</v>
      </c>
      <c r="F7" s="14">
        <v>40</v>
      </c>
      <c r="G7" s="154">
        <f>F7/B7</f>
        <v>0.1111111111111111</v>
      </c>
      <c r="I7" s="137">
        <f>B7-B6</f>
        <v>4</v>
      </c>
      <c r="J7" s="137">
        <f>D7-D6</f>
        <v>0</v>
      </c>
      <c r="K7" s="137">
        <f>E7-E6</f>
        <v>4</v>
      </c>
      <c r="L7" s="170">
        <f>F7-F6</f>
        <v>0</v>
      </c>
    </row>
    <row r="9" spans="1:12">
      <c r="J9">
        <f>AVERAGE(J3:J6)</f>
        <v>13.5</v>
      </c>
    </row>
    <row r="13" spans="1:12">
      <c r="A13" s="204" t="s">
        <v>9</v>
      </c>
      <c r="B13" s="205"/>
      <c r="C13" s="206"/>
      <c r="D13" s="155"/>
      <c r="G13" s="151"/>
    </row>
    <row r="14" spans="1:12">
      <c r="A14" s="190" t="s">
        <v>10</v>
      </c>
      <c r="B14" s="187">
        <f>C14/$F$7</f>
        <v>0.2</v>
      </c>
      <c r="C14" s="191">
        <v>8</v>
      </c>
      <c r="G14" s="151"/>
    </row>
    <row r="15" spans="1:12">
      <c r="A15" s="192" t="s">
        <v>11</v>
      </c>
      <c r="B15" s="188">
        <f>C15/$F$7</f>
        <v>0.32500000000000001</v>
      </c>
      <c r="C15" s="193">
        <v>13</v>
      </c>
      <c r="G15" s="151"/>
    </row>
    <row r="16" spans="1:12">
      <c r="A16" s="194" t="s">
        <v>12</v>
      </c>
      <c r="B16" s="189">
        <f>C16/$F$7</f>
        <v>0.32500000000000001</v>
      </c>
      <c r="C16" s="195">
        <v>13</v>
      </c>
    </row>
    <row r="17" spans="1:3">
      <c r="A17" s="196" t="s">
        <v>13</v>
      </c>
      <c r="B17" s="197">
        <f>C17/$F$7</f>
        <v>0.15</v>
      </c>
      <c r="C17" s="198">
        <v>6</v>
      </c>
    </row>
  </sheetData>
  <mergeCells count="1"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031E-8697-49C0-A348-590FB39190A9}">
  <dimension ref="A1:AE75"/>
  <sheetViews>
    <sheetView workbookViewId="0">
      <selection activeCell="H27" sqref="H27"/>
    </sheetView>
  </sheetViews>
  <sheetFormatPr defaultRowHeight="15"/>
  <cols>
    <col min="1" max="1" width="27" customWidth="1"/>
    <col min="2" max="2" width="12.42578125" bestFit="1" customWidth="1"/>
    <col min="3" max="3" width="10.42578125" bestFit="1" customWidth="1"/>
    <col min="4" max="4" width="10.7109375" bestFit="1" customWidth="1"/>
    <col min="5" max="5" width="19.42578125" bestFit="1" customWidth="1"/>
    <col min="6" max="6" width="15.140625" bestFit="1" customWidth="1"/>
    <col min="7" max="7" width="16" bestFit="1" customWidth="1"/>
    <col min="8" max="8" width="19.85546875" bestFit="1" customWidth="1"/>
    <col min="9" max="9" width="12.5703125" customWidth="1"/>
    <col min="10" max="10" width="16" customWidth="1"/>
    <col min="11" max="11" width="19.85546875" customWidth="1"/>
    <col min="12" max="20" width="12.5703125" customWidth="1"/>
    <col min="21" max="21" width="16" bestFit="1" customWidth="1"/>
    <col min="22" max="22" width="12.5703125" bestFit="1" customWidth="1"/>
    <col min="23" max="23" width="10.5703125" bestFit="1" customWidth="1"/>
    <col min="24" max="24" width="8.7109375" bestFit="1" customWidth="1"/>
    <col min="25" max="25" width="21.7109375" customWidth="1"/>
    <col min="26" max="26" width="13.7109375" bestFit="1" customWidth="1"/>
    <col min="27" max="27" width="8" bestFit="1" customWidth="1"/>
    <col min="28" max="28" width="6.5703125" bestFit="1" customWidth="1"/>
    <col min="29" max="29" width="11" bestFit="1" customWidth="1"/>
    <col min="30" max="30" width="17" bestFit="1" customWidth="1"/>
    <col min="31" max="31" width="5" bestFit="1" customWidth="1"/>
    <col min="32" max="32" width="8.5703125" bestFit="1" customWidth="1"/>
    <col min="33" max="33" width="6.5703125" bestFit="1" customWidth="1"/>
    <col min="34" max="34" width="20.140625" bestFit="1" customWidth="1"/>
    <col min="35" max="35" width="24.85546875" bestFit="1" customWidth="1"/>
    <col min="36" max="36" width="27.85546875" bestFit="1" customWidth="1"/>
    <col min="37" max="37" width="18" bestFit="1" customWidth="1"/>
    <col min="38" max="38" width="5" bestFit="1" customWidth="1"/>
    <col min="39" max="39" width="8.5703125" bestFit="1" customWidth="1"/>
    <col min="40" max="40" width="6.5703125" bestFit="1" customWidth="1"/>
    <col min="41" max="41" width="20.85546875" bestFit="1" customWidth="1"/>
    <col min="42" max="42" width="12.5703125" bestFit="1" customWidth="1"/>
  </cols>
  <sheetData>
    <row r="1" spans="1:31">
      <c r="A1" s="124" t="s">
        <v>14</v>
      </c>
      <c r="B1" s="17" t="s">
        <v>15</v>
      </c>
    </row>
    <row r="2" spans="1:31">
      <c r="AD2" t="s">
        <v>16</v>
      </c>
      <c r="AE2" t="s">
        <v>8</v>
      </c>
    </row>
    <row r="3" spans="1:31">
      <c r="A3" s="124" t="s">
        <v>17</v>
      </c>
      <c r="B3" s="17"/>
      <c r="C3" s="124" t="s">
        <v>18</v>
      </c>
      <c r="D3" s="17"/>
      <c r="E3" s="17"/>
      <c r="F3" s="17"/>
      <c r="G3" s="17"/>
      <c r="H3" s="17"/>
      <c r="I3" s="17"/>
      <c r="M3" s="149"/>
      <c r="N3" s="149"/>
      <c r="O3" s="149"/>
      <c r="P3" s="149"/>
      <c r="Q3" s="149"/>
      <c r="R3" s="149"/>
      <c r="S3" s="149"/>
      <c r="T3" s="149"/>
      <c r="Y3" s="9" t="s">
        <v>19</v>
      </c>
      <c r="Z3" s="9" t="s">
        <v>20</v>
      </c>
    </row>
    <row r="4" spans="1:31">
      <c r="A4" s="124" t="s">
        <v>21</v>
      </c>
      <c r="B4" s="124" t="s">
        <v>22</v>
      </c>
      <c r="C4" s="17" t="s">
        <v>23</v>
      </c>
      <c r="D4" s="17" t="s">
        <v>24</v>
      </c>
      <c r="E4" s="17" t="s">
        <v>25</v>
      </c>
      <c r="F4" s="14" t="s">
        <v>26</v>
      </c>
      <c r="G4" s="14" t="s">
        <v>27</v>
      </c>
      <c r="H4" s="17" t="s">
        <v>28</v>
      </c>
      <c r="I4" s="14" t="s">
        <v>29</v>
      </c>
      <c r="M4" s="58"/>
      <c r="N4" s="58"/>
      <c r="O4" s="58"/>
      <c r="P4" s="58"/>
      <c r="Q4" s="58"/>
      <c r="R4" s="58"/>
      <c r="S4" s="58"/>
      <c r="T4" s="58"/>
      <c r="Y4" s="9" t="s">
        <v>30</v>
      </c>
      <c r="Z4" s="123">
        <f>AE4/AD4</f>
        <v>9.6234309623430964E-2</v>
      </c>
      <c r="AD4">
        <v>239</v>
      </c>
      <c r="AE4">
        <v>23</v>
      </c>
    </row>
    <row r="5" spans="1:31">
      <c r="A5" s="17" t="s">
        <v>31</v>
      </c>
      <c r="B5" s="17"/>
      <c r="C5" s="14">
        <v>1</v>
      </c>
      <c r="D5" s="14">
        <v>6</v>
      </c>
      <c r="E5" s="14"/>
      <c r="F5" s="14">
        <v>9</v>
      </c>
      <c r="G5" s="14">
        <v>3</v>
      </c>
      <c r="H5" s="14"/>
      <c r="I5" s="14">
        <v>19</v>
      </c>
      <c r="M5" s="58"/>
      <c r="N5" s="58"/>
      <c r="O5" s="58"/>
      <c r="P5" s="58"/>
      <c r="Q5" s="58"/>
      <c r="R5" s="58"/>
      <c r="S5" s="58"/>
      <c r="T5" s="58"/>
      <c r="Y5" s="9" t="s">
        <v>32</v>
      </c>
      <c r="Z5" s="123">
        <f>AE5/AD5</f>
        <v>0.10810810810810811</v>
      </c>
      <c r="AD5">
        <v>296</v>
      </c>
      <c r="AE5">
        <v>32</v>
      </c>
    </row>
    <row r="6" spans="1:31">
      <c r="A6" s="17" t="s">
        <v>33</v>
      </c>
      <c r="B6" s="17"/>
      <c r="C6" s="14">
        <v>1</v>
      </c>
      <c r="D6" s="14">
        <v>1</v>
      </c>
      <c r="E6" s="14">
        <v>1</v>
      </c>
      <c r="F6" s="14"/>
      <c r="G6" s="14">
        <v>5</v>
      </c>
      <c r="H6" s="14">
        <v>1</v>
      </c>
      <c r="I6" s="14">
        <v>9</v>
      </c>
      <c r="M6" s="58"/>
      <c r="N6" s="58"/>
      <c r="O6" s="58"/>
      <c r="P6" s="58"/>
      <c r="Q6" s="58"/>
      <c r="R6" s="58"/>
      <c r="S6" s="58"/>
      <c r="T6" s="58"/>
    </row>
    <row r="7" spans="1:31">
      <c r="A7" s="17" t="s">
        <v>34</v>
      </c>
      <c r="B7" s="17"/>
      <c r="C7" s="14"/>
      <c r="D7" s="14">
        <v>1</v>
      </c>
      <c r="E7" s="14"/>
      <c r="F7" s="14">
        <v>6</v>
      </c>
      <c r="G7" s="14">
        <v>2</v>
      </c>
      <c r="H7" s="14"/>
      <c r="I7" s="14">
        <v>9</v>
      </c>
      <c r="M7" s="58"/>
      <c r="N7" s="58"/>
      <c r="O7" s="58"/>
      <c r="P7" s="58"/>
      <c r="Q7" s="58"/>
      <c r="R7" s="58"/>
      <c r="S7" s="58"/>
      <c r="T7" s="58"/>
    </row>
    <row r="8" spans="1:31">
      <c r="A8" s="17" t="s">
        <v>35</v>
      </c>
      <c r="B8" s="17" t="s">
        <v>36</v>
      </c>
      <c r="C8" s="14"/>
      <c r="D8" s="14"/>
      <c r="E8" s="14"/>
      <c r="F8" s="14"/>
      <c r="G8" s="14">
        <v>1</v>
      </c>
      <c r="H8" s="14"/>
      <c r="I8" s="14">
        <v>1</v>
      </c>
      <c r="M8" s="58"/>
      <c r="N8" s="58"/>
      <c r="O8" s="58"/>
      <c r="P8" s="58"/>
      <c r="Q8" s="58"/>
      <c r="R8" s="58"/>
      <c r="S8" s="58"/>
      <c r="T8" s="58"/>
    </row>
    <row r="9" spans="1:31">
      <c r="A9" s="17"/>
      <c r="B9" s="17" t="s">
        <v>37</v>
      </c>
      <c r="C9" s="14"/>
      <c r="D9" s="14"/>
      <c r="E9" s="14"/>
      <c r="F9" s="14"/>
      <c r="G9" s="14">
        <v>2</v>
      </c>
      <c r="H9" s="14"/>
      <c r="I9" s="14">
        <v>2</v>
      </c>
      <c r="M9" s="58"/>
      <c r="N9" s="58"/>
      <c r="O9" s="58"/>
      <c r="P9" s="58"/>
      <c r="Q9" s="58"/>
      <c r="R9" s="58"/>
      <c r="S9" s="58"/>
      <c r="T9" s="58"/>
    </row>
    <row r="10" spans="1:31">
      <c r="A10" s="17" t="s">
        <v>38</v>
      </c>
      <c r="B10" s="17"/>
      <c r="C10" s="14"/>
      <c r="D10" s="14"/>
      <c r="E10" s="14"/>
      <c r="F10" s="14"/>
      <c r="G10" s="14">
        <v>3</v>
      </c>
      <c r="H10" s="14"/>
      <c r="I10" s="14">
        <v>3</v>
      </c>
      <c r="M10" s="58"/>
      <c r="N10" s="58"/>
      <c r="O10" s="58"/>
      <c r="P10" s="58"/>
      <c r="Q10" s="58"/>
      <c r="R10" s="58"/>
      <c r="S10" s="58"/>
      <c r="T10" s="58"/>
    </row>
    <row r="11" spans="1:31">
      <c r="A11" s="17" t="s">
        <v>29</v>
      </c>
      <c r="B11" s="17"/>
      <c r="C11" s="14">
        <v>2</v>
      </c>
      <c r="D11" s="14">
        <v>8</v>
      </c>
      <c r="E11" s="14">
        <v>1</v>
      </c>
      <c r="F11" s="14">
        <v>15</v>
      </c>
      <c r="G11" s="14">
        <v>13</v>
      </c>
      <c r="H11" s="14">
        <v>1</v>
      </c>
      <c r="I11" s="14">
        <v>40</v>
      </c>
      <c r="M11" s="58"/>
      <c r="N11" s="58"/>
      <c r="O11" s="58"/>
      <c r="P11" s="58"/>
      <c r="Q11" s="58"/>
      <c r="R11" s="58"/>
      <c r="S11" s="58"/>
      <c r="T11" s="58"/>
    </row>
    <row r="12" spans="1:31">
      <c r="M12" s="58"/>
      <c r="N12" s="58"/>
      <c r="O12" s="58"/>
      <c r="P12" s="58"/>
      <c r="Q12" s="58"/>
      <c r="R12" s="58"/>
      <c r="S12" s="58"/>
      <c r="T12" s="58"/>
    </row>
    <row r="45" spans="1:6">
      <c r="A45" s="55" t="s">
        <v>14</v>
      </c>
      <c r="B45" t="s">
        <v>15</v>
      </c>
    </row>
    <row r="47" spans="1:6">
      <c r="A47" s="55" t="s">
        <v>39</v>
      </c>
      <c r="B47" s="55" t="s">
        <v>22</v>
      </c>
    </row>
    <row r="48" spans="1:6">
      <c r="A48" s="55" t="s">
        <v>18</v>
      </c>
      <c r="B48" t="s">
        <v>36</v>
      </c>
      <c r="C48" t="s">
        <v>40</v>
      </c>
      <c r="D48" t="s">
        <v>41</v>
      </c>
      <c r="E48" t="s">
        <v>37</v>
      </c>
      <c r="F48" t="s">
        <v>29</v>
      </c>
    </row>
    <row r="49" spans="1:6">
      <c r="A49" t="s">
        <v>23</v>
      </c>
      <c r="B49">
        <v>1</v>
      </c>
      <c r="E49">
        <v>1</v>
      </c>
      <c r="F49">
        <v>2</v>
      </c>
    </row>
    <row r="50" spans="1:6">
      <c r="A50" t="s">
        <v>25</v>
      </c>
      <c r="B50">
        <v>1</v>
      </c>
      <c r="F50">
        <v>1</v>
      </c>
    </row>
    <row r="51" spans="1:6">
      <c r="A51" t="s">
        <v>26</v>
      </c>
      <c r="B51">
        <v>4</v>
      </c>
      <c r="C51">
        <v>3</v>
      </c>
      <c r="D51">
        <v>5</v>
      </c>
      <c r="E51">
        <v>3</v>
      </c>
      <c r="F51">
        <v>15</v>
      </c>
    </row>
    <row r="52" spans="1:6">
      <c r="A52" t="s">
        <v>27</v>
      </c>
      <c r="B52">
        <v>4</v>
      </c>
      <c r="D52">
        <v>3</v>
      </c>
      <c r="E52">
        <v>6</v>
      </c>
      <c r="F52">
        <v>13</v>
      </c>
    </row>
    <row r="53" spans="1:6">
      <c r="A53" t="s">
        <v>28</v>
      </c>
      <c r="E53">
        <v>1</v>
      </c>
      <c r="F53">
        <v>1</v>
      </c>
    </row>
    <row r="54" spans="1:6">
      <c r="A54" t="s">
        <v>29</v>
      </c>
      <c r="B54">
        <v>10</v>
      </c>
      <c r="C54">
        <v>3</v>
      </c>
      <c r="D54">
        <v>8</v>
      </c>
      <c r="E54">
        <v>11</v>
      </c>
      <c r="F54">
        <v>32</v>
      </c>
    </row>
    <row r="71" spans="1:7">
      <c r="A71" s="207" t="s">
        <v>9</v>
      </c>
      <c r="B71" s="207"/>
      <c r="C71" s="152"/>
      <c r="D71" s="155"/>
      <c r="G71" s="151"/>
    </row>
    <row r="72" spans="1:7">
      <c r="A72" s="125" t="s">
        <v>10</v>
      </c>
      <c r="B72" s="126">
        <f>C72/F54</f>
        <v>0.25</v>
      </c>
      <c r="C72" s="125">
        <f>D54</f>
        <v>8</v>
      </c>
      <c r="G72" s="151"/>
    </row>
    <row r="73" spans="1:7">
      <c r="A73" s="127" t="s">
        <v>11</v>
      </c>
      <c r="B73" s="128">
        <f>C73/F54</f>
        <v>0.3125</v>
      </c>
      <c r="C73" s="127">
        <f>B54</f>
        <v>10</v>
      </c>
      <c r="G73" s="151"/>
    </row>
    <row r="74" spans="1:7">
      <c r="A74" s="129" t="s">
        <v>12</v>
      </c>
      <c r="B74" s="130">
        <f>C74/F54</f>
        <v>0.34375</v>
      </c>
      <c r="C74" s="129">
        <f>E54</f>
        <v>11</v>
      </c>
    </row>
    <row r="75" spans="1:7">
      <c r="A75" s="131" t="s">
        <v>13</v>
      </c>
      <c r="B75" s="132">
        <f>C75/F54</f>
        <v>9.375E-2</v>
      </c>
      <c r="C75" s="131">
        <f>C54</f>
        <v>3</v>
      </c>
    </row>
  </sheetData>
  <mergeCells count="1">
    <mergeCell ref="A71:B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1725-DE22-4EC4-A18E-B3570778BE66}">
  <dimension ref="A3:I25"/>
  <sheetViews>
    <sheetView zoomScale="85" zoomScaleNormal="85" workbookViewId="0">
      <selection activeCell="C15" sqref="C15:C18"/>
    </sheetView>
  </sheetViews>
  <sheetFormatPr defaultColWidth="9.140625" defaultRowHeight="15" customHeight="1"/>
  <cols>
    <col min="2" max="2" width="13.5703125" customWidth="1"/>
    <col min="3" max="3" width="17" customWidth="1"/>
    <col min="4" max="4" width="19.42578125" hidden="1" customWidth="1"/>
    <col min="5" max="5" width="14.85546875" customWidth="1"/>
    <col min="6" max="6" width="15.140625" customWidth="1"/>
    <col min="7" max="7" width="17.5703125" customWidth="1"/>
    <col min="8" max="8" width="14.85546875" bestFit="1" customWidth="1"/>
    <col min="9" max="9" width="12.5703125" customWidth="1"/>
    <col min="10" max="10" width="15" customWidth="1"/>
    <col min="11" max="14" width="6" bestFit="1" customWidth="1"/>
  </cols>
  <sheetData>
    <row r="3" spans="1:9" ht="43.5">
      <c r="A3" s="37"/>
      <c r="B3" s="107" t="s">
        <v>42</v>
      </c>
      <c r="C3" s="110" t="s">
        <v>43</v>
      </c>
      <c r="D3" s="111" t="s">
        <v>44</v>
      </c>
      <c r="E3" s="112" t="s">
        <v>45</v>
      </c>
      <c r="F3" s="113" t="s">
        <v>3</v>
      </c>
      <c r="G3" s="110" t="s">
        <v>46</v>
      </c>
      <c r="H3" s="114" t="s">
        <v>47</v>
      </c>
      <c r="I3" s="33"/>
    </row>
    <row r="4" spans="1:9">
      <c r="A4" s="38"/>
      <c r="B4" s="156">
        <v>0.4</v>
      </c>
      <c r="C4" s="60">
        <f>'BUGS X VERSIÓN'!$B10</f>
        <v>35</v>
      </c>
      <c r="D4" s="76" t="e">
        <f>+#REF!/#REF!</f>
        <v>#REF!</v>
      </c>
      <c r="E4" s="60">
        <f>'BUGS X VERSIÓN'!$B70</f>
        <v>7</v>
      </c>
      <c r="F4" s="60">
        <f>'BUGS X VERSIÓN'!$B98</f>
        <v>22</v>
      </c>
      <c r="G4" s="60">
        <f>'BUGS X VERSIÓN'!$B120</f>
        <v>6</v>
      </c>
      <c r="H4" s="157">
        <f>G4/C4</f>
        <v>0.17142857142857143</v>
      </c>
      <c r="I4" s="34"/>
    </row>
    <row r="5" spans="1:9">
      <c r="A5" s="38"/>
      <c r="B5" s="156">
        <v>0.5</v>
      </c>
      <c r="C5" s="60">
        <f>'BUGS X VERSIÓN'!$B11</f>
        <v>9</v>
      </c>
      <c r="D5" s="76" t="e">
        <f>+C4/#REF!</f>
        <v>#REF!</v>
      </c>
      <c r="E5" s="60">
        <f>'BUGS X VERSIÓN'!$B71</f>
        <v>4</v>
      </c>
      <c r="F5" s="60">
        <f>'BUGS X VERSIÓN'!$B99</f>
        <v>5</v>
      </c>
      <c r="G5" s="60">
        <v>0</v>
      </c>
      <c r="H5" s="157">
        <f t="shared" ref="H5:H18" si="0">G5/C5</f>
        <v>0</v>
      </c>
      <c r="I5" s="34"/>
    </row>
    <row r="6" spans="1:9">
      <c r="A6" s="38"/>
      <c r="B6" s="158" t="s">
        <v>48</v>
      </c>
      <c r="C6" s="60">
        <f>'BUGS X VERSIÓN'!$B12</f>
        <v>10</v>
      </c>
      <c r="D6" s="76"/>
      <c r="E6" s="60">
        <f>'BUGS X VERSIÓN'!$B72</f>
        <v>3</v>
      </c>
      <c r="F6" s="60">
        <f>'BUGS X VERSIÓN'!$B100</f>
        <v>6</v>
      </c>
      <c r="G6" s="60">
        <f>'BUGS X VERSIÓN'!$B121</f>
        <v>1</v>
      </c>
      <c r="H6" s="157">
        <f t="shared" si="0"/>
        <v>0.1</v>
      </c>
      <c r="I6" s="34"/>
    </row>
    <row r="7" spans="1:9">
      <c r="A7" s="38"/>
      <c r="B7" s="158">
        <v>0.6</v>
      </c>
      <c r="C7" s="60">
        <f>'BUGS X VERSIÓN'!$B13</f>
        <v>27</v>
      </c>
      <c r="D7" s="76" t="e">
        <f>+C5/#REF!</f>
        <v>#REF!</v>
      </c>
      <c r="E7" s="60">
        <f>'BUGS X VERSIÓN'!$B73</f>
        <v>1</v>
      </c>
      <c r="F7" s="60">
        <f>'BUGS X VERSIÓN'!$B101</f>
        <v>22</v>
      </c>
      <c r="G7" s="60">
        <f>'BUGS X VERSIÓN'!$B122</f>
        <v>4</v>
      </c>
      <c r="H7" s="157">
        <f t="shared" si="0"/>
        <v>0.14814814814814814</v>
      </c>
      <c r="I7" s="34"/>
    </row>
    <row r="8" spans="1:9">
      <c r="A8" s="38"/>
      <c r="B8" s="158" t="s">
        <v>49</v>
      </c>
      <c r="C8" s="60">
        <f>'BUGS X VERSIÓN'!$B14</f>
        <v>10</v>
      </c>
      <c r="D8" s="76"/>
      <c r="E8" s="60">
        <v>0</v>
      </c>
      <c r="F8" s="60">
        <f>'BUGS X VERSIÓN'!$B102</f>
        <v>9</v>
      </c>
      <c r="G8" s="60">
        <f>'BUGS X VERSIÓN'!$B123</f>
        <v>1</v>
      </c>
      <c r="H8" s="157">
        <f t="shared" si="0"/>
        <v>0.1</v>
      </c>
      <c r="I8" s="34"/>
    </row>
    <row r="9" spans="1:9">
      <c r="A9" s="39"/>
      <c r="B9" s="158">
        <v>0.7</v>
      </c>
      <c r="C9" s="60">
        <f>'BUGS X VERSIÓN'!$B15</f>
        <v>21</v>
      </c>
      <c r="D9" s="76" t="e">
        <f>+C7/#REF!</f>
        <v>#REF!</v>
      </c>
      <c r="E9" s="60">
        <f>'BUGS X VERSIÓN'!$B$74</f>
        <v>2</v>
      </c>
      <c r="F9" s="60">
        <f>'BUGS X VERSIÓN'!$B103</f>
        <v>15</v>
      </c>
      <c r="G9" s="60">
        <f>'BUGS X VERSIÓN'!$B124</f>
        <v>4</v>
      </c>
      <c r="H9" s="157">
        <f t="shared" si="0"/>
        <v>0.19047619047619047</v>
      </c>
      <c r="I9" s="34"/>
    </row>
    <row r="10" spans="1:9">
      <c r="B10" s="158">
        <v>0.8</v>
      </c>
      <c r="C10" s="60">
        <f>'BUGS X VERSIÓN'!$B16</f>
        <v>15</v>
      </c>
      <c r="D10" s="76" t="e">
        <f>+C9/#REF!</f>
        <v>#REF!</v>
      </c>
      <c r="E10" s="60">
        <f>'BUGS X VERSIÓN'!$B$75</f>
        <v>5</v>
      </c>
      <c r="F10" s="60">
        <f>'BUGS X VERSIÓN'!$B89</f>
        <v>5</v>
      </c>
      <c r="G10" s="60">
        <f>'BUGS X VERSIÓN'!$B111</f>
        <v>5</v>
      </c>
      <c r="H10" s="157">
        <f t="shared" si="0"/>
        <v>0.33333333333333331</v>
      </c>
      <c r="I10" s="34"/>
    </row>
    <row r="11" spans="1:9" ht="17.25" customHeight="1">
      <c r="B11" s="158">
        <v>0.9</v>
      </c>
      <c r="C11" s="60">
        <f>'BUGS X VERSIÓN'!$B17</f>
        <v>7</v>
      </c>
      <c r="D11" s="122"/>
      <c r="E11" s="60">
        <v>0</v>
      </c>
      <c r="F11" s="60">
        <f>'BUGS X VERSIÓN'!$B90</f>
        <v>5</v>
      </c>
      <c r="G11" s="60">
        <f>'BUGS X VERSIÓN'!$B112</f>
        <v>2</v>
      </c>
      <c r="H11" s="157">
        <f t="shared" si="0"/>
        <v>0.2857142857142857</v>
      </c>
      <c r="I11" s="35"/>
    </row>
    <row r="12" spans="1:9" ht="15" customHeight="1">
      <c r="B12" s="158">
        <v>0.1</v>
      </c>
      <c r="C12" s="60">
        <f>'BUGS X VERSIÓN'!$B4</f>
        <v>12</v>
      </c>
      <c r="D12" s="122"/>
      <c r="E12" s="60">
        <v>0</v>
      </c>
      <c r="F12" s="60">
        <f>'BUGS X VERSIÓN'!$B91</f>
        <v>8</v>
      </c>
      <c r="G12" s="60">
        <f>'BUGS X VERSIÓN'!$B113</f>
        <v>4</v>
      </c>
      <c r="H12" s="157">
        <f t="shared" si="0"/>
        <v>0.33333333333333331</v>
      </c>
    </row>
    <row r="13" spans="1:9" ht="15" customHeight="1">
      <c r="B13" s="158" t="s">
        <v>50</v>
      </c>
      <c r="C13" s="60">
        <f>'BUGS X VERSIÓN'!$B5</f>
        <v>19</v>
      </c>
      <c r="D13" s="122"/>
      <c r="E13" s="60">
        <f>'BUGS X VERSIÓN'!$B65</f>
        <v>2</v>
      </c>
      <c r="F13" s="60">
        <f>'BUGS X VERSIÓN'!$B92</f>
        <v>7</v>
      </c>
      <c r="G13" s="60">
        <f>'BUGS X VERSIÓN'!$B114</f>
        <v>10</v>
      </c>
      <c r="H13" s="157">
        <f t="shared" si="0"/>
        <v>0.52631578947368418</v>
      </c>
    </row>
    <row r="14" spans="1:9" ht="15" customHeight="1">
      <c r="B14" s="158">
        <v>0.11</v>
      </c>
      <c r="C14" s="60">
        <f>'BUGS X VERSIÓN'!$B6</f>
        <v>35</v>
      </c>
      <c r="D14" s="76" t="e">
        <f>+C13/#REF!</f>
        <v>#REF!</v>
      </c>
      <c r="E14" s="60">
        <f>'BUGS X VERSIÓN'!$B66</f>
        <v>9</v>
      </c>
      <c r="F14" s="60">
        <f>'BUGS X VERSIÓN'!$B93</f>
        <v>8</v>
      </c>
      <c r="G14" s="60">
        <f>'BUGS X VERSIÓN'!$B115</f>
        <v>18</v>
      </c>
      <c r="H14" s="157">
        <f t="shared" si="0"/>
        <v>0.51428571428571423</v>
      </c>
    </row>
    <row r="15" spans="1:9" ht="15" customHeight="1">
      <c r="B15" s="158">
        <v>0.12</v>
      </c>
      <c r="C15" s="60">
        <f>'BUGS X VERSIÓN'!$B7</f>
        <v>51</v>
      </c>
      <c r="D15" s="122"/>
      <c r="E15" s="60">
        <f>'BUGS X VERSIÓN'!$B67</f>
        <v>15</v>
      </c>
      <c r="F15" s="60">
        <f>'BUGS X VERSIÓN'!$B94</f>
        <v>18</v>
      </c>
      <c r="G15" s="60">
        <f>'BUGS X VERSIÓN'!$B116</f>
        <v>18</v>
      </c>
      <c r="H15" s="157">
        <f t="shared" si="0"/>
        <v>0.35294117647058826</v>
      </c>
    </row>
    <row r="16" spans="1:9">
      <c r="B16" s="173">
        <v>0.13</v>
      </c>
      <c r="C16" s="174">
        <f>'BUGS X VERSIÓN'!$B8</f>
        <v>24</v>
      </c>
      <c r="D16" s="175"/>
      <c r="E16" s="174">
        <f>'BUGS X VERSIÓN'!$B$68</f>
        <v>1</v>
      </c>
      <c r="F16" s="174">
        <f>'BUGS X VERSIÓN'!$B95</f>
        <v>6</v>
      </c>
      <c r="G16" s="174">
        <f>'BUGS X VERSIÓN'!$B117</f>
        <v>17</v>
      </c>
      <c r="H16" s="176">
        <f t="shared" si="0"/>
        <v>0.70833333333333337</v>
      </c>
    </row>
    <row r="17" spans="1:8">
      <c r="B17" s="172">
        <v>0.14000000000000001</v>
      </c>
      <c r="C17" s="60">
        <f>'BUGS X VERSIÓN'!$B9</f>
        <v>38</v>
      </c>
      <c r="D17" s="122"/>
      <c r="E17" s="60">
        <f>'BUGS X VERSIÓN'!$B$69</f>
        <v>5</v>
      </c>
      <c r="F17" s="60">
        <f>'BUGS X VERSIÓN'!$B96</f>
        <v>15</v>
      </c>
      <c r="G17" s="60">
        <f>'BUGS X VERSIÓN'!$B118</f>
        <v>18</v>
      </c>
      <c r="H17" s="99">
        <f t="shared" si="0"/>
        <v>0.47368421052631576</v>
      </c>
    </row>
    <row r="18" spans="1:8">
      <c r="A18" s="146" t="s">
        <v>51</v>
      </c>
      <c r="B18" s="172">
        <v>0.15</v>
      </c>
      <c r="C18" s="60">
        <v>47</v>
      </c>
      <c r="D18" s="122"/>
      <c r="E18" s="60">
        <f>'BUGS X VERSIÓN'!$B$76</f>
        <v>2</v>
      </c>
      <c r="F18" s="60">
        <f>'BUGS X VERSIÓN'!$B97</f>
        <v>7</v>
      </c>
      <c r="G18" s="60">
        <v>38</v>
      </c>
      <c r="H18" s="99">
        <f t="shared" si="0"/>
        <v>0.80851063829787229</v>
      </c>
    </row>
    <row r="19" spans="1:8">
      <c r="B19" s="159"/>
      <c r="C19" s="160">
        <f>SUM(C4:C18)</f>
        <v>360</v>
      </c>
      <c r="D19" s="161" t="e">
        <f>C19/#REF!</f>
        <v>#REF!</v>
      </c>
      <c r="E19" s="162">
        <f>SUM(E4:E18)</f>
        <v>56</v>
      </c>
      <c r="F19" s="163">
        <f>SUM(F4:F18)</f>
        <v>158</v>
      </c>
      <c r="G19" s="164">
        <f>SUM(G4:G18)</f>
        <v>146</v>
      </c>
      <c r="H19" s="165">
        <f>G19/C19</f>
        <v>0.40555555555555556</v>
      </c>
    </row>
    <row r="20" spans="1:8"/>
    <row r="21" spans="1:8"/>
    <row r="22" spans="1:8"/>
    <row r="23" spans="1:8"/>
    <row r="24" spans="1:8"/>
    <row r="25" spans="1:8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11B7-4CA6-41CB-8F00-EF6998423C44}">
  <dimension ref="A1:J147"/>
  <sheetViews>
    <sheetView topLeftCell="A62" workbookViewId="0">
      <selection activeCell="E77" sqref="E77"/>
    </sheetView>
  </sheetViews>
  <sheetFormatPr defaultRowHeight="15"/>
  <cols>
    <col min="1" max="1" width="33.5703125" customWidth="1"/>
    <col min="2" max="2" width="20.7109375" bestFit="1" customWidth="1"/>
    <col min="3" max="3" width="5" bestFit="1" customWidth="1"/>
    <col min="4" max="4" width="8.5703125" bestFit="1" customWidth="1"/>
    <col min="5" max="5" width="6.5703125" bestFit="1" customWidth="1"/>
    <col min="6" max="6" width="12.5703125" bestFit="1" customWidth="1"/>
    <col min="7" max="7" width="15.140625" bestFit="1" customWidth="1"/>
    <col min="8" max="8" width="23" bestFit="1" customWidth="1"/>
    <col min="9" max="9" width="16" bestFit="1" customWidth="1"/>
    <col min="10" max="10" width="12.5703125" bestFit="1" customWidth="1"/>
    <col min="11" max="11" width="17.5703125" bestFit="1" customWidth="1"/>
    <col min="12" max="12" width="33.5703125" bestFit="1" customWidth="1"/>
    <col min="13" max="13" width="10.42578125" bestFit="1" customWidth="1"/>
    <col min="14" max="14" width="10.7109375" bestFit="1" customWidth="1"/>
    <col min="15" max="15" width="12.5703125" bestFit="1" customWidth="1"/>
    <col min="16" max="16" width="8.7109375" bestFit="1" customWidth="1"/>
    <col min="17" max="17" width="6.140625" bestFit="1" customWidth="1"/>
    <col min="18" max="18" width="15.140625" bestFit="1" customWidth="1"/>
    <col min="19" max="19" width="23" bestFit="1" customWidth="1"/>
    <col min="20" max="20" width="16" bestFit="1" customWidth="1"/>
    <col min="21" max="21" width="12.5703125" bestFit="1" customWidth="1"/>
    <col min="22" max="22" width="5" bestFit="1" customWidth="1"/>
    <col min="23" max="23" width="8.5703125" bestFit="1" customWidth="1"/>
    <col min="24" max="24" width="6.5703125" bestFit="1" customWidth="1"/>
    <col min="25" max="25" width="20.140625" bestFit="1" customWidth="1"/>
    <col min="26" max="26" width="24.85546875" bestFit="1" customWidth="1"/>
    <col min="27" max="27" width="27.85546875" bestFit="1" customWidth="1"/>
    <col min="28" max="28" width="18" bestFit="1" customWidth="1"/>
    <col min="29" max="29" width="5" bestFit="1" customWidth="1"/>
    <col min="30" max="30" width="8.5703125" bestFit="1" customWidth="1"/>
    <col min="31" max="31" width="6.5703125" bestFit="1" customWidth="1"/>
    <col min="32" max="32" width="20.85546875" bestFit="1" customWidth="1"/>
    <col min="33" max="33" width="12.5703125" bestFit="1" customWidth="1"/>
  </cols>
  <sheetData>
    <row r="1" spans="1:2">
      <c r="A1" s="55" t="s">
        <v>18</v>
      </c>
      <c r="B1" t="s">
        <v>52</v>
      </c>
    </row>
    <row r="3" spans="1:2">
      <c r="A3" s="55" t="s">
        <v>53</v>
      </c>
      <c r="B3" t="s">
        <v>54</v>
      </c>
    </row>
    <row r="4" spans="1:2">
      <c r="A4" t="s">
        <v>55</v>
      </c>
      <c r="B4">
        <v>12</v>
      </c>
    </row>
    <row r="5" spans="1:2">
      <c r="A5" t="s">
        <v>50</v>
      </c>
      <c r="B5">
        <v>19</v>
      </c>
    </row>
    <row r="6" spans="1:2">
      <c r="A6" t="s">
        <v>56</v>
      </c>
      <c r="B6">
        <v>35</v>
      </c>
    </row>
    <row r="7" spans="1:2">
      <c r="A7" t="s">
        <v>57</v>
      </c>
      <c r="B7">
        <v>51</v>
      </c>
    </row>
    <row r="8" spans="1:2">
      <c r="A8" t="s">
        <v>58</v>
      </c>
      <c r="B8">
        <v>24</v>
      </c>
    </row>
    <row r="9" spans="1:2">
      <c r="A9" t="s">
        <v>59</v>
      </c>
      <c r="B9">
        <v>38</v>
      </c>
    </row>
    <row r="10" spans="1:2">
      <c r="A10" t="s">
        <v>60</v>
      </c>
      <c r="B10">
        <v>35</v>
      </c>
    </row>
    <row r="11" spans="1:2">
      <c r="A11" t="s">
        <v>61</v>
      </c>
      <c r="B11">
        <v>9</v>
      </c>
    </row>
    <row r="12" spans="1:2">
      <c r="A12" t="s">
        <v>48</v>
      </c>
      <c r="B12">
        <v>10</v>
      </c>
    </row>
    <row r="13" spans="1:2">
      <c r="A13" t="s">
        <v>62</v>
      </c>
      <c r="B13">
        <v>27</v>
      </c>
    </row>
    <row r="14" spans="1:2">
      <c r="A14" t="s">
        <v>49</v>
      </c>
      <c r="B14">
        <v>10</v>
      </c>
    </row>
    <row r="15" spans="1:2">
      <c r="A15" t="s">
        <v>63</v>
      </c>
      <c r="B15">
        <v>21</v>
      </c>
    </row>
    <row r="16" spans="1:2">
      <c r="A16" t="s">
        <v>64</v>
      </c>
      <c r="B16">
        <v>15</v>
      </c>
    </row>
    <row r="17" spans="1:2">
      <c r="A17" t="s">
        <v>65</v>
      </c>
      <c r="B17">
        <v>7</v>
      </c>
    </row>
    <row r="18" spans="1:2">
      <c r="A18" t="s">
        <v>66</v>
      </c>
      <c r="B18">
        <v>47</v>
      </c>
    </row>
    <row r="19" spans="1:2">
      <c r="A19" t="s">
        <v>29</v>
      </c>
      <c r="B19">
        <v>360</v>
      </c>
    </row>
    <row r="36" spans="1:2">
      <c r="A36" s="55" t="s">
        <v>53</v>
      </c>
      <c r="B36" t="s">
        <v>67</v>
      </c>
    </row>
    <row r="37" spans="1:2">
      <c r="A37" t="s">
        <v>68</v>
      </c>
      <c r="B37">
        <v>7</v>
      </c>
    </row>
    <row r="38" spans="1:2">
      <c r="A38" t="s">
        <v>69</v>
      </c>
      <c r="B38">
        <v>15</v>
      </c>
    </row>
    <row r="39" spans="1:2">
      <c r="A39" t="s">
        <v>70</v>
      </c>
      <c r="B39">
        <v>21</v>
      </c>
    </row>
    <row r="40" spans="1:2">
      <c r="A40" t="s">
        <v>71</v>
      </c>
      <c r="B40">
        <v>10</v>
      </c>
    </row>
    <row r="41" spans="1:2">
      <c r="A41" t="s">
        <v>72</v>
      </c>
      <c r="B41">
        <v>27</v>
      </c>
    </row>
    <row r="42" spans="1:2">
      <c r="A42" t="s">
        <v>73</v>
      </c>
      <c r="B42">
        <v>10</v>
      </c>
    </row>
    <row r="43" spans="1:2">
      <c r="A43" t="s">
        <v>74</v>
      </c>
      <c r="B43">
        <v>9</v>
      </c>
    </row>
    <row r="44" spans="1:2">
      <c r="A44" t="s">
        <v>75</v>
      </c>
      <c r="B44">
        <v>35</v>
      </c>
    </row>
    <row r="45" spans="1:2">
      <c r="A45" t="s">
        <v>66</v>
      </c>
      <c r="B45">
        <v>47</v>
      </c>
    </row>
    <row r="46" spans="1:2">
      <c r="A46" t="s">
        <v>76</v>
      </c>
      <c r="B46">
        <v>38</v>
      </c>
    </row>
    <row r="47" spans="1:2">
      <c r="A47" t="s">
        <v>77</v>
      </c>
      <c r="B47">
        <v>24</v>
      </c>
    </row>
    <row r="48" spans="1:2">
      <c r="A48" t="s">
        <v>78</v>
      </c>
      <c r="B48">
        <v>51</v>
      </c>
    </row>
    <row r="49" spans="1:10">
      <c r="A49" t="s">
        <v>79</v>
      </c>
      <c r="B49">
        <v>35</v>
      </c>
    </row>
    <row r="50" spans="1:10">
      <c r="A50" t="s">
        <v>80</v>
      </c>
      <c r="B50">
        <v>19</v>
      </c>
    </row>
    <row r="51" spans="1:10">
      <c r="A51" t="s">
        <v>81</v>
      </c>
      <c r="B51">
        <v>12</v>
      </c>
    </row>
    <row r="52" spans="1:10">
      <c r="A52" t="s">
        <v>29</v>
      </c>
      <c r="B52">
        <v>360</v>
      </c>
    </row>
    <row r="59" spans="1:10" s="186" customFormat="1">
      <c r="A59" s="208" t="s">
        <v>82</v>
      </c>
      <c r="B59" s="208"/>
      <c r="C59" s="208"/>
      <c r="D59" s="208"/>
      <c r="E59" s="208"/>
      <c r="F59" s="208"/>
      <c r="G59" s="208"/>
      <c r="H59" s="208"/>
      <c r="I59" s="208"/>
      <c r="J59" s="208"/>
    </row>
    <row r="62" spans="1:10">
      <c r="A62" s="55" t="s">
        <v>18</v>
      </c>
      <c r="B62" t="s">
        <v>24</v>
      </c>
    </row>
    <row r="64" spans="1:10">
      <c r="A64" s="55" t="s">
        <v>53</v>
      </c>
      <c r="B64" t="s">
        <v>54</v>
      </c>
    </row>
    <row r="65" spans="1:8">
      <c r="A65" s="121" t="s">
        <v>50</v>
      </c>
      <c r="B65">
        <v>2</v>
      </c>
    </row>
    <row r="66" spans="1:8">
      <c r="A66" s="121" t="s">
        <v>56</v>
      </c>
      <c r="B66">
        <v>9</v>
      </c>
    </row>
    <row r="67" spans="1:8">
      <c r="A67" s="121" t="s">
        <v>57</v>
      </c>
      <c r="B67">
        <v>15</v>
      </c>
    </row>
    <row r="68" spans="1:8">
      <c r="A68" s="121" t="s">
        <v>58</v>
      </c>
      <c r="B68">
        <v>1</v>
      </c>
      <c r="H68" t="s">
        <v>83</v>
      </c>
    </row>
    <row r="69" spans="1:8">
      <c r="A69" s="121" t="s">
        <v>59</v>
      </c>
      <c r="B69">
        <v>5</v>
      </c>
    </row>
    <row r="70" spans="1:8">
      <c r="A70" s="121" t="s">
        <v>60</v>
      </c>
      <c r="B70">
        <v>7</v>
      </c>
    </row>
    <row r="71" spans="1:8">
      <c r="A71" s="121" t="s">
        <v>61</v>
      </c>
      <c r="B71">
        <v>4</v>
      </c>
    </row>
    <row r="72" spans="1:8">
      <c r="A72" s="121" t="s">
        <v>48</v>
      </c>
      <c r="B72">
        <v>3</v>
      </c>
    </row>
    <row r="73" spans="1:8">
      <c r="A73" s="121" t="s">
        <v>62</v>
      </c>
      <c r="B73">
        <v>1</v>
      </c>
    </row>
    <row r="74" spans="1:8">
      <c r="A74" s="121" t="s">
        <v>63</v>
      </c>
      <c r="B74">
        <v>2</v>
      </c>
    </row>
    <row r="75" spans="1:8">
      <c r="A75" s="121" t="s">
        <v>64</v>
      </c>
      <c r="B75">
        <v>5</v>
      </c>
    </row>
    <row r="76" spans="1:8">
      <c r="A76" s="121" t="s">
        <v>66</v>
      </c>
      <c r="B76">
        <v>2</v>
      </c>
    </row>
    <row r="77" spans="1:8">
      <c r="A77" t="s">
        <v>29</v>
      </c>
      <c r="B77">
        <v>56</v>
      </c>
    </row>
    <row r="84" spans="1:10" s="26" customFormat="1">
      <c r="A84" s="209" t="s">
        <v>84</v>
      </c>
      <c r="B84" s="209"/>
      <c r="C84" s="209"/>
      <c r="D84" s="209"/>
      <c r="E84" s="209"/>
      <c r="F84" s="209"/>
      <c r="G84" s="209"/>
      <c r="H84" s="209"/>
      <c r="I84" s="209"/>
      <c r="J84" s="209"/>
    </row>
    <row r="86" spans="1:10">
      <c r="A86" s="55" t="s">
        <v>18</v>
      </c>
      <c r="B86" t="s">
        <v>26</v>
      </c>
    </row>
    <row r="88" spans="1:10">
      <c r="A88" s="55" t="s">
        <v>53</v>
      </c>
      <c r="B88" t="s">
        <v>54</v>
      </c>
    </row>
    <row r="89" spans="1:10">
      <c r="A89" t="s">
        <v>64</v>
      </c>
      <c r="B89">
        <v>5</v>
      </c>
    </row>
    <row r="90" spans="1:10">
      <c r="A90" t="s">
        <v>65</v>
      </c>
      <c r="B90">
        <v>5</v>
      </c>
    </row>
    <row r="91" spans="1:10">
      <c r="A91" t="s">
        <v>81</v>
      </c>
      <c r="B91">
        <v>8</v>
      </c>
    </row>
    <row r="92" spans="1:10">
      <c r="A92" t="s">
        <v>80</v>
      </c>
      <c r="B92">
        <v>7</v>
      </c>
    </row>
    <row r="93" spans="1:10">
      <c r="A93" t="s">
        <v>79</v>
      </c>
      <c r="B93">
        <v>8</v>
      </c>
    </row>
    <row r="94" spans="1:10">
      <c r="A94" t="s">
        <v>78</v>
      </c>
      <c r="B94">
        <v>18</v>
      </c>
    </row>
    <row r="95" spans="1:10">
      <c r="A95" t="s">
        <v>77</v>
      </c>
      <c r="B95">
        <v>6</v>
      </c>
    </row>
    <row r="96" spans="1:10">
      <c r="A96" t="s">
        <v>76</v>
      </c>
      <c r="B96">
        <v>15</v>
      </c>
    </row>
    <row r="97" spans="1:10">
      <c r="A97" t="s">
        <v>66</v>
      </c>
      <c r="B97">
        <v>7</v>
      </c>
    </row>
    <row r="98" spans="1:10">
      <c r="A98" t="s">
        <v>75</v>
      </c>
      <c r="B98">
        <v>22</v>
      </c>
    </row>
    <row r="99" spans="1:10">
      <c r="A99" t="s">
        <v>74</v>
      </c>
      <c r="B99">
        <v>5</v>
      </c>
    </row>
    <row r="100" spans="1:10">
      <c r="A100" t="s">
        <v>73</v>
      </c>
      <c r="B100">
        <v>6</v>
      </c>
    </row>
    <row r="101" spans="1:10">
      <c r="A101" t="s">
        <v>72</v>
      </c>
      <c r="B101">
        <v>22</v>
      </c>
    </row>
    <row r="102" spans="1:10">
      <c r="A102" t="s">
        <v>71</v>
      </c>
      <c r="B102">
        <v>9</v>
      </c>
    </row>
    <row r="103" spans="1:10">
      <c r="A103" t="s">
        <v>70</v>
      </c>
      <c r="B103">
        <v>15</v>
      </c>
    </row>
    <row r="104" spans="1:10">
      <c r="A104" t="s">
        <v>29</v>
      </c>
      <c r="B104">
        <v>158</v>
      </c>
    </row>
    <row r="106" spans="1:10" s="26" customFormat="1">
      <c r="A106" s="210" t="s">
        <v>85</v>
      </c>
      <c r="B106" s="210"/>
      <c r="C106" s="210"/>
      <c r="D106" s="210"/>
      <c r="E106" s="210"/>
      <c r="F106" s="210"/>
      <c r="G106" s="210"/>
      <c r="H106" s="210"/>
      <c r="I106" s="210"/>
      <c r="J106" s="210"/>
    </row>
    <row r="108" spans="1:10">
      <c r="A108" s="55" t="s">
        <v>18</v>
      </c>
      <c r="B108" t="s">
        <v>86</v>
      </c>
    </row>
    <row r="110" spans="1:10">
      <c r="A110" s="55" t="s">
        <v>53</v>
      </c>
      <c r="B110" t="s">
        <v>54</v>
      </c>
    </row>
    <row r="111" spans="1:10">
      <c r="A111" t="s">
        <v>64</v>
      </c>
      <c r="B111">
        <v>5</v>
      </c>
    </row>
    <row r="112" spans="1:10">
      <c r="A112" t="s">
        <v>65</v>
      </c>
      <c r="B112">
        <v>2</v>
      </c>
    </row>
    <row r="113" spans="1:2">
      <c r="A113" t="s">
        <v>81</v>
      </c>
      <c r="B113">
        <v>4</v>
      </c>
    </row>
    <row r="114" spans="1:2">
      <c r="A114" t="s">
        <v>80</v>
      </c>
      <c r="B114">
        <v>10</v>
      </c>
    </row>
    <row r="115" spans="1:2">
      <c r="A115" t="s">
        <v>79</v>
      </c>
      <c r="B115">
        <v>18</v>
      </c>
    </row>
    <row r="116" spans="1:2">
      <c r="A116" t="s">
        <v>78</v>
      </c>
      <c r="B116">
        <v>18</v>
      </c>
    </row>
    <row r="117" spans="1:2">
      <c r="A117" t="s">
        <v>77</v>
      </c>
      <c r="B117">
        <v>17</v>
      </c>
    </row>
    <row r="118" spans="1:2">
      <c r="A118" t="s">
        <v>76</v>
      </c>
      <c r="B118">
        <v>18</v>
      </c>
    </row>
    <row r="119" spans="1:2">
      <c r="A119" t="s">
        <v>66</v>
      </c>
      <c r="B119">
        <v>38</v>
      </c>
    </row>
    <row r="120" spans="1:2">
      <c r="A120" t="s">
        <v>75</v>
      </c>
      <c r="B120">
        <v>6</v>
      </c>
    </row>
    <row r="121" spans="1:2">
      <c r="A121" t="s">
        <v>73</v>
      </c>
      <c r="B121">
        <v>1</v>
      </c>
    </row>
    <row r="122" spans="1:2">
      <c r="A122" t="s">
        <v>72</v>
      </c>
      <c r="B122">
        <v>4</v>
      </c>
    </row>
    <row r="123" spans="1:2">
      <c r="A123" t="s">
        <v>71</v>
      </c>
      <c r="B123">
        <v>1</v>
      </c>
    </row>
    <row r="124" spans="1:2">
      <c r="A124" t="s">
        <v>70</v>
      </c>
      <c r="B124">
        <v>4</v>
      </c>
    </row>
    <row r="125" spans="1:2">
      <c r="A125" t="s">
        <v>29</v>
      </c>
      <c r="B125">
        <v>146</v>
      </c>
    </row>
    <row r="127" spans="1:2">
      <c r="A127" s="26" t="s">
        <v>87</v>
      </c>
      <c r="B127" s="26"/>
    </row>
    <row r="129" spans="1:6">
      <c r="A129" s="55" t="s">
        <v>18</v>
      </c>
      <c r="B129" t="s">
        <v>86</v>
      </c>
    </row>
    <row r="131" spans="1:6">
      <c r="A131" s="55" t="s">
        <v>54</v>
      </c>
      <c r="B131" s="55" t="s">
        <v>22</v>
      </c>
    </row>
    <row r="132" spans="1:6">
      <c r="A132" s="55" t="s">
        <v>53</v>
      </c>
      <c r="B132" t="s">
        <v>36</v>
      </c>
      <c r="C132" t="s">
        <v>40</v>
      </c>
      <c r="D132" t="s">
        <v>41</v>
      </c>
      <c r="E132" t="s">
        <v>37</v>
      </c>
      <c r="F132" t="s">
        <v>29</v>
      </c>
    </row>
    <row r="133" spans="1:6">
      <c r="A133" t="s">
        <v>64</v>
      </c>
      <c r="B133">
        <v>2</v>
      </c>
      <c r="E133">
        <v>3</v>
      </c>
      <c r="F133">
        <v>5</v>
      </c>
    </row>
    <row r="134" spans="1:6">
      <c r="A134" t="s">
        <v>65</v>
      </c>
      <c r="E134">
        <v>2</v>
      </c>
      <c r="F134">
        <v>2</v>
      </c>
    </row>
    <row r="135" spans="1:6">
      <c r="A135" t="s">
        <v>81</v>
      </c>
      <c r="B135">
        <v>4</v>
      </c>
      <c r="F135">
        <v>4</v>
      </c>
    </row>
    <row r="136" spans="1:6">
      <c r="A136" t="s">
        <v>80</v>
      </c>
      <c r="B136">
        <v>6</v>
      </c>
      <c r="C136">
        <v>1</v>
      </c>
      <c r="E136">
        <v>3</v>
      </c>
      <c r="F136">
        <v>10</v>
      </c>
    </row>
    <row r="137" spans="1:6">
      <c r="A137" t="s">
        <v>79</v>
      </c>
      <c r="B137">
        <v>10</v>
      </c>
      <c r="C137">
        <v>1</v>
      </c>
      <c r="E137">
        <v>7</v>
      </c>
      <c r="F137">
        <v>18</v>
      </c>
    </row>
    <row r="138" spans="1:6">
      <c r="A138" t="s">
        <v>78</v>
      </c>
      <c r="B138">
        <v>9</v>
      </c>
      <c r="C138">
        <v>2</v>
      </c>
      <c r="D138">
        <v>1</v>
      </c>
      <c r="E138">
        <v>6</v>
      </c>
      <c r="F138">
        <v>18</v>
      </c>
    </row>
    <row r="139" spans="1:6">
      <c r="A139" t="s">
        <v>77</v>
      </c>
      <c r="B139">
        <v>6</v>
      </c>
      <c r="D139">
        <v>2</v>
      </c>
      <c r="E139">
        <v>9</v>
      </c>
      <c r="F139">
        <v>17</v>
      </c>
    </row>
    <row r="140" spans="1:6">
      <c r="A140" t="s">
        <v>76</v>
      </c>
      <c r="B140">
        <v>8</v>
      </c>
      <c r="C140">
        <v>1</v>
      </c>
      <c r="D140">
        <v>1</v>
      </c>
      <c r="E140">
        <v>8</v>
      </c>
      <c r="F140">
        <v>18</v>
      </c>
    </row>
    <row r="141" spans="1:6">
      <c r="A141" t="s">
        <v>66</v>
      </c>
      <c r="B141">
        <v>9</v>
      </c>
      <c r="C141">
        <v>2</v>
      </c>
      <c r="D141">
        <v>1</v>
      </c>
      <c r="E141">
        <v>26</v>
      </c>
      <c r="F141">
        <v>38</v>
      </c>
    </row>
    <row r="142" spans="1:6">
      <c r="A142" t="s">
        <v>75</v>
      </c>
      <c r="B142">
        <v>1</v>
      </c>
      <c r="E142">
        <v>5</v>
      </c>
      <c r="F142">
        <v>6</v>
      </c>
    </row>
    <row r="143" spans="1:6">
      <c r="A143" t="s">
        <v>73</v>
      </c>
      <c r="E143">
        <v>1</v>
      </c>
      <c r="F143">
        <v>1</v>
      </c>
    </row>
    <row r="144" spans="1:6">
      <c r="A144" t="s">
        <v>72</v>
      </c>
      <c r="E144">
        <v>4</v>
      </c>
      <c r="F144">
        <v>4</v>
      </c>
    </row>
    <row r="145" spans="1:6">
      <c r="A145" t="s">
        <v>71</v>
      </c>
      <c r="B145">
        <v>1</v>
      </c>
      <c r="F145">
        <v>1</v>
      </c>
    </row>
    <row r="146" spans="1:6">
      <c r="A146" t="s">
        <v>70</v>
      </c>
      <c r="C146">
        <v>1</v>
      </c>
      <c r="E146">
        <v>3</v>
      </c>
      <c r="F146">
        <v>4</v>
      </c>
    </row>
    <row r="147" spans="1:6">
      <c r="A147" t="s">
        <v>29</v>
      </c>
      <c r="B147">
        <v>56</v>
      </c>
      <c r="C147">
        <v>8</v>
      </c>
      <c r="D147">
        <v>5</v>
      </c>
      <c r="E147">
        <v>77</v>
      </c>
      <c r="F147">
        <v>146</v>
      </c>
    </row>
  </sheetData>
  <mergeCells count="3">
    <mergeCell ref="A59:J59"/>
    <mergeCell ref="A84:J84"/>
    <mergeCell ref="A106:J1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9F86-E74C-4F3E-BC19-6DB34F363440}">
  <dimension ref="A1:AS361"/>
  <sheetViews>
    <sheetView workbookViewId="0">
      <selection activeCell="AP3" sqref="AP3"/>
    </sheetView>
  </sheetViews>
  <sheetFormatPr defaultColWidth="11.42578125" defaultRowHeight="15" customHeight="1"/>
  <cols>
    <col min="1" max="1" width="19.7109375" bestFit="1" customWidth="1"/>
    <col min="2" max="2" width="21" bestFit="1" customWidth="1"/>
    <col min="3" max="3" width="19.85546875" customWidth="1"/>
    <col min="4" max="4" width="81.140625" customWidth="1"/>
    <col min="5" max="5" width="17" customWidth="1"/>
    <col min="6" max="6" width="16.7109375" customWidth="1"/>
    <col min="7" max="7" width="26.42578125" customWidth="1"/>
    <col min="8" max="8" width="11.42578125" customWidth="1"/>
    <col min="9" max="9" width="18.42578125" customWidth="1"/>
    <col min="10" max="17" width="16.5703125" customWidth="1"/>
    <col min="18" max="18" width="17.140625" customWidth="1"/>
    <col min="19" max="20" width="18.7109375" customWidth="1"/>
    <col min="21" max="21" width="13.85546875" customWidth="1"/>
    <col min="22" max="23" width="13.7109375" customWidth="1"/>
    <col min="24" max="26" width="14.7109375" customWidth="1"/>
    <col min="27" max="27" width="28.42578125" customWidth="1"/>
    <col min="28" max="28" width="22.140625" customWidth="1"/>
    <col min="29" max="29" width="22.28515625" customWidth="1"/>
    <col min="30" max="33" width="25.28515625" customWidth="1"/>
    <col min="34" max="34" width="25.85546875" style="9" bestFit="1" customWidth="1"/>
    <col min="35" max="35" width="30.85546875" bestFit="1" customWidth="1"/>
    <col min="36" max="37" width="30.85546875" customWidth="1"/>
    <col min="38" max="38" width="30.85546875" bestFit="1" customWidth="1"/>
    <col min="39" max="39" width="30.140625" style="58" bestFit="1" customWidth="1"/>
    <col min="40" max="40" width="20.140625" customWidth="1"/>
    <col min="41" max="41" width="38.42578125" customWidth="1"/>
    <col min="42" max="42" width="32.7109375" customWidth="1"/>
    <col min="43" max="43" width="32.5703125" customWidth="1"/>
    <col min="44" max="44" width="16" bestFit="1" customWidth="1"/>
    <col min="45" max="45" width="29.28515625" style="27" bestFit="1" customWidth="1"/>
  </cols>
  <sheetData>
    <row r="1" spans="1:45" s="91" customFormat="1">
      <c r="A1" s="91" t="s">
        <v>88</v>
      </c>
      <c r="B1" s="91" t="s">
        <v>89</v>
      </c>
      <c r="C1" s="91" t="s">
        <v>90</v>
      </c>
      <c r="D1" s="91" t="s">
        <v>91</v>
      </c>
      <c r="E1" s="91" t="s">
        <v>22</v>
      </c>
      <c r="F1" s="91" t="s">
        <v>18</v>
      </c>
      <c r="G1" s="91" t="s">
        <v>92</v>
      </c>
      <c r="H1" s="91" t="s">
        <v>93</v>
      </c>
      <c r="I1" s="91" t="s">
        <v>94</v>
      </c>
      <c r="J1" s="91" t="s">
        <v>95</v>
      </c>
      <c r="K1" s="91" t="s">
        <v>96</v>
      </c>
      <c r="L1" s="91" t="s">
        <v>97</v>
      </c>
      <c r="M1" s="91" t="s">
        <v>98</v>
      </c>
      <c r="N1" s="91" t="s">
        <v>99</v>
      </c>
      <c r="O1" s="91" t="s">
        <v>100</v>
      </c>
      <c r="P1" s="91" t="s">
        <v>101</v>
      </c>
      <c r="Q1" s="91" t="s">
        <v>102</v>
      </c>
      <c r="R1" s="91" t="s">
        <v>103</v>
      </c>
      <c r="S1" s="91" t="s">
        <v>104</v>
      </c>
      <c r="T1" s="91" t="s">
        <v>105</v>
      </c>
      <c r="U1" s="91" t="s">
        <v>106</v>
      </c>
      <c r="V1" s="91" t="s">
        <v>107</v>
      </c>
      <c r="W1" s="91" t="s">
        <v>108</v>
      </c>
      <c r="X1" s="91" t="s">
        <v>109</v>
      </c>
      <c r="Y1" s="91" t="s">
        <v>110</v>
      </c>
      <c r="Z1" s="91" t="s">
        <v>111</v>
      </c>
      <c r="AA1" s="91" t="s">
        <v>112</v>
      </c>
      <c r="AB1" s="91" t="s">
        <v>113</v>
      </c>
      <c r="AC1" s="91" t="s">
        <v>114</v>
      </c>
      <c r="AD1" s="91" t="s">
        <v>115</v>
      </c>
      <c r="AE1" s="91" t="s">
        <v>116</v>
      </c>
      <c r="AF1" s="91" t="s">
        <v>117</v>
      </c>
      <c r="AG1" s="91" t="s">
        <v>118</v>
      </c>
      <c r="AH1" s="92" t="s">
        <v>119</v>
      </c>
      <c r="AI1" s="91" t="s">
        <v>120</v>
      </c>
      <c r="AJ1" s="91" t="s">
        <v>121</v>
      </c>
      <c r="AK1" s="91" t="s">
        <v>53</v>
      </c>
      <c r="AL1" s="91" t="s">
        <v>122</v>
      </c>
      <c r="AM1" s="93" t="s">
        <v>123</v>
      </c>
      <c r="AN1" s="91" t="s">
        <v>124</v>
      </c>
      <c r="AO1" s="91" t="s">
        <v>125</v>
      </c>
      <c r="AP1" s="91" t="s">
        <v>14</v>
      </c>
      <c r="AQ1" s="91" t="s">
        <v>21</v>
      </c>
      <c r="AR1" s="91" t="s">
        <v>126</v>
      </c>
      <c r="AS1" s="166" t="s">
        <v>127</v>
      </c>
    </row>
    <row r="2" spans="1:45">
      <c r="A2" s="40" t="s">
        <v>128</v>
      </c>
      <c r="B2" s="40" t="s">
        <v>129</v>
      </c>
      <c r="C2" s="40">
        <v>124509</v>
      </c>
      <c r="D2" s="40" t="s">
        <v>130</v>
      </c>
      <c r="E2" s="40" t="s">
        <v>40</v>
      </c>
      <c r="F2" s="40" t="s">
        <v>27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 t="s">
        <v>131</v>
      </c>
      <c r="S2" s="40" t="s">
        <v>132</v>
      </c>
      <c r="T2" s="40" t="s">
        <v>133</v>
      </c>
      <c r="U2" s="40"/>
      <c r="V2" s="40"/>
      <c r="W2" s="40"/>
      <c r="X2" s="40"/>
      <c r="Y2" s="40"/>
      <c r="Z2" s="40"/>
      <c r="AA2" s="40" t="s">
        <v>134</v>
      </c>
      <c r="AB2" s="53">
        <v>46024.530555555553</v>
      </c>
      <c r="AC2" s="40"/>
      <c r="AD2" s="40"/>
      <c r="AE2" s="40"/>
      <c r="AF2" s="40"/>
      <c r="AG2" s="40" t="s">
        <v>135</v>
      </c>
      <c r="AH2" s="10" t="s">
        <v>136</v>
      </c>
      <c r="AI2" s="87"/>
      <c r="AJ2" s="87" cm="1">
        <f t="array" ref="AJ2">IFERROR(_xlfn.XLOOKUP(TRUE,COUNTIF(Tabla[[#This Row],[Etiquetas]:[Etiquetas17]],Versiones!$G$2:$G$36)&gt;0,Versiones!$B$2:$B$36), "")</f>
        <v>25</v>
      </c>
      <c r="AK2" s="87" t="str" cm="1">
        <f t="array" ref="AK2">IFERROR(_xlfn.XLOOKUP(TRUE,COUNTIF(Tabla[[#This Row],[Etiquetas]:[Etiquetas17]],Versiones!$G$2:$G$36)&gt;0,Versiones!$A$2:$A$36), "")</f>
        <v>V0.15</v>
      </c>
      <c r="AL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" s="78" t="str">
        <f>IFERROR(_xlfn.XLOOKUP(Tabla[[#This Row],[¿En qué versión fue corregido?]],Versiones!$A$2:$A$34,Versiones!$B$2:$B$34),"No encontrado")</f>
        <v>No encontrado</v>
      </c>
      <c r="AN2" s="87" t="str" cm="1">
        <f t="array" ref="AN2">IFERROR(_xlfn.XLOOKUP(TRUE,COUNTIF(Tabla[[#This Row],[Etiquetas]:[Etiquetas17]],Categorías!$A$2:$A$12)&gt;0,Categorías!$A$2:$A$12),"No encontrado")</f>
        <v>Look&amp;Feel</v>
      </c>
      <c r="AO2" s="87" t="str" cm="1">
        <f t="array" ref="AO2">IFERROR(INDEX(Funcionalidades!$A$2:$A$80,MATCH(TRUE, COUNTIF(Reporte_Gral!R2:Z2,Funcionalidades!$A$2:$A$80)&gt;0,0)),"No encontrado")</f>
        <v>Controlar-Gaveta</v>
      </c>
      <c r="AP2" s="87" t="str">
        <f>IF(AND(COUNTIF(Tabla[[#This Row],[Etiquetas]:[Etiquetas17]],"*UAT_V*")&gt;0,COUNTIF(Tabla[[#This Row],[Etiquetas]:[Etiquetas17]],"*QA-Integración*")=0),"SI","")</f>
        <v/>
      </c>
      <c r="AQ2" s="88" t="str" cm="1">
        <f t="array" ref="AQ2">IF(Tabla[[#This Row],[Fue encontrado durante UAT?]]="SI",IFERROR(_xlfn.XLOOKUP(TRUE,ISNUMBER(SEARCH("UAT_V",Tabla[[#This Row],[Etiquetas]:[Etiquetas17]])),Tabla[[#This Row],[Etiquetas]:[Etiquetas17]]),""),"")</f>
        <v/>
      </c>
      <c r="AR2" s="87" t="str">
        <f>IF(COUNTIF(Tabla[[#This Row],[Etiquetas]:[Etiquetas17]],"*Devuelto*")&gt;0,"SI","")</f>
        <v/>
      </c>
      <c r="AS2" s="167">
        <f>COUNTIF(Tabla[[#This Row],[Etiquetas]:[Etiquetas17]],"*Devuelto*")</f>
        <v>0</v>
      </c>
    </row>
    <row r="3" spans="1:45">
      <c r="A3" s="40" t="s">
        <v>128</v>
      </c>
      <c r="B3" s="40" t="s">
        <v>137</v>
      </c>
      <c r="C3" s="40">
        <v>124120</v>
      </c>
      <c r="D3" s="40" t="s">
        <v>138</v>
      </c>
      <c r="E3" s="40" t="s">
        <v>36</v>
      </c>
      <c r="F3" s="40" t="s">
        <v>27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 t="s">
        <v>139</v>
      </c>
      <c r="S3" s="40" t="s">
        <v>140</v>
      </c>
      <c r="T3" s="40" t="s">
        <v>133</v>
      </c>
      <c r="U3" s="40"/>
      <c r="V3" s="40"/>
      <c r="W3" s="40"/>
      <c r="X3" s="40"/>
      <c r="Y3" s="40"/>
      <c r="Z3" s="40"/>
      <c r="AA3" s="40" t="s">
        <v>134</v>
      </c>
      <c r="AB3" s="53">
        <v>46021.65902777778</v>
      </c>
      <c r="AC3" s="40"/>
      <c r="AD3" s="40"/>
      <c r="AE3" s="40"/>
      <c r="AF3" s="40"/>
      <c r="AG3" s="40" t="s">
        <v>141</v>
      </c>
      <c r="AH3" s="10" t="s">
        <v>142</v>
      </c>
      <c r="AI3" s="87"/>
      <c r="AJ3" s="87" cm="1">
        <f t="array" ref="AJ3">IFERROR(_xlfn.XLOOKUP(TRUE,COUNTIF(Tabla[[#This Row],[Etiquetas]:[Etiquetas17]],Versiones!$G$2:$G$36)&gt;0,Versiones!$B$2:$B$36), "")</f>
        <v>25</v>
      </c>
      <c r="AK3" s="87" t="str" cm="1">
        <f t="array" ref="AK3">IFERROR(_xlfn.XLOOKUP(TRUE,COUNTIF(Tabla[[#This Row],[Etiquetas]:[Etiquetas17]],Versiones!$G$2:$G$36)&gt;0,Versiones!$A$2:$A$36), "")</f>
        <v>V0.15</v>
      </c>
      <c r="AL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" s="78" t="str">
        <f>IFERROR(_xlfn.XLOOKUP(Tabla[[#This Row],[¿En qué versión fue corregido?]],Versiones!$A$2:$A$34,Versiones!$B$2:$B$34),"No encontrado")</f>
        <v>No encontrado</v>
      </c>
      <c r="AN3" s="88" t="str" cm="1">
        <f t="array" ref="AN3">IFERROR(_xlfn.XLOOKUP(TRUE,COUNTIF(Tabla[[#This Row],[Etiquetas]:[Etiquetas17]],Categorías!$A$2:$A$12)&gt;0,Categorías!$A$2:$A$12),"No encontrado")</f>
        <v>Funcional</v>
      </c>
      <c r="AO3" s="88" t="str" cm="1">
        <f t="array" ref="AO3">IFERROR(INDEX(Funcionalidades!$A$2:$A$80,MATCH(TRUE, COUNTIF(Reporte_Gral!R3:Z3,Funcionalidades!$A$2:$A$80)&gt;0,0)),"No encontrado")</f>
        <v>Iniciar-Venta</v>
      </c>
      <c r="AP3" s="87" t="str">
        <f>IF(AND(COUNTIF(Tabla[[#This Row],[Etiquetas]:[Etiquetas17]],"*UAT_V*")&gt;0,COUNTIF(Tabla[[#This Row],[Etiquetas]:[Etiquetas17]],"*QA-Integración*")=0),"SI","")</f>
        <v/>
      </c>
      <c r="AQ3" s="88" t="str" cm="1">
        <f t="array" ref="AQ3">IF(Tabla[[#This Row],[Fue encontrado durante UAT?]]="SI",IFERROR(_xlfn.XLOOKUP(TRUE,ISNUMBER(SEARCH("UAT_V",Tabla[[#This Row],[Etiquetas]:[Etiquetas17]])),Tabla[[#This Row],[Etiquetas]:[Etiquetas17]]),""),"")</f>
        <v/>
      </c>
      <c r="AR3" s="87" t="str">
        <f>IF(COUNTIF(Tabla[[#This Row],[Etiquetas]:[Etiquetas17]],"*Devuelto*")&gt;0,"SI","")</f>
        <v/>
      </c>
      <c r="AS3" s="167">
        <f>COUNTIF(Tabla[[#This Row],[Etiquetas]:[Etiquetas17]],"*Devuelto*")</f>
        <v>0</v>
      </c>
    </row>
    <row r="4" spans="1:45">
      <c r="A4" s="40" t="s">
        <v>128</v>
      </c>
      <c r="B4" s="40" t="s">
        <v>143</v>
      </c>
      <c r="C4" s="40">
        <v>124095</v>
      </c>
      <c r="D4" s="40" t="s">
        <v>144</v>
      </c>
      <c r="E4" s="40" t="s">
        <v>36</v>
      </c>
      <c r="F4" s="40" t="s">
        <v>27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 t="s">
        <v>145</v>
      </c>
      <c r="S4" s="40" t="s">
        <v>139</v>
      </c>
      <c r="T4" s="40" t="s">
        <v>133</v>
      </c>
      <c r="U4" s="40"/>
      <c r="V4" s="40"/>
      <c r="W4" s="40"/>
      <c r="X4" s="40"/>
      <c r="Y4" s="40"/>
      <c r="Z4" s="40"/>
      <c r="AA4" s="40" t="s">
        <v>134</v>
      </c>
      <c r="AB4" s="53">
        <v>46021.607638888891</v>
      </c>
      <c r="AC4" s="40"/>
      <c r="AD4" s="40"/>
      <c r="AE4" s="40"/>
      <c r="AF4" s="40"/>
      <c r="AG4" s="40" t="s">
        <v>141</v>
      </c>
      <c r="AH4" s="10" t="s">
        <v>142</v>
      </c>
      <c r="AI4" s="87"/>
      <c r="AJ4" s="87" cm="1">
        <f t="array" ref="AJ4">IFERROR(_xlfn.XLOOKUP(TRUE,COUNTIF(Tabla[[#This Row],[Etiquetas]:[Etiquetas17]],Versiones!$G$2:$G$36)&gt;0,Versiones!$B$2:$B$36), "")</f>
        <v>25</v>
      </c>
      <c r="AK4" s="87" t="str" cm="1">
        <f t="array" ref="AK4">IFERROR(_xlfn.XLOOKUP(TRUE,COUNTIF(Tabla[[#This Row],[Etiquetas]:[Etiquetas17]],Versiones!$G$2:$G$36)&gt;0,Versiones!$A$2:$A$36), "")</f>
        <v>V0.15</v>
      </c>
      <c r="AL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4" s="78" t="str">
        <f>IFERROR(_xlfn.XLOOKUP(Tabla[[#This Row],[¿En qué versión fue corregido?]],Versiones!$A$2:$A$34,Versiones!$B$2:$B$34),"No encontrado")</f>
        <v>No encontrado</v>
      </c>
      <c r="AN4" s="88" t="str" cm="1">
        <f t="array" ref="AN4">IFERROR(_xlfn.XLOOKUP(TRUE,COUNTIF(Tabla[[#This Row],[Etiquetas]:[Etiquetas17]],Categorías!$A$2:$A$12)&gt;0,Categorías!$A$2:$A$12),"No encontrado")</f>
        <v>Funcional</v>
      </c>
      <c r="AO4" s="87" t="str" cm="1">
        <f t="array" ref="AO4">IFERROR(INDEX(Funcionalidades!$A$2:$A$80,MATCH(TRUE, COUNTIF(Reporte_Gral!R4:Z4,Funcionalidades!$A$2:$A$80)&gt;0,0)),"No encontrado")</f>
        <v>Cierre-De-Turno</v>
      </c>
      <c r="AP4" s="87" t="str">
        <f>IF(AND(COUNTIF(Tabla[[#This Row],[Etiquetas]:[Etiquetas17]],"*UAT_V*")&gt;0,COUNTIF(Tabla[[#This Row],[Etiquetas]:[Etiquetas17]],"*QA-Integración*")=0),"SI","")</f>
        <v/>
      </c>
      <c r="AQ4" s="88" t="str" cm="1">
        <f t="array" ref="AQ4">IF(Tabla[[#This Row],[Fue encontrado durante UAT?]]="SI",IFERROR(_xlfn.XLOOKUP(TRUE,ISNUMBER(SEARCH("UAT_V",Tabla[[#This Row],[Etiquetas]:[Etiquetas17]])),Tabla[[#This Row],[Etiquetas]:[Etiquetas17]]),""),"")</f>
        <v/>
      </c>
      <c r="AR4" s="87" t="str">
        <f>IF(COUNTIF(Tabla[[#This Row],[Etiquetas]:[Etiquetas17]],"*Devuelto*")&gt;0,"SI","")</f>
        <v/>
      </c>
      <c r="AS4" s="167">
        <f>COUNTIF(Tabla[[#This Row],[Etiquetas]:[Etiquetas17]],"*Devuelto*")</f>
        <v>0</v>
      </c>
    </row>
    <row r="5" spans="1:45">
      <c r="A5" s="40" t="s">
        <v>128</v>
      </c>
      <c r="B5" s="40" t="s">
        <v>146</v>
      </c>
      <c r="C5" s="40">
        <v>124062</v>
      </c>
      <c r="D5" s="40" t="s">
        <v>147</v>
      </c>
      <c r="E5" s="40" t="s">
        <v>36</v>
      </c>
      <c r="F5" s="40" t="s">
        <v>27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 t="s">
        <v>139</v>
      </c>
      <c r="S5" s="40" t="s">
        <v>133</v>
      </c>
      <c r="T5" s="40" t="s">
        <v>148</v>
      </c>
      <c r="U5" s="40"/>
      <c r="V5" s="40"/>
      <c r="W5" s="40"/>
      <c r="X5" s="40"/>
      <c r="Y5" s="40"/>
      <c r="Z5" s="40"/>
      <c r="AA5" s="40" t="s">
        <v>134</v>
      </c>
      <c r="AB5" s="53">
        <v>46021.535416666666</v>
      </c>
      <c r="AC5" s="40"/>
      <c r="AD5" s="40"/>
      <c r="AE5" s="40"/>
      <c r="AF5" s="40"/>
      <c r="AG5" s="40" t="s">
        <v>141</v>
      </c>
      <c r="AH5" s="10" t="s">
        <v>142</v>
      </c>
      <c r="AI5" s="87"/>
      <c r="AJ5" s="87" cm="1">
        <f t="array" ref="AJ5">IFERROR(_xlfn.XLOOKUP(TRUE,COUNTIF(Tabla[[#This Row],[Etiquetas]:[Etiquetas17]],Versiones!$G$2:$G$36)&gt;0,Versiones!$B$2:$B$36), "")</f>
        <v>25</v>
      </c>
      <c r="AK5" s="87" t="str" cm="1">
        <f t="array" ref="AK5">IFERROR(_xlfn.XLOOKUP(TRUE,COUNTIF(Tabla[[#This Row],[Etiquetas]:[Etiquetas17]],Versiones!$G$2:$G$36)&gt;0,Versiones!$A$2:$A$36), "")</f>
        <v>V0.15</v>
      </c>
      <c r="AL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" s="78" t="str">
        <f>IFERROR(_xlfn.XLOOKUP(Tabla[[#This Row],[¿En qué versión fue corregido?]],Versiones!$A$2:$A$34,Versiones!$B$2:$B$34),"No encontrado")</f>
        <v>No encontrado</v>
      </c>
      <c r="AN5" s="88" t="str" cm="1">
        <f t="array" ref="AN5">IFERROR(_xlfn.XLOOKUP(TRUE,COUNTIF(Tabla[[#This Row],[Etiquetas]:[Etiquetas17]],Categorías!$A$2:$A$12)&gt;0,Categorías!$A$2:$A$12),"No encontrado")</f>
        <v>Funcional</v>
      </c>
      <c r="AO5" s="87" t="str" cm="1">
        <f t="array" ref="AO5">IFERROR(INDEX(Funcionalidades!$A$2:$A$80,MATCH(TRUE, COUNTIF(Reporte_Gral!R5:Z5,Funcionalidades!$A$2:$A$80)&gt;0,0)),"No encontrado")</f>
        <v>Recibir-Mercancía-Almacén-Tienda</v>
      </c>
      <c r="AP5" s="87" t="str">
        <f>IF(AND(COUNTIF(Tabla[[#This Row],[Etiquetas]:[Etiquetas17]],"*UAT_V*")&gt;0,COUNTIF(Tabla[[#This Row],[Etiquetas]:[Etiquetas17]],"*QA-Integración*")=0),"SI","")</f>
        <v/>
      </c>
      <c r="AQ5" s="88" t="str" cm="1">
        <f t="array" ref="AQ5">IF(Tabla[[#This Row],[Fue encontrado durante UAT?]]="SI",IFERROR(_xlfn.XLOOKUP(TRUE,ISNUMBER(SEARCH("UAT_V",Tabla[[#This Row],[Etiquetas]:[Etiquetas17]])),Tabla[[#This Row],[Etiquetas]:[Etiquetas17]]),""),"")</f>
        <v/>
      </c>
      <c r="AR5" s="87" t="str">
        <f>IF(COUNTIF(Tabla[[#This Row],[Etiquetas]:[Etiquetas17]],"*Devuelto*")&gt;0,"SI","")</f>
        <v/>
      </c>
      <c r="AS5" s="167">
        <f>COUNTIF(Tabla[[#This Row],[Etiquetas]:[Etiquetas17]],"*Devuelto*")</f>
        <v>0</v>
      </c>
    </row>
    <row r="6" spans="1:45">
      <c r="A6" s="40" t="s">
        <v>128</v>
      </c>
      <c r="B6" s="40" t="s">
        <v>149</v>
      </c>
      <c r="C6" s="40">
        <v>123840</v>
      </c>
      <c r="D6" s="40" t="s">
        <v>150</v>
      </c>
      <c r="E6" s="40" t="s">
        <v>36</v>
      </c>
      <c r="F6" s="40" t="s">
        <v>28</v>
      </c>
      <c r="G6" s="40" t="s">
        <v>151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 t="s">
        <v>139</v>
      </c>
      <c r="S6" s="40" t="s">
        <v>133</v>
      </c>
      <c r="T6" s="40" t="s">
        <v>152</v>
      </c>
      <c r="U6" s="40" t="s">
        <v>153</v>
      </c>
      <c r="V6" s="40" t="s">
        <v>154</v>
      </c>
      <c r="W6" s="40"/>
      <c r="X6" s="40"/>
      <c r="Y6" s="40"/>
      <c r="Z6" s="40"/>
      <c r="AA6" s="40" t="s">
        <v>134</v>
      </c>
      <c r="AB6" s="53">
        <v>46020.558333333334</v>
      </c>
      <c r="AC6" s="40" t="s">
        <v>155</v>
      </c>
      <c r="AD6" s="40"/>
      <c r="AE6" s="40"/>
      <c r="AF6" s="40"/>
      <c r="AG6" s="40" t="s">
        <v>141</v>
      </c>
      <c r="AH6" s="10" t="s">
        <v>142</v>
      </c>
      <c r="AI6" s="87"/>
      <c r="AJ6" s="87" cm="1">
        <f t="array" ref="AJ6">IFERROR(_xlfn.XLOOKUP(TRUE,COUNTIF(Tabla[[#This Row],[Etiquetas]:[Etiquetas17]],Versiones!$G$2:$G$36)&gt;0,Versiones!$B$2:$B$36), "")</f>
        <v>25</v>
      </c>
      <c r="AK6" s="87" t="str" cm="1">
        <f t="array" ref="AK6">IFERROR(_xlfn.XLOOKUP(TRUE,COUNTIF(Tabla[[#This Row],[Etiquetas]:[Etiquetas17]],Versiones!$G$2:$G$36)&gt;0,Versiones!$A$2:$A$36), "")</f>
        <v>V0.15</v>
      </c>
      <c r="AL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6" s="78">
        <f>IFERROR(_xlfn.XLOOKUP(Tabla[[#This Row],[¿En qué versión fue corregido?]],Versiones!$A$2:$A$34,Versiones!$B$2:$B$34),"No encontrado")</f>
        <v>0</v>
      </c>
      <c r="AN6" s="88" t="str" cm="1">
        <f t="array" ref="AN6">IFERROR(_xlfn.XLOOKUP(TRUE,COUNTIF(Tabla[[#This Row],[Etiquetas]:[Etiquetas17]],Categorías!$A$2:$A$12)&gt;0,Categorías!$A$2:$A$12),"No encontrado")</f>
        <v>Funcional</v>
      </c>
      <c r="AO6" s="87" t="str" cm="1">
        <f t="array" ref="AO6">IFERROR(INDEX(Funcionalidades!$A$2:$A$80,MATCH(TRUE, COUNTIF(Reporte_Gral!R6:Z6,Funcionalidades!$A$2:$A$80)&gt;0,0)),"No encontrado")</f>
        <v>Registrar-Merma</v>
      </c>
      <c r="AP6" s="87" t="str">
        <f>IF(AND(COUNTIF(Tabla[[#This Row],[Etiquetas]:[Etiquetas17]],"*UAT_V*")&gt;0,COUNTIF(Tabla[[#This Row],[Etiquetas]:[Etiquetas17]],"*QA-Integración*")=0),"SI","")</f>
        <v/>
      </c>
      <c r="AQ6" s="88" t="str" cm="1">
        <f t="array" ref="AQ6">IF(Tabla[[#This Row],[Fue encontrado durante UAT?]]="SI",IFERROR(_xlfn.XLOOKUP(TRUE,ISNUMBER(SEARCH("UAT_V",Tabla[[#This Row],[Etiquetas]:[Etiquetas17]])),Tabla[[#This Row],[Etiquetas]:[Etiquetas17]]),""),"")</f>
        <v/>
      </c>
      <c r="AR6" s="87" t="str">
        <f>IF(COUNTIF(Tabla[[#This Row],[Etiquetas]:[Etiquetas17]],"*Devuelto*")&gt;0,"SI","")</f>
        <v/>
      </c>
      <c r="AS6" s="167">
        <f>COUNTIF(Tabla[[#This Row],[Etiquetas]:[Etiquetas17]],"*Devuelto*")</f>
        <v>0</v>
      </c>
    </row>
    <row r="7" spans="1:45">
      <c r="A7" s="40" t="s">
        <v>128</v>
      </c>
      <c r="B7" s="40" t="s">
        <v>156</v>
      </c>
      <c r="C7" s="40">
        <v>123791</v>
      </c>
      <c r="D7" s="40" t="s">
        <v>157</v>
      </c>
      <c r="E7" s="40" t="s">
        <v>40</v>
      </c>
      <c r="F7" s="40" t="s">
        <v>27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 t="s">
        <v>158</v>
      </c>
      <c r="S7" s="40" t="s">
        <v>139</v>
      </c>
      <c r="T7" s="40" t="s">
        <v>133</v>
      </c>
      <c r="U7" s="40"/>
      <c r="V7" s="40"/>
      <c r="W7" s="40"/>
      <c r="X7" s="40"/>
      <c r="Y7" s="40"/>
      <c r="Z7" s="40"/>
      <c r="AA7" s="40" t="s">
        <v>134</v>
      </c>
      <c r="AB7" s="53">
        <v>46020.445833333331</v>
      </c>
      <c r="AC7" s="40"/>
      <c r="AD7" s="40"/>
      <c r="AE7" s="40"/>
      <c r="AF7" s="40"/>
      <c r="AG7" s="40" t="s">
        <v>135</v>
      </c>
      <c r="AH7" s="10" t="s">
        <v>159</v>
      </c>
      <c r="AI7" s="87"/>
      <c r="AJ7" s="87" cm="1">
        <f t="array" ref="AJ7">IFERROR(_xlfn.XLOOKUP(TRUE,COUNTIF(Tabla[[#This Row],[Etiquetas]:[Etiquetas17]],Versiones!$G$2:$G$36)&gt;0,Versiones!$B$2:$B$36), "")</f>
        <v>25</v>
      </c>
      <c r="AK7" s="87" t="str" cm="1">
        <f t="array" ref="AK7">IFERROR(_xlfn.XLOOKUP(TRUE,COUNTIF(Tabla[[#This Row],[Etiquetas]:[Etiquetas17]],Versiones!$G$2:$G$36)&gt;0,Versiones!$A$2:$A$36), "")</f>
        <v>V0.15</v>
      </c>
      <c r="AL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7" s="78" t="str">
        <f>IFERROR(_xlfn.XLOOKUP(Tabla[[#This Row],[¿En qué versión fue corregido?]],Versiones!$A$2:$A$34,Versiones!$B$2:$B$34),"No encontrado")</f>
        <v>No encontrado</v>
      </c>
      <c r="AN7" s="88" t="str" cm="1">
        <f t="array" ref="AN7">IFERROR(_xlfn.XLOOKUP(TRUE,COUNTIF(Tabla[[#This Row],[Etiquetas]:[Etiquetas17]],Categorías!$A$2:$A$12)&gt;0,Categorías!$A$2:$A$12),"No encontrado")</f>
        <v>Funcional</v>
      </c>
      <c r="AO7" s="88" t="str" cm="1">
        <f t="array" ref="AO7">IFERROR(INDEX(Funcionalidades!$A$2:$A$80,MATCH(TRUE, COUNTIF(Reporte_Gral!R7:Z7,Funcionalidades!$A$2:$A$80)&gt;0,0)),"No encontrado")</f>
        <v>Alivios</v>
      </c>
      <c r="AP7" s="87" t="str">
        <f>IF(AND(COUNTIF(Tabla[[#This Row],[Etiquetas]:[Etiquetas17]],"*UAT_V*")&gt;0,COUNTIF(Tabla[[#This Row],[Etiquetas]:[Etiquetas17]],"*QA-Integración*")=0),"SI","")</f>
        <v/>
      </c>
      <c r="AQ7" s="88" t="str" cm="1">
        <f t="array" ref="AQ7">IF(Tabla[[#This Row],[Fue encontrado durante UAT?]]="SI",IFERROR(_xlfn.XLOOKUP(TRUE,ISNUMBER(SEARCH("UAT_V",Tabla[[#This Row],[Etiquetas]:[Etiquetas17]])),Tabla[[#This Row],[Etiquetas]:[Etiquetas17]]),""),"")</f>
        <v/>
      </c>
      <c r="AR7" s="87" t="str">
        <f>IF(COUNTIF(Tabla[[#This Row],[Etiquetas]:[Etiquetas17]],"*Devuelto*")&gt;0,"SI","")</f>
        <v/>
      </c>
      <c r="AS7" s="167">
        <f>COUNTIF(Tabla[[#This Row],[Etiquetas]:[Etiquetas17]],"*Devuelto*")</f>
        <v>0</v>
      </c>
    </row>
    <row r="8" spans="1:45">
      <c r="A8" s="40" t="s">
        <v>128</v>
      </c>
      <c r="B8" s="40" t="s">
        <v>160</v>
      </c>
      <c r="C8" s="40">
        <v>123774</v>
      </c>
      <c r="D8" s="40" t="s">
        <v>161</v>
      </c>
      <c r="E8" s="40" t="s">
        <v>36</v>
      </c>
      <c r="F8" s="40" t="s">
        <v>27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 t="s">
        <v>139</v>
      </c>
      <c r="S8" s="40" t="s">
        <v>162</v>
      </c>
      <c r="T8" s="40" t="s">
        <v>133</v>
      </c>
      <c r="U8" s="40"/>
      <c r="V8" s="40"/>
      <c r="W8" s="40"/>
      <c r="X8" s="40"/>
      <c r="Y8" s="40"/>
      <c r="Z8" s="40"/>
      <c r="AA8" s="40" t="s">
        <v>134</v>
      </c>
      <c r="AB8" s="53">
        <v>46020.408333333333</v>
      </c>
      <c r="AC8" s="40"/>
      <c r="AD8" s="40"/>
      <c r="AE8" s="40"/>
      <c r="AF8" s="40"/>
      <c r="AG8" s="40" t="s">
        <v>141</v>
      </c>
      <c r="AH8" s="10" t="s">
        <v>163</v>
      </c>
      <c r="AI8" s="87"/>
      <c r="AJ8" s="87" cm="1">
        <f t="array" ref="AJ8">IFERROR(_xlfn.XLOOKUP(TRUE,COUNTIF(Tabla[[#This Row],[Etiquetas]:[Etiquetas17]],Versiones!$G$2:$G$36)&gt;0,Versiones!$B$2:$B$36), "")</f>
        <v>25</v>
      </c>
      <c r="AK8" s="87" t="str" cm="1">
        <f t="array" ref="AK8">IFERROR(_xlfn.XLOOKUP(TRUE,COUNTIF(Tabla[[#This Row],[Etiquetas]:[Etiquetas17]],Versiones!$G$2:$G$36)&gt;0,Versiones!$A$2:$A$36), "")</f>
        <v>V0.15</v>
      </c>
      <c r="AL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" s="78" t="str">
        <f>IFERROR(_xlfn.XLOOKUP(Tabla[[#This Row],[¿En qué versión fue corregido?]],Versiones!$A$2:$A$34,Versiones!$B$2:$B$34),"No encontrado")</f>
        <v>No encontrado</v>
      </c>
      <c r="AN8" s="88" t="str" cm="1">
        <f t="array" ref="AN8">IFERROR(_xlfn.XLOOKUP(TRUE,COUNTIF(Tabla[[#This Row],[Etiquetas]:[Etiquetas17]],Categorías!$A$2:$A$12)&gt;0,Categorías!$A$2:$A$12),"No encontrado")</f>
        <v>Funcional</v>
      </c>
      <c r="AO8" s="87" t="str" cm="1">
        <f t="array" ref="AO8">IFERROR(INDEX(Funcionalidades!$A$2:$A$80,MATCH(TRUE, COUNTIF(Reporte_Gral!R8:Z8,Funcionalidades!$A$2:$A$80)&gt;0,0)),"No encontrado")</f>
        <v>Imprimir-Cambios-De-Precio</v>
      </c>
      <c r="AP8" s="87" t="str">
        <f>IF(AND(COUNTIF(Tabla[[#This Row],[Etiquetas]:[Etiquetas17]],"*UAT_V*")&gt;0,COUNTIF(Tabla[[#This Row],[Etiquetas]:[Etiquetas17]],"*QA-Integración*")=0),"SI","")</f>
        <v/>
      </c>
      <c r="AQ8" s="88" t="str" cm="1">
        <f t="array" ref="AQ8">IF(Tabla[[#This Row],[Fue encontrado durante UAT?]]="SI",IFERROR(_xlfn.XLOOKUP(TRUE,ISNUMBER(SEARCH("UAT_V",Tabla[[#This Row],[Etiquetas]:[Etiquetas17]])),Tabla[[#This Row],[Etiquetas]:[Etiquetas17]]),""),"")</f>
        <v/>
      </c>
      <c r="AR8" s="87" t="str">
        <f>IF(COUNTIF(Tabla[[#This Row],[Etiquetas]:[Etiquetas17]],"*Devuelto*")&gt;0,"SI","")</f>
        <v/>
      </c>
      <c r="AS8" s="167">
        <f>COUNTIF(Tabla[[#This Row],[Etiquetas]:[Etiquetas17]],"*Devuelto*")</f>
        <v>0</v>
      </c>
    </row>
    <row r="9" spans="1:45">
      <c r="A9" s="40" t="s">
        <v>128</v>
      </c>
      <c r="B9" s="40" t="s">
        <v>164</v>
      </c>
      <c r="C9" s="40">
        <v>123727</v>
      </c>
      <c r="D9" s="40" t="s">
        <v>165</v>
      </c>
      <c r="E9" s="40" t="s">
        <v>37</v>
      </c>
      <c r="F9" s="40" t="s">
        <v>27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 t="s">
        <v>158</v>
      </c>
      <c r="S9" s="40" t="s">
        <v>139</v>
      </c>
      <c r="T9" s="40" t="s">
        <v>133</v>
      </c>
      <c r="U9" s="40"/>
      <c r="V9" s="40"/>
      <c r="W9" s="40"/>
      <c r="X9" s="40"/>
      <c r="Y9" s="40"/>
      <c r="Z9" s="40"/>
      <c r="AA9" s="40" t="s">
        <v>134</v>
      </c>
      <c r="AB9" s="53">
        <v>46020.265277777777</v>
      </c>
      <c r="AC9" s="40"/>
      <c r="AD9" s="40"/>
      <c r="AE9" s="40"/>
      <c r="AF9" s="40"/>
      <c r="AG9" s="40" t="s">
        <v>135</v>
      </c>
      <c r="AH9" s="10" t="s">
        <v>159</v>
      </c>
      <c r="AI9" s="87"/>
      <c r="AJ9" s="87" cm="1">
        <f t="array" ref="AJ9">IFERROR(_xlfn.XLOOKUP(TRUE,COUNTIF(Tabla[[#This Row],[Etiquetas]:[Etiquetas17]],Versiones!$G$2:$G$36)&gt;0,Versiones!$B$2:$B$36), "")</f>
        <v>25</v>
      </c>
      <c r="AK9" s="87" t="str" cm="1">
        <f t="array" ref="AK9">IFERROR(_xlfn.XLOOKUP(TRUE,COUNTIF(Tabla[[#This Row],[Etiquetas]:[Etiquetas17]],Versiones!$G$2:$G$36)&gt;0,Versiones!$A$2:$A$36), "")</f>
        <v>V0.15</v>
      </c>
      <c r="AL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9" s="78" t="str">
        <f>IFERROR(_xlfn.XLOOKUP(Tabla[[#This Row],[¿En qué versión fue corregido?]],Versiones!$A$2:$A$34,Versiones!$B$2:$B$34),"No encontrado")</f>
        <v>No encontrado</v>
      </c>
      <c r="AN9" s="88" t="str" cm="1">
        <f t="array" ref="AN9">IFERROR(_xlfn.XLOOKUP(TRUE,COUNTIF(Tabla[[#This Row],[Etiquetas]:[Etiquetas17]],Categorías!$A$2:$A$12)&gt;0,Categorías!$A$2:$A$12),"No encontrado")</f>
        <v>Funcional</v>
      </c>
      <c r="AO9" s="88" t="str" cm="1">
        <f t="array" ref="AO9">IFERROR(INDEX(Funcionalidades!$A$2:$A$80,MATCH(TRUE, COUNTIF(Reporte_Gral!R9:Z9,Funcionalidades!$A$2:$A$80)&gt;0,0)),"No encontrado")</f>
        <v>Alivios</v>
      </c>
      <c r="AP9" s="87" t="str">
        <f>IF(AND(COUNTIF(Tabla[[#This Row],[Etiquetas]:[Etiquetas17]],"*UAT_V*")&gt;0,COUNTIF(Tabla[[#This Row],[Etiquetas]:[Etiquetas17]],"*QA-Integración*")=0),"SI","")</f>
        <v/>
      </c>
      <c r="AQ9" s="88" t="str" cm="1">
        <f t="array" ref="AQ9">IF(Tabla[[#This Row],[Fue encontrado durante UAT?]]="SI",IFERROR(_xlfn.XLOOKUP(TRUE,ISNUMBER(SEARCH("UAT_V",Tabla[[#This Row],[Etiquetas]:[Etiquetas17]])),Tabla[[#This Row],[Etiquetas]:[Etiquetas17]]),""),"")</f>
        <v/>
      </c>
      <c r="AR9" s="87" t="str">
        <f>IF(COUNTIF(Tabla[[#This Row],[Etiquetas]:[Etiquetas17]],"*Devuelto*")&gt;0,"SI","")</f>
        <v/>
      </c>
      <c r="AS9" s="167">
        <f>COUNTIF(Tabla[[#This Row],[Etiquetas]:[Etiquetas17]],"*Devuelto*")</f>
        <v>0</v>
      </c>
    </row>
    <row r="10" spans="1:45">
      <c r="A10" s="40" t="s">
        <v>128</v>
      </c>
      <c r="B10" s="40" t="s">
        <v>166</v>
      </c>
      <c r="C10" s="40">
        <v>123559</v>
      </c>
      <c r="D10" s="40" t="s">
        <v>167</v>
      </c>
      <c r="E10" s="40" t="s">
        <v>37</v>
      </c>
      <c r="F10" s="40" t="s">
        <v>27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 t="s">
        <v>139</v>
      </c>
      <c r="S10" s="40" t="s">
        <v>168</v>
      </c>
      <c r="T10" s="40" t="s">
        <v>133</v>
      </c>
      <c r="U10" s="40"/>
      <c r="V10" s="40"/>
      <c r="W10" s="40"/>
      <c r="X10" s="40"/>
      <c r="Y10" s="40"/>
      <c r="Z10" s="40"/>
      <c r="AA10" s="40" t="s">
        <v>134</v>
      </c>
      <c r="AB10" s="53">
        <v>46017.68472222222</v>
      </c>
      <c r="AC10" s="40"/>
      <c r="AD10" s="40"/>
      <c r="AE10" s="40"/>
      <c r="AF10" s="40"/>
      <c r="AG10" s="40" t="s">
        <v>135</v>
      </c>
      <c r="AH10" s="10" t="s">
        <v>163</v>
      </c>
      <c r="AI10" s="87"/>
      <c r="AJ10" s="87" cm="1">
        <f t="array" ref="AJ10">IFERROR(_xlfn.XLOOKUP(TRUE,COUNTIF(Tabla[[#This Row],[Etiquetas]:[Etiquetas17]],Versiones!$G$2:$G$36)&gt;0,Versiones!$B$2:$B$36), "")</f>
        <v>25</v>
      </c>
      <c r="AK10" s="87" t="str" cm="1">
        <f t="array" ref="AK10">IFERROR(_xlfn.XLOOKUP(TRUE,COUNTIF(Tabla[[#This Row],[Etiquetas]:[Etiquetas17]],Versiones!$G$2:$G$36)&gt;0,Versiones!$A$2:$A$36), "")</f>
        <v>V0.15</v>
      </c>
      <c r="AL1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0" s="78" t="str">
        <f>IFERROR(_xlfn.XLOOKUP(Tabla[[#This Row],[¿En qué versión fue corregido?]],Versiones!$A$2:$A$34,Versiones!$B$2:$B$34),"No encontrado")</f>
        <v>No encontrado</v>
      </c>
      <c r="AN10" s="88" t="str" cm="1">
        <f t="array" ref="AN10">IFERROR(_xlfn.XLOOKUP(TRUE,COUNTIF(Tabla[[#This Row],[Etiquetas]:[Etiquetas17]],Categorías!$A$2:$A$12)&gt;0,Categorías!$A$2:$A$12),"No encontrado")</f>
        <v>Funcional</v>
      </c>
      <c r="AO10" s="87" t="str" cm="1">
        <f t="array" ref="AO10">IFERROR(INDEX(Funcionalidades!$A$2:$A$80,MATCH(TRUE, COUNTIF(Reporte_Gral!R10:Z10,Funcionalidades!$A$2:$A$80)&gt;0,0)),"No encontrado")</f>
        <v>Pago-De-Tiempo-Aire</v>
      </c>
      <c r="AP10" s="87" t="str">
        <f>IF(AND(COUNTIF(Tabla[[#This Row],[Etiquetas]:[Etiquetas17]],"*UAT_V*")&gt;0,COUNTIF(Tabla[[#This Row],[Etiquetas]:[Etiquetas17]],"*QA-Integración*")=0),"SI","")</f>
        <v/>
      </c>
      <c r="AQ10" s="88" t="str" cm="1">
        <f t="array" ref="AQ10">IF(Tabla[[#This Row],[Fue encontrado durante UAT?]]="SI",IFERROR(_xlfn.XLOOKUP(TRUE,ISNUMBER(SEARCH("UAT_V",Tabla[[#This Row],[Etiquetas]:[Etiquetas17]])),Tabla[[#This Row],[Etiquetas]:[Etiquetas17]]),""),"")</f>
        <v/>
      </c>
      <c r="AR10" s="87" t="str">
        <f>IF(COUNTIF(Tabla[[#This Row],[Etiquetas]:[Etiquetas17]],"*Devuelto*")&gt;0,"SI","")</f>
        <v/>
      </c>
      <c r="AS10" s="167">
        <f>COUNTIF(Tabla[[#This Row],[Etiquetas]:[Etiquetas17]],"*Devuelto*")</f>
        <v>0</v>
      </c>
    </row>
    <row r="11" spans="1:45">
      <c r="A11" s="40" t="s">
        <v>128</v>
      </c>
      <c r="B11" s="40" t="s">
        <v>169</v>
      </c>
      <c r="C11" s="40">
        <v>123542</v>
      </c>
      <c r="D11" s="40" t="s">
        <v>170</v>
      </c>
      <c r="E11" s="40" t="s">
        <v>37</v>
      </c>
      <c r="F11" s="40" t="s">
        <v>27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 t="s">
        <v>158</v>
      </c>
      <c r="S11" s="40" t="s">
        <v>139</v>
      </c>
      <c r="T11" s="40" t="s">
        <v>133</v>
      </c>
      <c r="U11" s="40"/>
      <c r="V11" s="40"/>
      <c r="W11" s="40"/>
      <c r="X11" s="40"/>
      <c r="Y11" s="40"/>
      <c r="Z11" s="40"/>
      <c r="AA11" s="40" t="s">
        <v>134</v>
      </c>
      <c r="AB11" s="53">
        <v>46017.660416666666</v>
      </c>
      <c r="AC11" s="40"/>
      <c r="AD11" s="40"/>
      <c r="AE11" s="40"/>
      <c r="AF11" s="40"/>
      <c r="AG11" s="40" t="s">
        <v>135</v>
      </c>
      <c r="AH11" s="10" t="s">
        <v>159</v>
      </c>
      <c r="AI11" s="87"/>
      <c r="AJ11" s="87" cm="1">
        <f t="array" ref="AJ11">IFERROR(_xlfn.XLOOKUP(TRUE,COUNTIF(Tabla[[#This Row],[Etiquetas]:[Etiquetas17]],Versiones!$G$2:$G$36)&gt;0,Versiones!$B$2:$B$36), "")</f>
        <v>25</v>
      </c>
      <c r="AK11" s="87" t="str" cm="1">
        <f t="array" ref="AK11">IFERROR(_xlfn.XLOOKUP(TRUE,COUNTIF(Tabla[[#This Row],[Etiquetas]:[Etiquetas17]],Versiones!$G$2:$G$36)&gt;0,Versiones!$A$2:$A$36), "")</f>
        <v>V0.15</v>
      </c>
      <c r="AL1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" s="78" t="str">
        <f>IFERROR(_xlfn.XLOOKUP(Tabla[[#This Row],[¿En qué versión fue corregido?]],Versiones!$A$2:$A$34,Versiones!$B$2:$B$34),"No encontrado")</f>
        <v>No encontrado</v>
      </c>
      <c r="AN11" s="88" t="str" cm="1">
        <f t="array" ref="AN11">IFERROR(_xlfn.XLOOKUP(TRUE,COUNTIF(Tabla[[#This Row],[Etiquetas]:[Etiquetas17]],Categorías!$A$2:$A$12)&gt;0,Categorías!$A$2:$A$12),"No encontrado")</f>
        <v>Funcional</v>
      </c>
      <c r="AO11" s="87" t="str" cm="1">
        <f t="array" ref="AO11">IFERROR(INDEX(Funcionalidades!$A$2:$A$80,MATCH(TRUE, COUNTIF(Reporte_Gral!R11:Z11,Funcionalidades!$A$2:$A$80)&gt;0,0)),"No encontrado")</f>
        <v>Alivios</v>
      </c>
      <c r="AP11" s="87" t="str">
        <f>IF(AND(COUNTIF(Tabla[[#This Row],[Etiquetas]:[Etiquetas17]],"*UAT_V*")&gt;0,COUNTIF(Tabla[[#This Row],[Etiquetas]:[Etiquetas17]],"*QA-Integración*")=0),"SI","")</f>
        <v/>
      </c>
      <c r="AQ11" s="88" t="str" cm="1">
        <f t="array" ref="AQ11">IF(Tabla[[#This Row],[Fue encontrado durante UAT?]]="SI",IFERROR(_xlfn.XLOOKUP(TRUE,ISNUMBER(SEARCH("UAT_V",Tabla[[#This Row],[Etiquetas]:[Etiquetas17]])),Tabla[[#This Row],[Etiquetas]:[Etiquetas17]]),""),"")</f>
        <v/>
      </c>
      <c r="AR11" s="87" t="str">
        <f>IF(COUNTIF(Tabla[[#This Row],[Etiquetas]:[Etiquetas17]],"*Devuelto*")&gt;0,"SI","")</f>
        <v/>
      </c>
      <c r="AS11" s="167">
        <f>COUNTIF(Tabla[[#This Row],[Etiquetas]:[Etiquetas17]],"*Devuelto*")</f>
        <v>0</v>
      </c>
    </row>
    <row r="12" spans="1:45">
      <c r="A12" s="40" t="s">
        <v>128</v>
      </c>
      <c r="B12" s="40" t="s">
        <v>171</v>
      </c>
      <c r="C12" s="40">
        <v>123001</v>
      </c>
      <c r="D12" s="40" t="s">
        <v>172</v>
      </c>
      <c r="E12" s="40" t="s">
        <v>37</v>
      </c>
      <c r="F12" s="40" t="s">
        <v>27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 t="s">
        <v>139</v>
      </c>
      <c r="S12" s="40" t="s">
        <v>173</v>
      </c>
      <c r="T12" s="40" t="s">
        <v>133</v>
      </c>
      <c r="U12" s="40"/>
      <c r="V12" s="40"/>
      <c r="W12" s="40"/>
      <c r="X12" s="40"/>
      <c r="Y12" s="40"/>
      <c r="Z12" s="40"/>
      <c r="AA12" s="40" t="s">
        <v>134</v>
      </c>
      <c r="AB12" s="53">
        <v>46014.73541666667</v>
      </c>
      <c r="AC12" s="40" t="s">
        <v>174</v>
      </c>
      <c r="AD12" s="40"/>
      <c r="AE12" s="40"/>
      <c r="AF12" s="40"/>
      <c r="AG12" s="40" t="s">
        <v>135</v>
      </c>
      <c r="AH12" s="10" t="s">
        <v>136</v>
      </c>
      <c r="AI12" s="87"/>
      <c r="AJ12" s="87" cm="1">
        <f t="array" ref="AJ12">IFERROR(_xlfn.XLOOKUP(TRUE,COUNTIF(Tabla[[#This Row],[Etiquetas]:[Etiquetas17]],Versiones!$G$2:$G$36)&gt;0,Versiones!$B$2:$B$36), "")</f>
        <v>25</v>
      </c>
      <c r="AK12" s="87" t="str" cm="1">
        <f t="array" ref="AK12">IFERROR(_xlfn.XLOOKUP(TRUE,COUNTIF(Tabla[[#This Row],[Etiquetas]:[Etiquetas17]],Versiones!$G$2:$G$36)&gt;0,Versiones!$A$2:$A$36), "")</f>
        <v>V0.15</v>
      </c>
      <c r="AL1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2" s="78">
        <f>IFERROR(_xlfn.XLOOKUP(Tabla[[#This Row],[¿En qué versión fue corregido?]],Versiones!$A$2:$A$34,Versiones!$B$2:$B$34),"No encontrado")</f>
        <v>25</v>
      </c>
      <c r="AN12" s="88" t="str" cm="1">
        <f t="array" ref="AN12">IFERROR(_xlfn.XLOOKUP(TRUE,COUNTIF(Tabla[[#This Row],[Etiquetas]:[Etiquetas17]],Categorías!$A$2:$A$12)&gt;0,Categorías!$A$2:$A$12),"No encontrado")</f>
        <v>Funcional</v>
      </c>
      <c r="AO12" s="88" t="str" cm="1">
        <f t="array" ref="AO12">IFERROR(INDEX(Funcionalidades!$A$2:$A$80,MATCH(TRUE, COUNTIF(Reporte_Gral!R12:Z12,Funcionalidades!$A$2:$A$80)&gt;0,0)),"No encontrado")</f>
        <v>Pago-De-Servicios-Con-Catálogo</v>
      </c>
      <c r="AP12" s="87" t="str">
        <f>IF(AND(COUNTIF(Tabla[[#This Row],[Etiquetas]:[Etiquetas17]],"*UAT_V*")&gt;0,COUNTIF(Tabla[[#This Row],[Etiquetas]:[Etiquetas17]],"*QA-Integración*")=0),"SI","")</f>
        <v/>
      </c>
      <c r="AQ12" s="88" t="str" cm="1">
        <f t="array" ref="AQ12">IF(Tabla[[#This Row],[Fue encontrado durante UAT?]]="SI",IFERROR(_xlfn.XLOOKUP(TRUE,ISNUMBER(SEARCH("UAT_V",Tabla[[#This Row],[Etiquetas]:[Etiquetas17]])),Tabla[[#This Row],[Etiquetas]:[Etiquetas17]]),""),"")</f>
        <v/>
      </c>
      <c r="AR12" s="87" t="str">
        <f>IF(COUNTIF(Tabla[[#This Row],[Etiquetas]:[Etiquetas17]],"*Devuelto*")&gt;0,"SI","")</f>
        <v/>
      </c>
      <c r="AS12" s="167">
        <f>COUNTIF(Tabla[[#This Row],[Etiquetas]:[Etiquetas17]],"*Devuelto*")</f>
        <v>0</v>
      </c>
    </row>
    <row r="13" spans="1:45">
      <c r="A13" s="40" t="s">
        <v>128</v>
      </c>
      <c r="B13" s="40" t="s">
        <v>175</v>
      </c>
      <c r="C13" s="40">
        <v>122963</v>
      </c>
      <c r="D13" s="40" t="s">
        <v>176</v>
      </c>
      <c r="E13" s="40" t="s">
        <v>37</v>
      </c>
      <c r="F13" s="40" t="s">
        <v>27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 t="s">
        <v>158</v>
      </c>
      <c r="S13" s="40" t="s">
        <v>139</v>
      </c>
      <c r="T13" s="40" t="s">
        <v>35</v>
      </c>
      <c r="U13" s="40"/>
      <c r="V13" s="40"/>
      <c r="W13" s="40"/>
      <c r="X13" s="40"/>
      <c r="Y13" s="40"/>
      <c r="Z13" s="40"/>
      <c r="AA13" s="40" t="s">
        <v>134</v>
      </c>
      <c r="AB13" s="53">
        <v>46014.65902777778</v>
      </c>
      <c r="AC13" s="40"/>
      <c r="AD13" s="40"/>
      <c r="AE13" s="40"/>
      <c r="AF13" s="40"/>
      <c r="AG13" s="40" t="s">
        <v>141</v>
      </c>
      <c r="AH13" s="10" t="s">
        <v>159</v>
      </c>
      <c r="AI13" s="87"/>
      <c r="AJ13" s="87" cm="1">
        <f t="array" ref="AJ13">IFERROR(_xlfn.XLOOKUP(TRUE,COUNTIF(Tabla[[#This Row],[Etiquetas]:[Etiquetas17]],Versiones!$G$2:$G$36)&gt;0,Versiones!$B$2:$B$36), "")</f>
        <v>25</v>
      </c>
      <c r="AK13" s="87" t="str" cm="1">
        <f t="array" ref="AK13">IFERROR(_xlfn.XLOOKUP(TRUE,COUNTIF(Tabla[[#This Row],[Etiquetas]:[Etiquetas17]],Versiones!$G$2:$G$36)&gt;0,Versiones!$A$2:$A$36), "")</f>
        <v>V0.15</v>
      </c>
      <c r="AL1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" s="78" t="str">
        <f>IFERROR(_xlfn.XLOOKUP(Tabla[[#This Row],[¿En qué versión fue corregido?]],Versiones!$A$2:$A$34,Versiones!$B$2:$B$34),"No encontrado")</f>
        <v>No encontrado</v>
      </c>
      <c r="AN13" s="88" t="str" cm="1">
        <f t="array" ref="AN13">IFERROR(_xlfn.XLOOKUP(TRUE,COUNTIF(Tabla[[#This Row],[Etiquetas]:[Etiquetas17]],Categorías!$A$2:$A$12)&gt;0,Categorías!$A$2:$A$12),"No encontrado")</f>
        <v>Funcional</v>
      </c>
      <c r="AO13" s="88" t="str" cm="1">
        <f t="array" ref="AO13">IFERROR(INDEX(Funcionalidades!$A$2:$A$80,MATCH(TRUE, COUNTIF(Reporte_Gral!R13:Z13,Funcionalidades!$A$2:$A$80)&gt;0,0)),"No encontrado")</f>
        <v>Alivios</v>
      </c>
      <c r="AP13" s="87" t="str">
        <f>IF(AND(COUNTIF(Tabla[[#This Row],[Etiquetas]:[Etiquetas17]],"*UAT_V*")&gt;0,COUNTIF(Tabla[[#This Row],[Etiquetas]:[Etiquetas17]],"*QA-Integración*")=0),"SI","")</f>
        <v>SI</v>
      </c>
      <c r="AQ13" s="88" t="str" cm="1">
        <f t="array" ref="AQ13">IF(Tabla[[#This Row],[Fue encontrado durante UAT?]]="SI",IFERROR(_xlfn.XLOOKUP(TRUE,ISNUMBER(SEARCH("UAT_V",Tabla[[#This Row],[Etiquetas]:[Etiquetas17]])),Tabla[[#This Row],[Etiquetas]:[Etiquetas17]]),""),"")</f>
        <v>UAT_V0.15</v>
      </c>
      <c r="AR13" s="87" t="str">
        <f>IF(COUNTIF(Tabla[[#This Row],[Etiquetas]:[Etiquetas17]],"*Devuelto*")&gt;0,"SI","")</f>
        <v/>
      </c>
      <c r="AS13" s="167">
        <f>COUNTIF(Tabla[[#This Row],[Etiquetas]:[Etiquetas17]],"*Devuelto*")</f>
        <v>0</v>
      </c>
    </row>
    <row r="14" spans="1:45">
      <c r="A14" s="40" t="s">
        <v>128</v>
      </c>
      <c r="B14" s="40" t="s">
        <v>177</v>
      </c>
      <c r="C14" s="40">
        <v>122956</v>
      </c>
      <c r="D14" s="40" t="s">
        <v>178</v>
      </c>
      <c r="E14" s="40" t="s">
        <v>37</v>
      </c>
      <c r="F14" s="40" t="s">
        <v>27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 t="s">
        <v>139</v>
      </c>
      <c r="S14" s="40" t="s">
        <v>152</v>
      </c>
      <c r="T14" s="40" t="s">
        <v>35</v>
      </c>
      <c r="U14" s="40"/>
      <c r="V14" s="40"/>
      <c r="W14" s="40"/>
      <c r="X14" s="40"/>
      <c r="Y14" s="40"/>
      <c r="Z14" s="40"/>
      <c r="AA14" s="40" t="s">
        <v>134</v>
      </c>
      <c r="AB14" s="53">
        <v>46014.632638888892</v>
      </c>
      <c r="AC14" s="40"/>
      <c r="AD14" s="40"/>
      <c r="AE14" s="40"/>
      <c r="AF14" s="40"/>
      <c r="AG14" s="40" t="s">
        <v>141</v>
      </c>
      <c r="AH14" s="10" t="s">
        <v>163</v>
      </c>
      <c r="AI14" s="87"/>
      <c r="AJ14" s="87" cm="1">
        <f t="array" ref="AJ14">IFERROR(_xlfn.XLOOKUP(TRUE,COUNTIF(Tabla[[#This Row],[Etiquetas]:[Etiquetas17]],Versiones!$G$2:$G$36)&gt;0,Versiones!$B$2:$B$36), "")</f>
        <v>25</v>
      </c>
      <c r="AK14" s="87" t="str" cm="1">
        <f t="array" ref="AK14">IFERROR(_xlfn.XLOOKUP(TRUE,COUNTIF(Tabla[[#This Row],[Etiquetas]:[Etiquetas17]],Versiones!$G$2:$G$36)&gt;0,Versiones!$A$2:$A$36), "")</f>
        <v>V0.15</v>
      </c>
      <c r="AL1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" s="78" t="str">
        <f>IFERROR(_xlfn.XLOOKUP(Tabla[[#This Row],[¿En qué versión fue corregido?]],Versiones!$A$2:$A$34,Versiones!$B$2:$B$34),"No encontrado")</f>
        <v>No encontrado</v>
      </c>
      <c r="AN14" s="88" t="str" cm="1">
        <f t="array" ref="AN14">IFERROR(_xlfn.XLOOKUP(TRUE,COUNTIF(Tabla[[#This Row],[Etiquetas]:[Etiquetas17]],Categorías!$A$2:$A$12)&gt;0,Categorías!$A$2:$A$12),"No encontrado")</f>
        <v>Funcional</v>
      </c>
      <c r="AO14" s="87" t="str" cm="1">
        <f t="array" ref="AO14">IFERROR(INDEX(Funcionalidades!$A$2:$A$80,MATCH(TRUE, COUNTIF(Reporte_Gral!R14:Z14,Funcionalidades!$A$2:$A$80)&gt;0,0)),"No encontrado")</f>
        <v>Registrar-Merma</v>
      </c>
      <c r="AP14" s="87" t="str">
        <f>IF(AND(COUNTIF(Tabla[[#This Row],[Etiquetas]:[Etiquetas17]],"*UAT_V*")&gt;0,COUNTIF(Tabla[[#This Row],[Etiquetas]:[Etiquetas17]],"*QA-Integración*")=0),"SI","")</f>
        <v>SI</v>
      </c>
      <c r="AQ14" s="88" t="str" cm="1">
        <f t="array" ref="AQ14">IF(Tabla[[#This Row],[Fue encontrado durante UAT?]]="SI",IFERROR(_xlfn.XLOOKUP(TRUE,ISNUMBER(SEARCH("UAT_V",Tabla[[#This Row],[Etiquetas]:[Etiquetas17]])),Tabla[[#This Row],[Etiquetas]:[Etiquetas17]]),""),"")</f>
        <v>UAT_V0.15</v>
      </c>
      <c r="AR14" s="87" t="str">
        <f>IF(COUNTIF(Tabla[[#This Row],[Etiquetas]:[Etiquetas17]],"*Devuelto*")&gt;0,"SI","")</f>
        <v/>
      </c>
      <c r="AS14" s="167">
        <f>COUNTIF(Tabla[[#This Row],[Etiquetas]:[Etiquetas17]],"*Devuelto*")</f>
        <v>0</v>
      </c>
    </row>
    <row r="15" spans="1:45">
      <c r="A15" s="40" t="s">
        <v>128</v>
      </c>
      <c r="B15" s="40" t="s">
        <v>179</v>
      </c>
      <c r="C15" s="40">
        <v>122888</v>
      </c>
      <c r="D15" s="40" t="s">
        <v>180</v>
      </c>
      <c r="E15" s="40" t="s">
        <v>36</v>
      </c>
      <c r="F15" s="40" t="s">
        <v>27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 t="s">
        <v>139</v>
      </c>
      <c r="S15" s="40" t="s">
        <v>181</v>
      </c>
      <c r="T15" s="40" t="s">
        <v>35</v>
      </c>
      <c r="U15" s="40"/>
      <c r="V15" s="40"/>
      <c r="W15" s="40"/>
      <c r="X15" s="40"/>
      <c r="Y15" s="40"/>
      <c r="Z15" s="40"/>
      <c r="AA15" s="40" t="s">
        <v>134</v>
      </c>
      <c r="AB15" s="53">
        <v>46014.594444444447</v>
      </c>
      <c r="AC15" s="40"/>
      <c r="AD15" s="40"/>
      <c r="AE15" s="40"/>
      <c r="AF15" s="40"/>
      <c r="AG15" s="40" t="s">
        <v>141</v>
      </c>
      <c r="AH15" s="10" t="s">
        <v>136</v>
      </c>
      <c r="AI15" s="87"/>
      <c r="AJ15" s="87" cm="1">
        <f t="array" ref="AJ15">IFERROR(_xlfn.XLOOKUP(TRUE,COUNTIF(Tabla[[#This Row],[Etiquetas]:[Etiquetas17]],Versiones!$G$2:$G$36)&gt;0,Versiones!$B$2:$B$36), "")</f>
        <v>25</v>
      </c>
      <c r="AK15" s="87" t="str" cm="1">
        <f t="array" ref="AK15">IFERROR(_xlfn.XLOOKUP(TRUE,COUNTIF(Tabla[[#This Row],[Etiquetas]:[Etiquetas17]],Versiones!$G$2:$G$36)&gt;0,Versiones!$A$2:$A$36), "")</f>
        <v>V0.15</v>
      </c>
      <c r="AL1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" s="78" t="str">
        <f>IFERROR(_xlfn.XLOOKUP(Tabla[[#This Row],[¿En qué versión fue corregido?]],Versiones!$A$2:$A$34,Versiones!$B$2:$B$34),"No encontrado")</f>
        <v>No encontrado</v>
      </c>
      <c r="AN15" s="88" t="str" cm="1">
        <f t="array" ref="AN15">IFERROR(_xlfn.XLOOKUP(TRUE,COUNTIF(Tabla[[#This Row],[Etiquetas]:[Etiquetas17]],Categorías!$A$2:$A$12)&gt;0,Categorías!$A$2:$A$12),"No encontrado")</f>
        <v>Funcional</v>
      </c>
      <c r="AO15" s="88" t="str" cm="1">
        <f t="array" ref="AO15">IFERROR(INDEX(Funcionalidades!$A$2:$A$80,MATCH(TRUE, COUNTIF(Reporte_Gral!R15:Z15,Funcionalidades!$A$2:$A$80)&gt;0,0)),"No encontrado")</f>
        <v>Realizar-Pedido-Eficiente</v>
      </c>
      <c r="AP15" s="87" t="str">
        <f>IF(AND(COUNTIF(Tabla[[#This Row],[Etiquetas]:[Etiquetas17]],"*UAT_V*")&gt;0,COUNTIF(Tabla[[#This Row],[Etiquetas]:[Etiquetas17]],"*QA-Integración*")=0),"SI","")</f>
        <v>SI</v>
      </c>
      <c r="AQ15" s="88" t="str" cm="1">
        <f t="array" ref="AQ15">IF(Tabla[[#This Row],[Fue encontrado durante UAT?]]="SI",IFERROR(_xlfn.XLOOKUP(TRUE,ISNUMBER(SEARCH("UAT_V",Tabla[[#This Row],[Etiquetas]:[Etiquetas17]])),Tabla[[#This Row],[Etiquetas]:[Etiquetas17]]),""),"")</f>
        <v>UAT_V0.15</v>
      </c>
      <c r="AR15" s="87" t="str">
        <f>IF(COUNTIF(Tabla[[#This Row],[Etiquetas]:[Etiquetas17]],"*Devuelto*")&gt;0,"SI","")</f>
        <v/>
      </c>
      <c r="AS15" s="167">
        <f>COUNTIF(Tabla[[#This Row],[Etiquetas]:[Etiquetas17]],"*Devuelto*")</f>
        <v>0</v>
      </c>
    </row>
    <row r="16" spans="1:45">
      <c r="A16" s="40" t="s">
        <v>128</v>
      </c>
      <c r="B16" s="40" t="s">
        <v>182</v>
      </c>
      <c r="C16" s="40">
        <v>122869</v>
      </c>
      <c r="D16" s="40" t="s">
        <v>183</v>
      </c>
      <c r="E16" s="40" t="s">
        <v>37</v>
      </c>
      <c r="F16" s="40" t="s">
        <v>27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 t="s">
        <v>139</v>
      </c>
      <c r="S16" s="40" t="s">
        <v>162</v>
      </c>
      <c r="T16" s="40" t="s">
        <v>133</v>
      </c>
      <c r="U16" s="40"/>
      <c r="V16" s="40"/>
      <c r="W16" s="40"/>
      <c r="X16" s="40"/>
      <c r="Y16" s="40"/>
      <c r="Z16" s="40"/>
      <c r="AA16" s="40" t="s">
        <v>134</v>
      </c>
      <c r="AB16" s="53">
        <v>46014.553472222222</v>
      </c>
      <c r="AC16" s="40"/>
      <c r="AD16" s="40"/>
      <c r="AE16" s="40"/>
      <c r="AF16" s="40"/>
      <c r="AG16" s="40" t="s">
        <v>141</v>
      </c>
      <c r="AH16" s="10" t="s">
        <v>184</v>
      </c>
      <c r="AI16" s="87"/>
      <c r="AJ16" s="87" cm="1">
        <f t="array" ref="AJ16">IFERROR(_xlfn.XLOOKUP(TRUE,COUNTIF(Tabla[[#This Row],[Etiquetas]:[Etiquetas17]],Versiones!$G$2:$G$36)&gt;0,Versiones!$B$2:$B$36), "")</f>
        <v>25</v>
      </c>
      <c r="AK16" s="87" t="str" cm="1">
        <f t="array" ref="AK16">IFERROR(_xlfn.XLOOKUP(TRUE,COUNTIF(Tabla[[#This Row],[Etiquetas]:[Etiquetas17]],Versiones!$G$2:$G$36)&gt;0,Versiones!$A$2:$A$36), "")</f>
        <v>V0.15</v>
      </c>
      <c r="AL1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" s="78" t="str">
        <f>IFERROR(_xlfn.XLOOKUP(Tabla[[#This Row],[¿En qué versión fue corregido?]],Versiones!$A$2:$A$34,Versiones!$B$2:$B$34),"No encontrado")</f>
        <v>No encontrado</v>
      </c>
      <c r="AN16" s="88" t="str" cm="1">
        <f t="array" ref="AN16">IFERROR(_xlfn.XLOOKUP(TRUE,COUNTIF(Tabla[[#This Row],[Etiquetas]:[Etiquetas17]],Categorías!$A$2:$A$12)&gt;0,Categorías!$A$2:$A$12),"No encontrado")</f>
        <v>Funcional</v>
      </c>
      <c r="AO16" s="87" t="str" cm="1">
        <f t="array" ref="AO16">IFERROR(INDEX(Funcionalidades!$A$2:$A$80,MATCH(TRUE, COUNTIF(Reporte_Gral!R16:Z16,Funcionalidades!$A$2:$A$80)&gt;0,0)),"No encontrado")</f>
        <v>Imprimir-Cambios-De-Precio</v>
      </c>
      <c r="AP16" s="87" t="str">
        <f>IF(AND(COUNTIF(Tabla[[#This Row],[Etiquetas]:[Etiquetas17]],"*UAT_V*")&gt;0,COUNTIF(Tabla[[#This Row],[Etiquetas]:[Etiquetas17]],"*QA-Integración*")=0),"SI","")</f>
        <v/>
      </c>
      <c r="AQ16" s="88" t="str" cm="1">
        <f t="array" ref="AQ16">IF(Tabla[[#This Row],[Fue encontrado durante UAT?]]="SI",IFERROR(_xlfn.XLOOKUP(TRUE,ISNUMBER(SEARCH("UAT_V",Tabla[[#This Row],[Etiquetas]:[Etiquetas17]])),Tabla[[#This Row],[Etiquetas]:[Etiquetas17]]),""),"")</f>
        <v/>
      </c>
      <c r="AR16" s="87" t="str">
        <f>IF(COUNTIF(Tabla[[#This Row],[Etiquetas]:[Etiquetas17]],"*Devuelto*")&gt;0,"SI","")</f>
        <v/>
      </c>
      <c r="AS16" s="167">
        <f>COUNTIF(Tabla[[#This Row],[Etiquetas]:[Etiquetas17]],"*Devuelto*")</f>
        <v>0</v>
      </c>
    </row>
    <row r="17" spans="1:45">
      <c r="A17" s="40" t="s">
        <v>128</v>
      </c>
      <c r="B17" s="40" t="s">
        <v>185</v>
      </c>
      <c r="C17" s="40">
        <v>122677</v>
      </c>
      <c r="D17" s="40" t="s">
        <v>186</v>
      </c>
      <c r="E17" s="40" t="s">
        <v>37</v>
      </c>
      <c r="F17" s="40" t="s">
        <v>27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 t="s">
        <v>139</v>
      </c>
      <c r="S17" s="40" t="s">
        <v>187</v>
      </c>
      <c r="T17" s="40" t="s">
        <v>133</v>
      </c>
      <c r="U17" s="40" t="s">
        <v>188</v>
      </c>
      <c r="V17" s="40" t="s">
        <v>35</v>
      </c>
      <c r="W17" s="40"/>
      <c r="X17" s="40"/>
      <c r="Y17" s="40"/>
      <c r="Z17" s="40"/>
      <c r="AA17" s="40" t="s">
        <v>134</v>
      </c>
      <c r="AB17" s="53">
        <v>46013.711805555555</v>
      </c>
      <c r="AC17" s="40"/>
      <c r="AD17" s="40"/>
      <c r="AE17" s="40"/>
      <c r="AF17" s="40"/>
      <c r="AG17" s="40" t="s">
        <v>135</v>
      </c>
      <c r="AH17" s="10" t="s">
        <v>163</v>
      </c>
      <c r="AI17" s="87"/>
      <c r="AJ17" s="87" cm="1">
        <f t="array" ref="AJ17">IFERROR(_xlfn.XLOOKUP(TRUE,COUNTIF(Tabla[[#This Row],[Etiquetas]:[Etiquetas17]],Versiones!$G$2:$G$36)&gt;0,Versiones!$B$2:$B$36), "")</f>
        <v>25</v>
      </c>
      <c r="AK17" s="87" t="str" cm="1">
        <f t="array" ref="AK17">IFERROR(_xlfn.XLOOKUP(TRUE,COUNTIF(Tabla[[#This Row],[Etiquetas]:[Etiquetas17]],Versiones!$G$2:$G$36)&gt;0,Versiones!$A$2:$A$36), "")</f>
        <v>V0.15</v>
      </c>
      <c r="AL1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" s="78" t="str">
        <f>IFERROR(_xlfn.XLOOKUP(Tabla[[#This Row],[¿En qué versión fue corregido?]],Versiones!$A$2:$A$34,Versiones!$B$2:$B$34),"No encontrado")</f>
        <v>No encontrado</v>
      </c>
      <c r="AN17" s="88" t="str" cm="1">
        <f t="array" ref="AN17">IFERROR(_xlfn.XLOOKUP(TRUE,COUNTIF(Tabla[[#This Row],[Etiquetas]:[Etiquetas17]],Categorías!$A$2:$A$12)&gt;0,Categorías!$A$2:$A$12),"No encontrado")</f>
        <v>Funcional</v>
      </c>
      <c r="AO17" s="88" t="str" cm="1">
        <f t="array" ref="AO17">IFERROR(INDEX(Funcionalidades!$A$2:$A$80,MATCH(TRUE, COUNTIF(Reporte_Gral!R17:Z17,Funcionalidades!$A$2:$A$80)&gt;0,0)),"No encontrado")</f>
        <v>Multiplicar-Producto</v>
      </c>
      <c r="AP17" s="87" t="str">
        <f>IF(AND(COUNTIF(Tabla[[#This Row],[Etiquetas]:[Etiquetas17]],"*UAT_V*")&gt;0,COUNTIF(Tabla[[#This Row],[Etiquetas]:[Etiquetas17]],"*QA-Integración*")=0),"SI","")</f>
        <v/>
      </c>
      <c r="AQ17" s="88" t="str" cm="1">
        <f t="array" ref="AQ17">IF(Tabla[[#This Row],[Fue encontrado durante UAT?]]="SI",IFERROR(_xlfn.XLOOKUP(TRUE,ISNUMBER(SEARCH("UAT_V",Tabla[[#This Row],[Etiquetas]:[Etiquetas17]])),Tabla[[#This Row],[Etiquetas]:[Etiquetas17]]),""),"")</f>
        <v/>
      </c>
      <c r="AR17" s="87" t="str">
        <f>IF(COUNTIF(Tabla[[#This Row],[Etiquetas]:[Etiquetas17]],"*Devuelto*")&gt;0,"SI","")</f>
        <v/>
      </c>
      <c r="AS17" s="167">
        <f>COUNTIF(Tabla[[#This Row],[Etiquetas]:[Etiquetas17]],"*Devuelto*")</f>
        <v>0</v>
      </c>
    </row>
    <row r="18" spans="1:45">
      <c r="A18" s="40" t="s">
        <v>128</v>
      </c>
      <c r="B18" s="40" t="s">
        <v>189</v>
      </c>
      <c r="C18" s="40">
        <v>122602</v>
      </c>
      <c r="D18" s="40" t="s">
        <v>190</v>
      </c>
      <c r="E18" s="40" t="s">
        <v>37</v>
      </c>
      <c r="F18" s="40" t="s">
        <v>27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 t="s">
        <v>191</v>
      </c>
      <c r="S18" s="40" t="s">
        <v>139</v>
      </c>
      <c r="T18" s="40" t="s">
        <v>133</v>
      </c>
      <c r="U18" s="40" t="s">
        <v>188</v>
      </c>
      <c r="V18" s="40"/>
      <c r="W18" s="40"/>
      <c r="X18" s="40"/>
      <c r="Y18" s="40"/>
      <c r="Z18" s="40"/>
      <c r="AA18" s="40" t="s">
        <v>134</v>
      </c>
      <c r="AB18" s="53">
        <v>46013.627083333333</v>
      </c>
      <c r="AC18" s="40"/>
      <c r="AD18" s="40"/>
      <c r="AE18" s="40"/>
      <c r="AF18" s="40"/>
      <c r="AG18" s="40" t="s">
        <v>141</v>
      </c>
      <c r="AH18" s="10" t="s">
        <v>142</v>
      </c>
      <c r="AI18" s="87"/>
      <c r="AJ18" s="87" cm="1">
        <f t="array" ref="AJ18">IFERROR(_xlfn.XLOOKUP(TRUE,COUNTIF(Tabla[[#This Row],[Etiquetas]:[Etiquetas17]],Versiones!$G$2:$G$36)&gt;0,Versiones!$B$2:$B$36), "")</f>
        <v>25</v>
      </c>
      <c r="AK18" s="87" t="str" cm="1">
        <f t="array" ref="AK18">IFERROR(_xlfn.XLOOKUP(TRUE,COUNTIF(Tabla[[#This Row],[Etiquetas]:[Etiquetas17]],Versiones!$G$2:$G$36)&gt;0,Versiones!$A$2:$A$36), "")</f>
        <v>V0.15</v>
      </c>
      <c r="AL1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" s="78" t="str">
        <f>IFERROR(_xlfn.XLOOKUP(Tabla[[#This Row],[¿En qué versión fue corregido?]],Versiones!$A$2:$A$34,Versiones!$B$2:$B$34),"No encontrado")</f>
        <v>No encontrado</v>
      </c>
      <c r="AN18" s="88" t="str" cm="1">
        <f t="array" ref="AN18">IFERROR(_xlfn.XLOOKUP(TRUE,COUNTIF(Tabla[[#This Row],[Etiquetas]:[Etiquetas17]],Categorías!$A$2:$A$12)&gt;0,Categorías!$A$2:$A$12),"No encontrado")</f>
        <v>Funcional</v>
      </c>
      <c r="AO18" s="88" t="str" cm="1">
        <f t="array" ref="AO18">IFERROR(INDEX(Funcionalidades!$A$2:$A$80,MATCH(TRUE, COUNTIF(Reporte_Gral!R18:Z18,Funcionalidades!$A$2:$A$80)&gt;0,0)),"No encontrado")</f>
        <v>Entrega-De-Valores</v>
      </c>
      <c r="AP18" s="87" t="str">
        <f>IF(AND(COUNTIF(Tabla[[#This Row],[Etiquetas]:[Etiquetas17]],"*UAT_V*")&gt;0,COUNTIF(Tabla[[#This Row],[Etiquetas]:[Etiquetas17]],"*QA-Integración*")=0),"SI","")</f>
        <v/>
      </c>
      <c r="AQ18" s="88" t="str" cm="1">
        <f t="array" ref="AQ18">IF(Tabla[[#This Row],[Fue encontrado durante UAT?]]="SI",IFERROR(_xlfn.XLOOKUP(TRUE,ISNUMBER(SEARCH("UAT_V",Tabla[[#This Row],[Etiquetas]:[Etiquetas17]])),Tabla[[#This Row],[Etiquetas]:[Etiquetas17]]),""),"")</f>
        <v/>
      </c>
      <c r="AR18" s="87" t="str">
        <f>IF(COUNTIF(Tabla[[#This Row],[Etiquetas]:[Etiquetas17]],"*Devuelto*")&gt;0,"SI","")</f>
        <v/>
      </c>
      <c r="AS18" s="167">
        <f>COUNTIF(Tabla[[#This Row],[Etiquetas]:[Etiquetas17]],"*Devuelto*")</f>
        <v>0</v>
      </c>
    </row>
    <row r="19" spans="1:45">
      <c r="A19" s="40" t="s">
        <v>128</v>
      </c>
      <c r="B19" s="40" t="s">
        <v>192</v>
      </c>
      <c r="C19" s="40">
        <v>122599</v>
      </c>
      <c r="D19" s="40" t="s">
        <v>193</v>
      </c>
      <c r="E19" s="40" t="s">
        <v>37</v>
      </c>
      <c r="F19" s="40" t="s">
        <v>27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 t="s">
        <v>139</v>
      </c>
      <c r="S19" s="40" t="s">
        <v>173</v>
      </c>
      <c r="T19" s="40" t="s">
        <v>133</v>
      </c>
      <c r="U19" s="40" t="s">
        <v>194</v>
      </c>
      <c r="V19" s="40" t="s">
        <v>188</v>
      </c>
      <c r="W19" s="40"/>
      <c r="X19" s="40"/>
      <c r="Y19" s="40"/>
      <c r="Z19" s="40"/>
      <c r="AA19" s="40" t="s">
        <v>134</v>
      </c>
      <c r="AB19" s="53">
        <v>46013.614583333336</v>
      </c>
      <c r="AC19" s="40"/>
      <c r="AD19" s="40"/>
      <c r="AE19" s="40"/>
      <c r="AF19" s="40"/>
      <c r="AG19" s="40" t="s">
        <v>135</v>
      </c>
      <c r="AH19" s="10" t="s">
        <v>163</v>
      </c>
      <c r="AI19" s="87"/>
      <c r="AJ19" s="87" cm="1">
        <f t="array" ref="AJ19">IFERROR(_xlfn.XLOOKUP(TRUE,COUNTIF(Tabla[[#This Row],[Etiquetas]:[Etiquetas17]],Versiones!$G$2:$G$36)&gt;0,Versiones!$B$2:$B$36), "")</f>
        <v>25</v>
      </c>
      <c r="AK19" s="87" t="str" cm="1">
        <f t="array" ref="AK19">IFERROR(_xlfn.XLOOKUP(TRUE,COUNTIF(Tabla[[#This Row],[Etiquetas]:[Etiquetas17]],Versiones!$G$2:$G$36)&gt;0,Versiones!$A$2:$A$36), "")</f>
        <v>V0.15</v>
      </c>
      <c r="AL1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" s="78" t="str">
        <f>IFERROR(_xlfn.XLOOKUP(Tabla[[#This Row],[¿En qué versión fue corregido?]],Versiones!$A$2:$A$34,Versiones!$B$2:$B$34),"No encontrado")</f>
        <v>No encontrado</v>
      </c>
      <c r="AN19" s="88" t="str" cm="1">
        <f t="array" ref="AN19">IFERROR(_xlfn.XLOOKUP(TRUE,COUNTIF(Tabla[[#This Row],[Etiquetas]:[Etiquetas17]],Categorías!$A$2:$A$12)&gt;0,Categorías!$A$2:$A$12),"No encontrado")</f>
        <v>Funcional</v>
      </c>
      <c r="AO19" s="88" t="str" cm="1">
        <f t="array" ref="AO19">IFERROR(INDEX(Funcionalidades!$A$2:$A$80,MATCH(TRUE, COUNTIF(Reporte_Gral!R19:Z19,Funcionalidades!$A$2:$A$80)&gt;0,0)),"No encontrado")</f>
        <v>Pago-De-Servicios-Con-Catálogo</v>
      </c>
      <c r="AP19" s="87" t="str">
        <f>IF(AND(COUNTIF(Tabla[[#This Row],[Etiquetas]:[Etiquetas17]],"*UAT_V*")&gt;0,COUNTIF(Tabla[[#This Row],[Etiquetas]:[Etiquetas17]],"*QA-Integración*")=0),"SI","")</f>
        <v/>
      </c>
      <c r="AQ19" s="88" t="str" cm="1">
        <f t="array" ref="AQ19">IF(Tabla[[#This Row],[Fue encontrado durante UAT?]]="SI",IFERROR(_xlfn.XLOOKUP(TRUE,ISNUMBER(SEARCH("UAT_V",Tabla[[#This Row],[Etiquetas]:[Etiquetas17]])),Tabla[[#This Row],[Etiquetas]:[Etiquetas17]]),""),"")</f>
        <v/>
      </c>
      <c r="AR19" s="87" t="str">
        <f>IF(COUNTIF(Tabla[[#This Row],[Etiquetas]:[Etiquetas17]],"*Devuelto*")&gt;0,"SI","")</f>
        <v/>
      </c>
      <c r="AS19" s="167">
        <f>COUNTIF(Tabla[[#This Row],[Etiquetas]:[Etiquetas17]],"*Devuelto*")</f>
        <v>0</v>
      </c>
    </row>
    <row r="20" spans="1:45">
      <c r="A20" s="40" t="s">
        <v>128</v>
      </c>
      <c r="B20" s="40" t="s">
        <v>195</v>
      </c>
      <c r="C20" s="40">
        <v>122555</v>
      </c>
      <c r="D20" s="40" t="s">
        <v>196</v>
      </c>
      <c r="E20" s="40" t="s">
        <v>36</v>
      </c>
      <c r="F20" s="40" t="s">
        <v>27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 t="s">
        <v>139</v>
      </c>
      <c r="S20" s="40" t="s">
        <v>197</v>
      </c>
      <c r="T20" s="40" t="s">
        <v>133</v>
      </c>
      <c r="U20" s="40" t="s">
        <v>194</v>
      </c>
      <c r="V20" s="40" t="s">
        <v>188</v>
      </c>
      <c r="W20" s="40"/>
      <c r="X20" s="40"/>
      <c r="Y20" s="40"/>
      <c r="Z20" s="40"/>
      <c r="AA20" s="40" t="s">
        <v>134</v>
      </c>
      <c r="AB20" s="53">
        <v>46013.520833333336</v>
      </c>
      <c r="AC20" s="40"/>
      <c r="AD20" s="40"/>
      <c r="AE20" s="40"/>
      <c r="AF20" s="40"/>
      <c r="AG20" s="40" t="s">
        <v>135</v>
      </c>
      <c r="AH20" s="10" t="s">
        <v>163</v>
      </c>
      <c r="AI20" s="87"/>
      <c r="AJ20" s="87" cm="1">
        <f t="array" ref="AJ20">IFERROR(_xlfn.XLOOKUP(TRUE,COUNTIF(Tabla[[#This Row],[Etiquetas]:[Etiquetas17]],Versiones!$G$2:$G$36)&gt;0,Versiones!$B$2:$B$36), "")</f>
        <v>25</v>
      </c>
      <c r="AK20" s="87" t="str" cm="1">
        <f t="array" ref="AK20">IFERROR(_xlfn.XLOOKUP(TRUE,COUNTIF(Tabla[[#This Row],[Etiquetas]:[Etiquetas17]],Versiones!$G$2:$G$36)&gt;0,Versiones!$A$2:$A$36), "")</f>
        <v>V0.15</v>
      </c>
      <c r="AL2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" s="78" t="str">
        <f>IFERROR(_xlfn.XLOOKUP(Tabla[[#This Row],[¿En qué versión fue corregido?]],Versiones!$A$2:$A$34,Versiones!$B$2:$B$34),"No encontrado")</f>
        <v>No encontrado</v>
      </c>
      <c r="AN20" s="88" t="str" cm="1">
        <f t="array" ref="AN20">IFERROR(_xlfn.XLOOKUP(TRUE,COUNTIF(Tabla[[#This Row],[Etiquetas]:[Etiquetas17]],Categorías!$A$2:$A$12)&gt;0,Categorías!$A$2:$A$12),"No encontrado")</f>
        <v>Funcional</v>
      </c>
      <c r="AO20" s="88" t="str" cm="1">
        <f t="array" ref="AO20">IFERROR(INDEX(Funcionalidades!$A$2:$A$80,MATCH(TRUE, COUNTIF(Reporte_Gral!R20:Z20,Funcionalidades!$A$2:$A$80)&gt;0,0)),"No encontrado")</f>
        <v>Pago-CODI</v>
      </c>
      <c r="AP20" s="87" t="str">
        <f>IF(AND(COUNTIF(Tabla[[#This Row],[Etiquetas]:[Etiquetas17]],"*UAT_V*")&gt;0,COUNTIF(Tabla[[#This Row],[Etiquetas]:[Etiquetas17]],"*QA-Integración*")=0),"SI","")</f>
        <v/>
      </c>
      <c r="AQ20" s="88" t="str" cm="1">
        <f t="array" ref="AQ20">IF(Tabla[[#This Row],[Fue encontrado durante UAT?]]="SI",IFERROR(_xlfn.XLOOKUP(TRUE,ISNUMBER(SEARCH("UAT_V",Tabla[[#This Row],[Etiquetas]:[Etiquetas17]])),Tabla[[#This Row],[Etiquetas]:[Etiquetas17]]),""),"")</f>
        <v/>
      </c>
      <c r="AR20" s="87" t="str">
        <f>IF(COUNTIF(Tabla[[#This Row],[Etiquetas]:[Etiquetas17]],"*Devuelto*")&gt;0,"SI","")</f>
        <v/>
      </c>
      <c r="AS20" s="167">
        <f>COUNTIF(Tabla[[#This Row],[Etiquetas]:[Etiquetas17]],"*Devuelto*")</f>
        <v>0</v>
      </c>
    </row>
    <row r="21" spans="1:45">
      <c r="A21" s="40" t="s">
        <v>128</v>
      </c>
      <c r="B21" s="40" t="s">
        <v>198</v>
      </c>
      <c r="C21" s="40">
        <v>122543</v>
      </c>
      <c r="D21" s="40" t="s">
        <v>199</v>
      </c>
      <c r="E21" s="40" t="s">
        <v>37</v>
      </c>
      <c r="F21" s="40" t="s">
        <v>27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 t="s">
        <v>139</v>
      </c>
      <c r="S21" s="40" t="s">
        <v>173</v>
      </c>
      <c r="T21" s="40" t="s">
        <v>133</v>
      </c>
      <c r="U21" s="40" t="s">
        <v>188</v>
      </c>
      <c r="V21" s="40"/>
      <c r="W21" s="40"/>
      <c r="X21" s="40"/>
      <c r="Y21" s="40"/>
      <c r="Z21" s="40"/>
      <c r="AA21" s="40" t="s">
        <v>134</v>
      </c>
      <c r="AB21" s="53">
        <v>46013.49722222222</v>
      </c>
      <c r="AC21" s="40"/>
      <c r="AD21" s="40"/>
      <c r="AE21" s="40"/>
      <c r="AF21" s="40"/>
      <c r="AG21" s="40" t="s">
        <v>135</v>
      </c>
      <c r="AH21" s="10" t="s">
        <v>163</v>
      </c>
      <c r="AI21" s="87"/>
      <c r="AJ21" s="87" cm="1">
        <f t="array" ref="AJ21">IFERROR(_xlfn.XLOOKUP(TRUE,COUNTIF(Tabla[[#This Row],[Etiquetas]:[Etiquetas17]],Versiones!$G$2:$G$36)&gt;0,Versiones!$B$2:$B$36), "")</f>
        <v>25</v>
      </c>
      <c r="AK21" s="87" t="str" cm="1">
        <f t="array" ref="AK21">IFERROR(_xlfn.XLOOKUP(TRUE,COUNTIF(Tabla[[#This Row],[Etiquetas]:[Etiquetas17]],Versiones!$G$2:$G$36)&gt;0,Versiones!$A$2:$A$36), "")</f>
        <v>V0.15</v>
      </c>
      <c r="AL2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1" s="78" t="str">
        <f>IFERROR(_xlfn.XLOOKUP(Tabla[[#This Row],[¿En qué versión fue corregido?]],Versiones!$A$2:$A$34,Versiones!$B$2:$B$34),"No encontrado")</f>
        <v>No encontrado</v>
      </c>
      <c r="AN21" s="88" t="str" cm="1">
        <f t="array" ref="AN21">IFERROR(_xlfn.XLOOKUP(TRUE,COUNTIF(Tabla[[#This Row],[Etiquetas]:[Etiquetas17]],Categorías!$A$2:$A$12)&gt;0,Categorías!$A$2:$A$12),"No encontrado")</f>
        <v>Funcional</v>
      </c>
      <c r="AO21" s="87" t="str" cm="1">
        <f t="array" ref="AO21">IFERROR(INDEX(Funcionalidades!$A$2:$A$80,MATCH(TRUE, COUNTIF(Reporte_Gral!R21:Z21,Funcionalidades!$A$2:$A$80)&gt;0,0)),"No encontrado")</f>
        <v>Pago-De-Servicios-Con-Catálogo</v>
      </c>
      <c r="AP21" s="87" t="str">
        <f>IF(AND(COUNTIF(Tabla[[#This Row],[Etiquetas]:[Etiquetas17]],"*UAT_V*")&gt;0,COUNTIF(Tabla[[#This Row],[Etiquetas]:[Etiquetas17]],"*QA-Integración*")=0),"SI","")</f>
        <v/>
      </c>
      <c r="AQ21" s="88" t="str" cm="1">
        <f t="array" ref="AQ21">IF(Tabla[[#This Row],[Fue encontrado durante UAT?]]="SI",IFERROR(_xlfn.XLOOKUP(TRUE,ISNUMBER(SEARCH("UAT_V",Tabla[[#This Row],[Etiquetas]:[Etiquetas17]])),Tabla[[#This Row],[Etiquetas]:[Etiquetas17]]),""),"")</f>
        <v/>
      </c>
      <c r="AR21" s="87" t="str">
        <f>IF(COUNTIF(Tabla[[#This Row],[Etiquetas]:[Etiquetas17]],"*Devuelto*")&gt;0,"SI","")</f>
        <v/>
      </c>
      <c r="AS21" s="167">
        <f>COUNTIF(Tabla[[#This Row],[Etiquetas]:[Etiquetas17]],"*Devuelto*")</f>
        <v>0</v>
      </c>
    </row>
    <row r="22" spans="1:45">
      <c r="A22" s="40" t="s">
        <v>128</v>
      </c>
      <c r="B22" s="40" t="s">
        <v>200</v>
      </c>
      <c r="C22" s="40">
        <v>122534</v>
      </c>
      <c r="D22" s="40" t="s">
        <v>201</v>
      </c>
      <c r="E22" s="40" t="s">
        <v>37</v>
      </c>
      <c r="F22" s="40" t="s">
        <v>27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 t="s">
        <v>139</v>
      </c>
      <c r="S22" s="40" t="s">
        <v>173</v>
      </c>
      <c r="T22" s="40" t="s">
        <v>133</v>
      </c>
      <c r="U22" s="40" t="s">
        <v>194</v>
      </c>
      <c r="V22" s="40" t="s">
        <v>188</v>
      </c>
      <c r="W22" s="40"/>
      <c r="X22" s="40"/>
      <c r="Y22" s="40"/>
      <c r="Z22" s="40"/>
      <c r="AA22" s="40" t="s">
        <v>134</v>
      </c>
      <c r="AB22" s="53">
        <v>46013.486805555556</v>
      </c>
      <c r="AC22" s="40"/>
      <c r="AD22" s="40"/>
      <c r="AE22" s="40"/>
      <c r="AF22" s="40"/>
      <c r="AG22" s="40" t="s">
        <v>135</v>
      </c>
      <c r="AH22" s="10" t="s">
        <v>163</v>
      </c>
      <c r="AI22" s="87"/>
      <c r="AJ22" s="87" cm="1">
        <f t="array" ref="AJ22">IFERROR(_xlfn.XLOOKUP(TRUE,COUNTIF(Tabla[[#This Row],[Etiquetas]:[Etiquetas17]],Versiones!$G$2:$G$36)&gt;0,Versiones!$B$2:$B$36), "")</f>
        <v>25</v>
      </c>
      <c r="AK22" s="87" t="str" cm="1">
        <f t="array" ref="AK22">IFERROR(_xlfn.XLOOKUP(TRUE,COUNTIF(Tabla[[#This Row],[Etiquetas]:[Etiquetas17]],Versiones!$G$2:$G$36)&gt;0,Versiones!$A$2:$A$36), "")</f>
        <v>V0.15</v>
      </c>
      <c r="AL2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2" s="78" t="str">
        <f>IFERROR(_xlfn.XLOOKUP(Tabla[[#This Row],[¿En qué versión fue corregido?]],Versiones!$A$2:$A$34,Versiones!$B$2:$B$34),"No encontrado")</f>
        <v>No encontrado</v>
      </c>
      <c r="AN22" s="88" t="str" cm="1">
        <f t="array" ref="AN22">IFERROR(_xlfn.XLOOKUP(TRUE,COUNTIF(Tabla[[#This Row],[Etiquetas]:[Etiquetas17]],Categorías!$A$2:$A$12)&gt;0,Categorías!$A$2:$A$12),"No encontrado")</f>
        <v>Funcional</v>
      </c>
      <c r="AO22" s="88" t="str" cm="1">
        <f t="array" ref="AO22">IFERROR(INDEX(Funcionalidades!$A$2:$A$80,MATCH(TRUE, COUNTIF(Reporte_Gral!R22:Z22,Funcionalidades!$A$2:$A$80)&gt;0,0)),"No encontrado")</f>
        <v>Pago-De-Servicios-Con-Catálogo</v>
      </c>
      <c r="AP22" s="87" t="str">
        <f>IF(AND(COUNTIF(Tabla[[#This Row],[Etiquetas]:[Etiquetas17]],"*UAT_V*")&gt;0,COUNTIF(Tabla[[#This Row],[Etiquetas]:[Etiquetas17]],"*QA-Integración*")=0),"SI","")</f>
        <v/>
      </c>
      <c r="AQ22" s="88" t="str" cm="1">
        <f t="array" ref="AQ22">IF(Tabla[[#This Row],[Fue encontrado durante UAT?]]="SI",IFERROR(_xlfn.XLOOKUP(TRUE,ISNUMBER(SEARCH("UAT_V",Tabla[[#This Row],[Etiquetas]:[Etiquetas17]])),Tabla[[#This Row],[Etiquetas]:[Etiquetas17]]),""),"")</f>
        <v/>
      </c>
      <c r="AR22" s="87" t="str">
        <f>IF(COUNTIF(Tabla[[#This Row],[Etiquetas]:[Etiquetas17]],"*Devuelto*")&gt;0,"SI","")</f>
        <v/>
      </c>
      <c r="AS22" s="167">
        <f>COUNTIF(Tabla[[#This Row],[Etiquetas]:[Etiquetas17]],"*Devuelto*")</f>
        <v>0</v>
      </c>
    </row>
    <row r="23" spans="1:45">
      <c r="A23" s="40" t="s">
        <v>128</v>
      </c>
      <c r="B23" s="40" t="s">
        <v>202</v>
      </c>
      <c r="C23" s="40">
        <v>122511</v>
      </c>
      <c r="D23" s="40" t="s">
        <v>203</v>
      </c>
      <c r="E23" s="40" t="s">
        <v>41</v>
      </c>
      <c r="F23" s="40" t="s">
        <v>27</v>
      </c>
      <c r="G23" s="40" t="s">
        <v>151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 t="s">
        <v>191</v>
      </c>
      <c r="S23" s="40" t="s">
        <v>139</v>
      </c>
      <c r="T23" s="40" t="s">
        <v>133</v>
      </c>
      <c r="U23" s="40" t="s">
        <v>204</v>
      </c>
      <c r="V23" s="40" t="s">
        <v>154</v>
      </c>
      <c r="W23" s="40" t="s">
        <v>188</v>
      </c>
      <c r="X23" s="40"/>
      <c r="Y23" s="40"/>
      <c r="Z23" s="40"/>
      <c r="AA23" s="40" t="s">
        <v>134</v>
      </c>
      <c r="AB23" s="53">
        <v>46013.454861111109</v>
      </c>
      <c r="AC23" s="40"/>
      <c r="AD23" s="40"/>
      <c r="AE23" s="40"/>
      <c r="AF23" s="40"/>
      <c r="AG23" s="40" t="s">
        <v>141</v>
      </c>
      <c r="AH23" s="10" t="s">
        <v>163</v>
      </c>
      <c r="AI23" s="87"/>
      <c r="AJ23" s="87" cm="1">
        <f t="array" ref="AJ23">IFERROR(_xlfn.XLOOKUP(TRUE,COUNTIF(Tabla[[#This Row],[Etiquetas]:[Etiquetas17]],Versiones!$G$2:$G$36)&gt;0,Versiones!$B$2:$B$36), "")</f>
        <v>25</v>
      </c>
      <c r="AK23" s="87" t="str" cm="1">
        <f t="array" ref="AK23">IFERROR(_xlfn.XLOOKUP(TRUE,COUNTIF(Tabla[[#This Row],[Etiquetas]:[Etiquetas17]],Versiones!$G$2:$G$36)&gt;0,Versiones!$A$2:$A$36), "")</f>
        <v>V0.15</v>
      </c>
      <c r="AL2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" s="78" t="str">
        <f>IFERROR(_xlfn.XLOOKUP(Tabla[[#This Row],[¿En qué versión fue corregido?]],Versiones!$A$2:$A$34,Versiones!$B$2:$B$34),"No encontrado")</f>
        <v>No encontrado</v>
      </c>
      <c r="AN23" s="88" t="str" cm="1">
        <f t="array" ref="AN23">IFERROR(_xlfn.XLOOKUP(TRUE,COUNTIF(Tabla[[#This Row],[Etiquetas]:[Etiquetas17]],Categorías!$A$2:$A$12)&gt;0,Categorías!$A$2:$A$12),"No encontrado")</f>
        <v>Funcional</v>
      </c>
      <c r="AO23" s="88" t="str" cm="1">
        <f t="array" ref="AO23">IFERROR(INDEX(Funcionalidades!$A$2:$A$80,MATCH(TRUE, COUNTIF(Reporte_Gral!R23:Z23,Funcionalidades!$A$2:$A$80)&gt;0,0)),"No encontrado")</f>
        <v>Entrega-De-Valores</v>
      </c>
      <c r="AP23" s="87" t="str">
        <f>IF(AND(COUNTIF(Tabla[[#This Row],[Etiquetas]:[Etiquetas17]],"*UAT_V*")&gt;0,COUNTIF(Tabla[[#This Row],[Etiquetas]:[Etiquetas17]],"*QA-Integración*")=0),"SI","")</f>
        <v/>
      </c>
      <c r="AQ23" s="88" t="str" cm="1">
        <f t="array" ref="AQ23">IF(Tabla[[#This Row],[Fue encontrado durante UAT?]]="SI",IFERROR(_xlfn.XLOOKUP(TRUE,ISNUMBER(SEARCH("UAT_V",Tabla[[#This Row],[Etiquetas]:[Etiquetas17]])),Tabla[[#This Row],[Etiquetas]:[Etiquetas17]]),""),"")</f>
        <v/>
      </c>
      <c r="AR23" s="87" t="str">
        <f>IF(COUNTIF(Tabla[[#This Row],[Etiquetas]:[Etiquetas17]],"*Devuelto*")&gt;0,"SI","")</f>
        <v/>
      </c>
      <c r="AS23" s="167">
        <f>COUNTIF(Tabla[[#This Row],[Etiquetas]:[Etiquetas17]],"*Devuelto*")</f>
        <v>0</v>
      </c>
    </row>
    <row r="24" spans="1:45">
      <c r="A24" s="40" t="s">
        <v>128</v>
      </c>
      <c r="B24" s="40" t="s">
        <v>205</v>
      </c>
      <c r="C24" s="40">
        <v>122248</v>
      </c>
      <c r="D24" s="40" t="s">
        <v>206</v>
      </c>
      <c r="E24" s="40" t="s">
        <v>36</v>
      </c>
      <c r="F24" s="40" t="s">
        <v>27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 t="s">
        <v>207</v>
      </c>
      <c r="S24" s="40" t="s">
        <v>139</v>
      </c>
      <c r="T24" s="40" t="s">
        <v>133</v>
      </c>
      <c r="U24" s="40"/>
      <c r="V24" s="40"/>
      <c r="W24" s="40"/>
      <c r="X24" s="40"/>
      <c r="Y24" s="40"/>
      <c r="Z24" s="40"/>
      <c r="AA24" s="40" t="s">
        <v>134</v>
      </c>
      <c r="AB24" s="53">
        <v>46010.609722222223</v>
      </c>
      <c r="AC24" s="40"/>
      <c r="AD24" s="40"/>
      <c r="AE24" s="40"/>
      <c r="AF24" s="40"/>
      <c r="AG24" s="40" t="s">
        <v>141</v>
      </c>
      <c r="AH24" s="10" t="s">
        <v>163</v>
      </c>
      <c r="AI24" s="87"/>
      <c r="AJ24" s="87" cm="1">
        <f t="array" ref="AJ24">IFERROR(_xlfn.XLOOKUP(TRUE,COUNTIF(Tabla[[#This Row],[Etiquetas]:[Etiquetas17]],Versiones!$G$2:$G$36)&gt;0,Versiones!$B$2:$B$36), "")</f>
        <v>25</v>
      </c>
      <c r="AK24" s="87" t="str" cm="1">
        <f t="array" ref="AK24">IFERROR(_xlfn.XLOOKUP(TRUE,COUNTIF(Tabla[[#This Row],[Etiquetas]:[Etiquetas17]],Versiones!$G$2:$G$36)&gt;0,Versiones!$A$2:$A$36), "")</f>
        <v>V0.15</v>
      </c>
      <c r="AL2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4" s="78" t="str">
        <f>IFERROR(_xlfn.XLOOKUP(Tabla[[#This Row],[¿En qué versión fue corregido?]],Versiones!$A$2:$A$34,Versiones!$B$2:$B$34),"No encontrado")</f>
        <v>No encontrado</v>
      </c>
      <c r="AN24" s="88" t="str" cm="1">
        <f t="array" ref="AN24">IFERROR(_xlfn.XLOOKUP(TRUE,COUNTIF(Tabla[[#This Row],[Etiquetas]:[Etiquetas17]],Categorías!$A$2:$A$12)&gt;0,Categorías!$A$2:$A$12),"No encontrado")</f>
        <v>Funcional</v>
      </c>
      <c r="AO24" s="88" t="str" cm="1">
        <f t="array" ref="AO24">IFERROR(INDEX(Funcionalidades!$A$2:$A$80,MATCH(TRUE, COUNTIF(Reporte_Gral!R24:Z24,Funcionalidades!$A$2:$A$80)&gt;0,0)),"No encontrado")</f>
        <v>Eliminar-Artículo-De-Venta</v>
      </c>
      <c r="AP24" s="87" t="str">
        <f>IF(AND(COUNTIF(Tabla[[#This Row],[Etiquetas]:[Etiquetas17]],"*UAT_V*")&gt;0,COUNTIF(Tabla[[#This Row],[Etiquetas]:[Etiquetas17]],"*QA-Integración*")=0),"SI","")</f>
        <v/>
      </c>
      <c r="AQ24" s="88" t="str" cm="1">
        <f t="array" ref="AQ24">IF(Tabla[[#This Row],[Fue encontrado durante UAT?]]="SI",IFERROR(_xlfn.XLOOKUP(TRUE,ISNUMBER(SEARCH("UAT_V",Tabla[[#This Row],[Etiquetas]:[Etiquetas17]])),Tabla[[#This Row],[Etiquetas]:[Etiquetas17]]),""),"")</f>
        <v/>
      </c>
      <c r="AR24" s="87" t="str">
        <f>IF(COUNTIF(Tabla[[#This Row],[Etiquetas]:[Etiquetas17]],"*Devuelto*")&gt;0,"SI","")</f>
        <v/>
      </c>
      <c r="AS24" s="167">
        <f>COUNTIF(Tabla[[#This Row],[Etiquetas]:[Etiquetas17]],"*Devuelto*")</f>
        <v>0</v>
      </c>
    </row>
    <row r="25" spans="1:45">
      <c r="A25" s="40" t="s">
        <v>128</v>
      </c>
      <c r="B25" s="40" t="s">
        <v>208</v>
      </c>
      <c r="C25" s="40">
        <v>122179</v>
      </c>
      <c r="D25" s="40" t="s">
        <v>209</v>
      </c>
      <c r="E25" s="40" t="s">
        <v>37</v>
      </c>
      <c r="F25" s="40" t="s">
        <v>27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139</v>
      </c>
      <c r="S25" s="40" t="s">
        <v>133</v>
      </c>
      <c r="T25" s="40" t="s">
        <v>210</v>
      </c>
      <c r="U25" s="40" t="s">
        <v>211</v>
      </c>
      <c r="V25" s="40"/>
      <c r="W25" s="40"/>
      <c r="X25" s="40"/>
      <c r="Y25" s="40"/>
      <c r="Z25" s="40"/>
      <c r="AA25" s="40" t="s">
        <v>134</v>
      </c>
      <c r="AB25" s="53">
        <v>46010.479861111111</v>
      </c>
      <c r="AC25" s="40"/>
      <c r="AD25" s="40"/>
      <c r="AE25" s="40"/>
      <c r="AF25" s="40"/>
      <c r="AG25" s="40" t="s">
        <v>141</v>
      </c>
      <c r="AH25" s="10" t="s">
        <v>163</v>
      </c>
      <c r="AI25" s="87"/>
      <c r="AJ25" s="87" cm="1">
        <f t="array" ref="AJ25">IFERROR(_xlfn.XLOOKUP(TRUE,COUNTIF(Tabla[[#This Row],[Etiquetas]:[Etiquetas17]],Versiones!$G$2:$G$36)&gt;0,Versiones!$B$2:$B$36), "")</f>
        <v>25</v>
      </c>
      <c r="AK25" s="87" t="str" cm="1">
        <f t="array" ref="AK25">IFERROR(_xlfn.XLOOKUP(TRUE,COUNTIF(Tabla[[#This Row],[Etiquetas]:[Etiquetas17]],Versiones!$G$2:$G$36)&gt;0,Versiones!$A$2:$A$36), "")</f>
        <v>V0.15</v>
      </c>
      <c r="AL2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5" s="78" t="str">
        <f>IFERROR(_xlfn.XLOOKUP(Tabla[[#This Row],[¿En qué versión fue corregido?]],Versiones!$A$2:$A$34,Versiones!$B$2:$B$34),"No encontrado")</f>
        <v>No encontrado</v>
      </c>
      <c r="AN25" s="88" t="str" cm="1">
        <f t="array" ref="AN25">IFERROR(_xlfn.XLOOKUP(TRUE,COUNTIF(Tabla[[#This Row],[Etiquetas]:[Etiquetas17]],Categorías!$A$2:$A$12)&gt;0,Categorías!$A$2:$A$12),"No encontrado")</f>
        <v>Funcional</v>
      </c>
      <c r="AO25" s="88" t="str" cm="1">
        <f t="array" ref="AO25">IFERROR(INDEX(Funcionalidades!$A$2:$A$80,MATCH(TRUE, COUNTIF(Reporte_Gral!R25:Z25,Funcionalidades!$A$2:$A$80)&gt;0,0)),"No encontrado")</f>
        <v>Realizar-Transferencia</v>
      </c>
      <c r="AP25" s="87" t="str">
        <f>IF(AND(COUNTIF(Tabla[[#This Row],[Etiquetas]:[Etiquetas17]],"*UAT_V*")&gt;0,COUNTIF(Tabla[[#This Row],[Etiquetas]:[Etiquetas17]],"*QA-Integración*")=0),"SI","")</f>
        <v/>
      </c>
      <c r="AQ25" s="88" t="str" cm="1">
        <f t="array" ref="AQ25">IF(Tabla[[#This Row],[Fue encontrado durante UAT?]]="SI",IFERROR(_xlfn.XLOOKUP(TRUE,ISNUMBER(SEARCH("UAT_V",Tabla[[#This Row],[Etiquetas]:[Etiquetas17]])),Tabla[[#This Row],[Etiquetas]:[Etiquetas17]]),""),"")</f>
        <v/>
      </c>
      <c r="AR25" s="87" t="str">
        <f>IF(COUNTIF(Tabla[[#This Row],[Etiquetas]:[Etiquetas17]],"*Devuelto*")&gt;0,"SI","")</f>
        <v/>
      </c>
      <c r="AS25" s="167">
        <f>COUNTIF(Tabla[[#This Row],[Etiquetas]:[Etiquetas17]],"*Devuelto*")</f>
        <v>0</v>
      </c>
    </row>
    <row r="26" spans="1:45">
      <c r="A26" s="40" t="s">
        <v>128</v>
      </c>
      <c r="B26" s="40" t="s">
        <v>212</v>
      </c>
      <c r="C26" s="40">
        <v>122115</v>
      </c>
      <c r="D26" s="40" t="s">
        <v>213</v>
      </c>
      <c r="E26" s="40" t="s">
        <v>36</v>
      </c>
      <c r="F26" s="40" t="s">
        <v>27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 t="s">
        <v>139</v>
      </c>
      <c r="S26" s="40" t="s">
        <v>133</v>
      </c>
      <c r="T26" s="40" t="s">
        <v>148</v>
      </c>
      <c r="U26" s="40" t="s">
        <v>211</v>
      </c>
      <c r="V26" s="40"/>
      <c r="W26" s="40"/>
      <c r="X26" s="40"/>
      <c r="Y26" s="40"/>
      <c r="Z26" s="40"/>
      <c r="AA26" s="40" t="s">
        <v>134</v>
      </c>
      <c r="AB26" s="53">
        <v>46010.381944444445</v>
      </c>
      <c r="AC26" s="40"/>
      <c r="AD26" s="40"/>
      <c r="AE26" s="40"/>
      <c r="AF26" s="40"/>
      <c r="AG26" s="40" t="s">
        <v>141</v>
      </c>
      <c r="AH26" s="10" t="s">
        <v>184</v>
      </c>
      <c r="AI26" s="87"/>
      <c r="AJ26" s="87" cm="1">
        <f t="array" ref="AJ26">IFERROR(_xlfn.XLOOKUP(TRUE,COUNTIF(Tabla[[#This Row],[Etiquetas]:[Etiquetas17]],Versiones!$G$2:$G$36)&gt;0,Versiones!$B$2:$B$36), "")</f>
        <v>25</v>
      </c>
      <c r="AK26" s="87" t="str" cm="1">
        <f t="array" ref="AK26">IFERROR(_xlfn.XLOOKUP(TRUE,COUNTIF(Tabla[[#This Row],[Etiquetas]:[Etiquetas17]],Versiones!$G$2:$G$36)&gt;0,Versiones!$A$2:$A$36), "")</f>
        <v>V0.15</v>
      </c>
      <c r="AL2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6" s="78" t="str">
        <f>IFERROR(_xlfn.XLOOKUP(Tabla[[#This Row],[¿En qué versión fue corregido?]],Versiones!$A$2:$A$34,Versiones!$B$2:$B$34),"No encontrado")</f>
        <v>No encontrado</v>
      </c>
      <c r="AN26" s="88" t="str" cm="1">
        <f t="array" ref="AN26">IFERROR(_xlfn.XLOOKUP(TRUE,COUNTIF(Tabla[[#This Row],[Etiquetas]:[Etiquetas17]],Categorías!$A$2:$A$12)&gt;0,Categorías!$A$2:$A$12),"No encontrado")</f>
        <v>Funcional</v>
      </c>
      <c r="AO26" s="87" t="str" cm="1">
        <f t="array" ref="AO26">IFERROR(INDEX(Funcionalidades!$A$2:$A$80,MATCH(TRUE, COUNTIF(Reporte_Gral!R26:Z26,Funcionalidades!$A$2:$A$80)&gt;0,0)),"No encontrado")</f>
        <v>Recibir-Mercancía-Almacén-Tienda</v>
      </c>
      <c r="AP26" s="87" t="str">
        <f>IF(AND(COUNTIF(Tabla[[#This Row],[Etiquetas]:[Etiquetas17]],"*UAT_V*")&gt;0,COUNTIF(Tabla[[#This Row],[Etiquetas]:[Etiquetas17]],"*QA-Integración*")=0),"SI","")</f>
        <v/>
      </c>
      <c r="AQ26" s="88" t="str" cm="1">
        <f t="array" ref="AQ26">IF(Tabla[[#This Row],[Fue encontrado durante UAT?]]="SI",IFERROR(_xlfn.XLOOKUP(TRUE,ISNUMBER(SEARCH("UAT_V",Tabla[[#This Row],[Etiquetas]:[Etiquetas17]])),Tabla[[#This Row],[Etiquetas]:[Etiquetas17]]),""),"")</f>
        <v/>
      </c>
      <c r="AR26" s="87" t="str">
        <f>IF(COUNTIF(Tabla[[#This Row],[Etiquetas]:[Etiquetas17]],"*Devuelto*")&gt;0,"SI","")</f>
        <v/>
      </c>
      <c r="AS26" s="167">
        <f>COUNTIF(Tabla[[#This Row],[Etiquetas]:[Etiquetas17]],"*Devuelto*")</f>
        <v>0</v>
      </c>
    </row>
    <row r="27" spans="1:45">
      <c r="A27" s="40" t="s">
        <v>128</v>
      </c>
      <c r="B27" s="40" t="s">
        <v>214</v>
      </c>
      <c r="C27" s="40">
        <v>122110</v>
      </c>
      <c r="D27" s="40" t="s">
        <v>215</v>
      </c>
      <c r="E27" s="40" t="s">
        <v>37</v>
      </c>
      <c r="F27" s="40" t="s">
        <v>27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 t="s">
        <v>216</v>
      </c>
      <c r="S27" s="40" t="s">
        <v>139</v>
      </c>
      <c r="T27" s="40" t="s">
        <v>162</v>
      </c>
      <c r="U27" s="40" t="s">
        <v>133</v>
      </c>
      <c r="V27" s="40" t="s">
        <v>211</v>
      </c>
      <c r="W27" s="40"/>
      <c r="X27" s="40"/>
      <c r="Y27" s="40"/>
      <c r="Z27" s="40"/>
      <c r="AA27" s="40" t="s">
        <v>217</v>
      </c>
      <c r="AB27" s="53">
        <v>46010.37222222222</v>
      </c>
      <c r="AC27" s="40"/>
      <c r="AD27" s="40"/>
      <c r="AE27" s="40"/>
      <c r="AF27" s="40"/>
      <c r="AG27" s="40" t="s">
        <v>141</v>
      </c>
      <c r="AH27" s="10" t="s">
        <v>218</v>
      </c>
      <c r="AI27" s="87"/>
      <c r="AJ27" s="87" cm="1">
        <f t="array" ref="AJ27">IFERROR(_xlfn.XLOOKUP(TRUE,COUNTIF(Tabla[[#This Row],[Etiquetas]:[Etiquetas17]],Versiones!$G$2:$G$36)&gt;0,Versiones!$B$2:$B$36), "")</f>
        <v>25</v>
      </c>
      <c r="AK27" s="87" t="str" cm="1">
        <f t="array" ref="AK27">IFERROR(_xlfn.XLOOKUP(TRUE,COUNTIF(Tabla[[#This Row],[Etiquetas]:[Etiquetas17]],Versiones!$G$2:$G$36)&gt;0,Versiones!$A$2:$A$36), "")</f>
        <v>V0.15</v>
      </c>
      <c r="AL2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7" s="78" t="str">
        <f>IFERROR(_xlfn.XLOOKUP(Tabla[[#This Row],[¿En qué versión fue corregido?]],Versiones!$A$2:$A$34,Versiones!$B$2:$B$34),"No encontrado")</f>
        <v>No encontrado</v>
      </c>
      <c r="AN27" s="88" t="str" cm="1">
        <f t="array" ref="AN27">IFERROR(_xlfn.XLOOKUP(TRUE,COUNTIF(Tabla[[#This Row],[Etiquetas]:[Etiquetas17]],Categorías!$A$2:$A$12)&gt;0,Categorías!$A$2:$A$12),"No encontrado")</f>
        <v>Funcional</v>
      </c>
      <c r="AO27" s="88" t="str" cm="1">
        <f t="array" ref="AO27">IFERROR(INDEX(Funcionalidades!$A$2:$A$80,MATCH(TRUE, COUNTIF(Reporte_Gral!R27:Z27,Funcionalidades!$A$2:$A$80)&gt;0,0)),"No encontrado")</f>
        <v>Imprimir-Cambios-De-Precio</v>
      </c>
      <c r="AP27" s="87" t="str">
        <f>IF(AND(COUNTIF(Tabla[[#This Row],[Etiquetas]:[Etiquetas17]],"*UAT_V*")&gt;0,COUNTIF(Tabla[[#This Row],[Etiquetas]:[Etiquetas17]],"*QA-Integración*")=0),"SI","")</f>
        <v/>
      </c>
      <c r="AQ27" s="88" t="str" cm="1">
        <f t="array" ref="AQ27">IF(Tabla[[#This Row],[Fue encontrado durante UAT?]]="SI",IFERROR(_xlfn.XLOOKUP(TRUE,ISNUMBER(SEARCH("UAT_V",Tabla[[#This Row],[Etiquetas]:[Etiquetas17]])),Tabla[[#This Row],[Etiquetas]:[Etiquetas17]]),""),"")</f>
        <v/>
      </c>
      <c r="AR27" s="87" t="str">
        <f>IF(COUNTIF(Tabla[[#This Row],[Etiquetas]:[Etiquetas17]],"*Devuelto*")&gt;0,"SI","")</f>
        <v/>
      </c>
      <c r="AS27" s="167">
        <f>COUNTIF(Tabla[[#This Row],[Etiquetas]:[Etiquetas17]],"*Devuelto*")</f>
        <v>0</v>
      </c>
    </row>
    <row r="28" spans="1:45">
      <c r="A28" s="40" t="s">
        <v>128</v>
      </c>
      <c r="B28" s="40" t="s">
        <v>219</v>
      </c>
      <c r="C28" s="40">
        <v>122099</v>
      </c>
      <c r="D28" s="40" t="s">
        <v>220</v>
      </c>
      <c r="E28" s="40" t="s">
        <v>37</v>
      </c>
      <c r="F28" s="40" t="s">
        <v>27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 t="s">
        <v>139</v>
      </c>
      <c r="S28" s="40" t="s">
        <v>133</v>
      </c>
      <c r="T28" s="40" t="s">
        <v>148</v>
      </c>
      <c r="U28" s="40"/>
      <c r="V28" s="40"/>
      <c r="W28" s="40"/>
      <c r="X28" s="40"/>
      <c r="Y28" s="40"/>
      <c r="Z28" s="40"/>
      <c r="AA28" s="40" t="s">
        <v>134</v>
      </c>
      <c r="AB28" s="53">
        <v>46010.34652777778</v>
      </c>
      <c r="AC28" s="40"/>
      <c r="AD28" s="40"/>
      <c r="AE28" s="40"/>
      <c r="AF28" s="40"/>
      <c r="AG28" s="40" t="s">
        <v>141</v>
      </c>
      <c r="AH28" s="10" t="s">
        <v>221</v>
      </c>
      <c r="AI28" s="87"/>
      <c r="AJ28" s="87" cm="1">
        <f t="array" ref="AJ28">IFERROR(_xlfn.XLOOKUP(TRUE,COUNTIF(Tabla[[#This Row],[Etiquetas]:[Etiquetas17]],Versiones!$G$2:$G$36)&gt;0,Versiones!$B$2:$B$36), "")</f>
        <v>25</v>
      </c>
      <c r="AK28" s="87" t="str" cm="1">
        <f t="array" ref="AK28">IFERROR(_xlfn.XLOOKUP(TRUE,COUNTIF(Tabla[[#This Row],[Etiquetas]:[Etiquetas17]],Versiones!$G$2:$G$36)&gt;0,Versiones!$A$2:$A$36), "")</f>
        <v>V0.15</v>
      </c>
      <c r="AL2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8" s="78" t="str">
        <f>IFERROR(_xlfn.XLOOKUP(Tabla[[#This Row],[¿En qué versión fue corregido?]],Versiones!$A$2:$A$34,Versiones!$B$2:$B$34),"No encontrado")</f>
        <v>No encontrado</v>
      </c>
      <c r="AN28" s="88" t="str" cm="1">
        <f t="array" ref="AN28">IFERROR(_xlfn.XLOOKUP(TRUE,COUNTIF(Tabla[[#This Row],[Etiquetas]:[Etiquetas17]],Categorías!$A$2:$A$12)&gt;0,Categorías!$A$2:$A$12),"No encontrado")</f>
        <v>Funcional</v>
      </c>
      <c r="AO28" s="88" t="str" cm="1">
        <f t="array" ref="AO28">IFERROR(INDEX(Funcionalidades!$A$2:$A$80,MATCH(TRUE, COUNTIF(Reporte_Gral!R28:Z28,Funcionalidades!$A$2:$A$80)&gt;0,0)),"No encontrado")</f>
        <v>Recibir-Mercancía-Almacén-Tienda</v>
      </c>
      <c r="AP28" s="87" t="str">
        <f>IF(AND(COUNTIF(Tabla[[#This Row],[Etiquetas]:[Etiquetas17]],"*UAT_V*")&gt;0,COUNTIF(Tabla[[#This Row],[Etiquetas]:[Etiquetas17]],"*QA-Integración*")=0),"SI","")</f>
        <v/>
      </c>
      <c r="AQ28" s="88" t="str" cm="1">
        <f t="array" ref="AQ28">IF(Tabla[[#This Row],[Fue encontrado durante UAT?]]="SI",IFERROR(_xlfn.XLOOKUP(TRUE,ISNUMBER(SEARCH("UAT_V",Tabla[[#This Row],[Etiquetas]:[Etiquetas17]])),Tabla[[#This Row],[Etiquetas]:[Etiquetas17]]),""),"")</f>
        <v/>
      </c>
      <c r="AR28" s="87" t="str">
        <f>IF(COUNTIF(Tabla[[#This Row],[Etiquetas]:[Etiquetas17]],"*Devuelto*")&gt;0,"SI","")</f>
        <v/>
      </c>
      <c r="AS28" s="167">
        <f>COUNTIF(Tabla[[#This Row],[Etiquetas]:[Etiquetas17]],"*Devuelto*")</f>
        <v>0</v>
      </c>
    </row>
    <row r="29" spans="1:45">
      <c r="A29" s="40" t="s">
        <v>128</v>
      </c>
      <c r="B29" s="40" t="s">
        <v>222</v>
      </c>
      <c r="C29" s="40">
        <v>121959</v>
      </c>
      <c r="D29" s="40" t="s">
        <v>223</v>
      </c>
      <c r="E29" s="40" t="s">
        <v>37</v>
      </c>
      <c r="F29" s="40" t="s">
        <v>28</v>
      </c>
      <c r="G29" s="40" t="s">
        <v>224</v>
      </c>
      <c r="H29" s="40" t="s">
        <v>151</v>
      </c>
      <c r="I29" s="40"/>
      <c r="J29" s="40"/>
      <c r="K29" s="40"/>
      <c r="L29" s="40"/>
      <c r="M29" s="40"/>
      <c r="N29" s="40"/>
      <c r="O29" s="40"/>
      <c r="P29" s="40"/>
      <c r="Q29" s="40"/>
      <c r="R29" s="40" t="s">
        <v>132</v>
      </c>
      <c r="S29" s="40" t="s">
        <v>225</v>
      </c>
      <c r="T29" s="40" t="s">
        <v>133</v>
      </c>
      <c r="U29" s="40" t="s">
        <v>226</v>
      </c>
      <c r="V29" s="40" t="s">
        <v>154</v>
      </c>
      <c r="W29" s="40"/>
      <c r="X29" s="40"/>
      <c r="Y29" s="40"/>
      <c r="Z29" s="40"/>
      <c r="AA29" s="40" t="s">
        <v>217</v>
      </c>
      <c r="AB29" s="53">
        <v>46009.609722222223</v>
      </c>
      <c r="AC29" s="40" t="s">
        <v>155</v>
      </c>
      <c r="AD29" s="40"/>
      <c r="AE29" s="40"/>
      <c r="AF29" s="40"/>
      <c r="AG29" s="40" t="s">
        <v>135</v>
      </c>
      <c r="AH29" s="10" t="s">
        <v>221</v>
      </c>
      <c r="AI29" s="87"/>
      <c r="AJ29" s="87" cm="1">
        <f t="array" ref="AJ29">IFERROR(_xlfn.XLOOKUP(TRUE,COUNTIF(Tabla[[#This Row],[Etiquetas]:[Etiquetas17]],Versiones!$G$2:$G$36)&gt;0,Versiones!$B$2:$B$36), "")</f>
        <v>25</v>
      </c>
      <c r="AK29" s="87" t="str" cm="1">
        <f t="array" ref="AK29">IFERROR(_xlfn.XLOOKUP(TRUE,COUNTIF(Tabla[[#This Row],[Etiquetas]:[Etiquetas17]],Versiones!$G$2:$G$36)&gt;0,Versiones!$A$2:$A$36), "")</f>
        <v>V0.15</v>
      </c>
      <c r="AL2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29" s="78">
        <f>IFERROR(_xlfn.XLOOKUP(Tabla[[#This Row],[¿En qué versión fue corregido?]],Versiones!$A$2:$A$34,Versiones!$B$2:$B$34),"No encontrado")</f>
        <v>0</v>
      </c>
      <c r="AN29" s="88" t="str" cm="1">
        <f t="array" ref="AN29">IFERROR(_xlfn.XLOOKUP(TRUE,COUNTIF(Tabla[[#This Row],[Etiquetas]:[Etiquetas17]],Categorías!$A$2:$A$12)&gt;0,Categorías!$A$2:$A$12),"No encontrado")</f>
        <v>Look&amp;Feel</v>
      </c>
      <c r="AO29" s="88" t="str" cm="1">
        <f t="array" ref="AO29">IFERROR(INDEX(Funcionalidades!$A$2:$A$80,MATCH(TRUE, COUNTIF(Reporte_Gral!R29:Z29,Funcionalidades!$A$2:$A$80)&gt;0,0)),"No encontrado")</f>
        <v>Pago-Con-Tarjeta</v>
      </c>
      <c r="AP29" s="87" t="str">
        <f>IF(AND(COUNTIF(Tabla[[#This Row],[Etiquetas]:[Etiquetas17]],"*UAT_V*")&gt;0,COUNTIF(Tabla[[#This Row],[Etiquetas]:[Etiquetas17]],"*QA-Integración*")=0),"SI","")</f>
        <v/>
      </c>
      <c r="AQ29" s="88" t="str" cm="1">
        <f t="array" ref="AQ29">IF(Tabla[[#This Row],[Fue encontrado durante UAT?]]="SI",IFERROR(_xlfn.XLOOKUP(TRUE,ISNUMBER(SEARCH("UAT_V",Tabla[[#This Row],[Etiquetas]:[Etiquetas17]])),Tabla[[#This Row],[Etiquetas]:[Etiquetas17]]),""),"")</f>
        <v/>
      </c>
      <c r="AR29" s="87" t="str">
        <f>IF(COUNTIF(Tabla[[#This Row],[Etiquetas]:[Etiquetas17]],"*Devuelto*")&gt;0,"SI","")</f>
        <v/>
      </c>
      <c r="AS29" s="167">
        <f>COUNTIF(Tabla[[#This Row],[Etiquetas]:[Etiquetas17]],"*Devuelto*")</f>
        <v>0</v>
      </c>
    </row>
    <row r="30" spans="1:45">
      <c r="A30" s="40" t="s">
        <v>128</v>
      </c>
      <c r="B30" s="40" t="s">
        <v>227</v>
      </c>
      <c r="C30" s="40">
        <v>121956</v>
      </c>
      <c r="D30" s="40" t="s">
        <v>228</v>
      </c>
      <c r="E30" s="40" t="s">
        <v>37</v>
      </c>
      <c r="F30" s="40" t="s">
        <v>23</v>
      </c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 t="s">
        <v>229</v>
      </c>
      <c r="S30" s="40" t="s">
        <v>162</v>
      </c>
      <c r="T30" s="40" t="s">
        <v>133</v>
      </c>
      <c r="U30" s="40"/>
      <c r="V30" s="40"/>
      <c r="W30" s="40"/>
      <c r="X30" s="40"/>
      <c r="Y30" s="40"/>
      <c r="Z30" s="40"/>
      <c r="AA30" s="40" t="s">
        <v>134</v>
      </c>
      <c r="AB30" s="53">
        <v>46009.602083333331</v>
      </c>
      <c r="AC30" s="40"/>
      <c r="AD30" s="40"/>
      <c r="AE30" s="40"/>
      <c r="AF30" s="40"/>
      <c r="AG30" s="40" t="s">
        <v>141</v>
      </c>
      <c r="AH30" s="10"/>
      <c r="AI30" s="87"/>
      <c r="AJ30" s="87" cm="1">
        <f t="array" ref="AJ30">IFERROR(_xlfn.XLOOKUP(TRUE,COUNTIF(Tabla[[#This Row],[Etiquetas]:[Etiquetas17]],Versiones!$G$2:$G$36)&gt;0,Versiones!$B$2:$B$36), "")</f>
        <v>25</v>
      </c>
      <c r="AK30" s="87" t="str" cm="1">
        <f t="array" ref="AK30">IFERROR(_xlfn.XLOOKUP(TRUE,COUNTIF(Tabla[[#This Row],[Etiquetas]:[Etiquetas17]],Versiones!$G$2:$G$36)&gt;0,Versiones!$A$2:$A$36), "")</f>
        <v>V0.15</v>
      </c>
      <c r="AL3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0" s="78" t="str">
        <f>IFERROR(_xlfn.XLOOKUP(Tabla[[#This Row],[¿En qué versión fue corregido?]],Versiones!$A$2:$A$34,Versiones!$B$2:$B$34),"No encontrado")</f>
        <v>No encontrado</v>
      </c>
      <c r="AN30" s="88" t="str" cm="1">
        <f t="array" ref="AN30">IFERROR(_xlfn.XLOOKUP(TRUE,COUNTIF(Tabla[[#This Row],[Etiquetas]:[Etiquetas17]],Categorías!$A$2:$A$12)&gt;0,Categorías!$A$2:$A$12),"No encontrado")</f>
        <v>Configuración</v>
      </c>
      <c r="AO30" s="87" t="str" cm="1">
        <f t="array" ref="AO30">IFERROR(INDEX(Funcionalidades!$A$2:$A$80,MATCH(TRUE, COUNTIF(Reporte_Gral!R30:Z30,Funcionalidades!$A$2:$A$80)&gt;0,0)),"No encontrado")</f>
        <v>Imprimir-Cambios-De-Precio</v>
      </c>
      <c r="AP30" s="87" t="str">
        <f>IF(AND(COUNTIF(Tabla[[#This Row],[Etiquetas]:[Etiquetas17]],"*UAT_V*")&gt;0,COUNTIF(Tabla[[#This Row],[Etiquetas]:[Etiquetas17]],"*QA-Integración*")=0),"SI","")</f>
        <v/>
      </c>
      <c r="AQ30" s="88" t="str" cm="1">
        <f t="array" ref="AQ30">IF(Tabla[[#This Row],[Fue encontrado durante UAT?]]="SI",IFERROR(_xlfn.XLOOKUP(TRUE,ISNUMBER(SEARCH("UAT_V",Tabla[[#This Row],[Etiquetas]:[Etiquetas17]])),Tabla[[#This Row],[Etiquetas]:[Etiquetas17]]),""),"")</f>
        <v/>
      </c>
      <c r="AR30" s="87" t="str">
        <f>IF(COUNTIF(Tabla[[#This Row],[Etiquetas]:[Etiquetas17]],"*Devuelto*")&gt;0,"SI","")</f>
        <v/>
      </c>
      <c r="AS30" s="167">
        <f>COUNTIF(Tabla[[#This Row],[Etiquetas]:[Etiquetas17]],"*Devuelto*")</f>
        <v>0</v>
      </c>
    </row>
    <row r="31" spans="1:45">
      <c r="A31" s="40" t="s">
        <v>128</v>
      </c>
      <c r="B31" s="40" t="s">
        <v>230</v>
      </c>
      <c r="C31" s="40">
        <v>121955</v>
      </c>
      <c r="D31" s="40" t="s">
        <v>231</v>
      </c>
      <c r="E31" s="40" t="s">
        <v>36</v>
      </c>
      <c r="F31" s="40" t="s">
        <v>26</v>
      </c>
      <c r="G31" s="40" t="s">
        <v>224</v>
      </c>
      <c r="H31" s="40" t="s">
        <v>151</v>
      </c>
      <c r="I31" s="40"/>
      <c r="J31" s="40"/>
      <c r="K31" s="40"/>
      <c r="L31" s="40"/>
      <c r="M31" s="40"/>
      <c r="N31" s="40"/>
      <c r="O31" s="40"/>
      <c r="P31" s="40"/>
      <c r="Q31" s="40"/>
      <c r="R31" s="40" t="s">
        <v>162</v>
      </c>
      <c r="S31" s="40" t="s">
        <v>132</v>
      </c>
      <c r="T31" s="40" t="s">
        <v>133</v>
      </c>
      <c r="U31" s="40" t="s">
        <v>204</v>
      </c>
      <c r="V31" s="40" t="s">
        <v>154</v>
      </c>
      <c r="W31" s="40"/>
      <c r="X31" s="40"/>
      <c r="Y31" s="40"/>
      <c r="Z31" s="40"/>
      <c r="AA31" s="40" t="s">
        <v>217</v>
      </c>
      <c r="AB31" s="53">
        <v>46009.602083333331</v>
      </c>
      <c r="AC31" s="40" t="s">
        <v>174</v>
      </c>
      <c r="AD31" s="40"/>
      <c r="AE31" s="40"/>
      <c r="AF31" s="40"/>
      <c r="AG31" s="40" t="s">
        <v>141</v>
      </c>
      <c r="AH31" s="10"/>
      <c r="AI31" s="87"/>
      <c r="AJ31" s="87" cm="1">
        <f t="array" ref="AJ31">IFERROR(_xlfn.XLOOKUP(TRUE,COUNTIF(Tabla[[#This Row],[Etiquetas]:[Etiquetas17]],Versiones!$G$2:$G$36)&gt;0,Versiones!$B$2:$B$36), "")</f>
        <v>25</v>
      </c>
      <c r="AK31" s="87" t="str" cm="1">
        <f t="array" ref="AK31">IFERROR(_xlfn.XLOOKUP(TRUE,COUNTIF(Tabla[[#This Row],[Etiquetas]:[Etiquetas17]],Versiones!$G$2:$G$36)&gt;0,Versiones!$A$2:$A$36), "")</f>
        <v>V0.15</v>
      </c>
      <c r="AL3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31" s="78">
        <f>IFERROR(_xlfn.XLOOKUP(Tabla[[#This Row],[¿En qué versión fue corregido?]],Versiones!$A$2:$A$34,Versiones!$B$2:$B$34),"No encontrado")</f>
        <v>25</v>
      </c>
      <c r="AN31" s="88" t="str" cm="1">
        <f t="array" ref="AN31">IFERROR(_xlfn.XLOOKUP(TRUE,COUNTIF(Tabla[[#This Row],[Etiquetas]:[Etiquetas17]],Categorías!$A$2:$A$12)&gt;0,Categorías!$A$2:$A$12),"No encontrado")</f>
        <v>Look&amp;Feel</v>
      </c>
      <c r="AO31" s="87" t="str" cm="1">
        <f t="array" ref="AO31">IFERROR(INDEX(Funcionalidades!$A$2:$A$80,MATCH(TRUE, COUNTIF(Reporte_Gral!R31:Z31,Funcionalidades!$A$2:$A$80)&gt;0,0)),"No encontrado")</f>
        <v>Imprimir-Cambios-De-Precio</v>
      </c>
      <c r="AP31" s="87" t="str">
        <f>IF(AND(COUNTIF(Tabla[[#This Row],[Etiquetas]:[Etiquetas17]],"*UAT_V*")&gt;0,COUNTIF(Tabla[[#This Row],[Etiquetas]:[Etiquetas17]],"*QA-Integración*")=0),"SI","")</f>
        <v/>
      </c>
      <c r="AQ31" s="88" t="str" cm="1">
        <f t="array" ref="AQ31">IF(Tabla[[#This Row],[Fue encontrado durante UAT?]]="SI",IFERROR(_xlfn.XLOOKUP(TRUE,ISNUMBER(SEARCH("UAT_V",Tabla[[#This Row],[Etiquetas]:[Etiquetas17]])),Tabla[[#This Row],[Etiquetas]:[Etiquetas17]]),""),"")</f>
        <v/>
      </c>
      <c r="AR31" s="87" t="str">
        <f>IF(COUNTIF(Tabla[[#This Row],[Etiquetas]:[Etiquetas17]],"*Devuelto*")&gt;0,"SI","")</f>
        <v/>
      </c>
      <c r="AS31" s="167">
        <f>COUNTIF(Tabla[[#This Row],[Etiquetas]:[Etiquetas17]],"*Devuelto*")</f>
        <v>0</v>
      </c>
    </row>
    <row r="32" spans="1:45">
      <c r="A32" s="40" t="s">
        <v>128</v>
      </c>
      <c r="B32" s="40" t="s">
        <v>232</v>
      </c>
      <c r="C32" s="40">
        <v>121365</v>
      </c>
      <c r="D32" s="40" t="s">
        <v>233</v>
      </c>
      <c r="E32" s="40" t="s">
        <v>37</v>
      </c>
      <c r="F32" s="40" t="s">
        <v>24</v>
      </c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 t="s">
        <v>234</v>
      </c>
      <c r="S32" s="40" t="s">
        <v>139</v>
      </c>
      <c r="T32" s="40" t="s">
        <v>133</v>
      </c>
      <c r="U32" s="40"/>
      <c r="V32" s="40"/>
      <c r="W32" s="40"/>
      <c r="X32" s="40"/>
      <c r="Y32" s="40"/>
      <c r="Z32" s="40"/>
      <c r="AA32" s="40" t="s">
        <v>134</v>
      </c>
      <c r="AB32" s="53">
        <v>46007.65625</v>
      </c>
      <c r="AC32" s="40"/>
      <c r="AD32" s="40"/>
      <c r="AE32" s="40"/>
      <c r="AF32" s="40"/>
      <c r="AG32" s="40" t="s">
        <v>141</v>
      </c>
      <c r="AH32" s="10"/>
      <c r="AI32" s="87"/>
      <c r="AJ32" s="87" cm="1">
        <f t="array" ref="AJ32">IFERROR(_xlfn.XLOOKUP(TRUE,COUNTIF(Tabla[[#This Row],[Etiquetas]:[Etiquetas17]],Versiones!$G$2:$G$36)&gt;0,Versiones!$B$2:$B$36), "")</f>
        <v>25</v>
      </c>
      <c r="AK32" s="87" t="str" cm="1">
        <f t="array" ref="AK32">IFERROR(_xlfn.XLOOKUP(TRUE,COUNTIF(Tabla[[#This Row],[Etiquetas]:[Etiquetas17]],Versiones!$G$2:$G$36)&gt;0,Versiones!$A$2:$A$36), "")</f>
        <v>V0.15</v>
      </c>
      <c r="AL3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2" s="78" t="str">
        <f>IFERROR(_xlfn.XLOOKUP(Tabla[[#This Row],[¿En qué versión fue corregido?]],Versiones!$A$2:$A$34,Versiones!$B$2:$B$34),"No encontrado")</f>
        <v>No encontrado</v>
      </c>
      <c r="AN32" s="88" t="str" cm="1">
        <f t="array" ref="AN32">IFERROR(_xlfn.XLOOKUP(TRUE,COUNTIF(Tabla[[#This Row],[Etiquetas]:[Etiquetas17]],Categorías!$A$2:$A$12)&gt;0,Categorías!$A$2:$A$12),"No encontrado")</f>
        <v>Funcional</v>
      </c>
      <c r="AO32" s="87" t="str" cm="1">
        <f t="array" ref="AO32">IFERROR(INDEX(Funcionalidades!$A$2:$A$80,MATCH(TRUE, COUNTIF(Reporte_Gral!R32:Z32,Funcionalidades!$A$2:$A$80)&gt;0,0)),"No encontrado")</f>
        <v>Dashboard-Productos</v>
      </c>
      <c r="AP32" s="87" t="str">
        <f>IF(AND(COUNTIF(Tabla[[#This Row],[Etiquetas]:[Etiquetas17]],"*UAT_V*")&gt;0,COUNTIF(Tabla[[#This Row],[Etiquetas]:[Etiquetas17]],"*QA-Integración*")=0),"SI","")</f>
        <v/>
      </c>
      <c r="AQ32" s="88" t="str" cm="1">
        <f t="array" ref="AQ32">IF(Tabla[[#This Row],[Fue encontrado durante UAT?]]="SI",IFERROR(_xlfn.XLOOKUP(TRUE,ISNUMBER(SEARCH("UAT_V",Tabla[[#This Row],[Etiquetas]:[Etiquetas17]])),Tabla[[#This Row],[Etiquetas]:[Etiquetas17]]),""),"")</f>
        <v/>
      </c>
      <c r="AR32" s="87" t="str">
        <f>IF(COUNTIF(Tabla[[#This Row],[Etiquetas]:[Etiquetas17]],"*Devuelto*")&gt;0,"SI","")</f>
        <v/>
      </c>
      <c r="AS32" s="167">
        <f>COUNTIF(Tabla[[#This Row],[Etiquetas]:[Etiquetas17]],"*Devuelto*")</f>
        <v>0</v>
      </c>
    </row>
    <row r="33" spans="1:45">
      <c r="A33" s="40" t="s">
        <v>128</v>
      </c>
      <c r="B33" s="40" t="s">
        <v>235</v>
      </c>
      <c r="C33" s="40">
        <v>121349</v>
      </c>
      <c r="D33" s="40" t="s">
        <v>236</v>
      </c>
      <c r="E33" s="40" t="s">
        <v>37</v>
      </c>
      <c r="F33" s="40" t="s">
        <v>28</v>
      </c>
      <c r="G33" s="40" t="s">
        <v>151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 t="s">
        <v>139</v>
      </c>
      <c r="S33" s="40" t="s">
        <v>237</v>
      </c>
      <c r="T33" s="40" t="s">
        <v>133</v>
      </c>
      <c r="U33" s="40" t="s">
        <v>204</v>
      </c>
      <c r="V33" s="40" t="s">
        <v>154</v>
      </c>
      <c r="W33" s="40"/>
      <c r="X33" s="40"/>
      <c r="Y33" s="40"/>
      <c r="Z33" s="40"/>
      <c r="AA33" s="40" t="s">
        <v>134</v>
      </c>
      <c r="AB33" s="53">
        <v>46007.621527777781</v>
      </c>
      <c r="AC33" s="40" t="s">
        <v>155</v>
      </c>
      <c r="AD33" s="40"/>
      <c r="AE33" s="40"/>
      <c r="AF33" s="40"/>
      <c r="AG33" s="40" t="s">
        <v>141</v>
      </c>
      <c r="AH33" s="10"/>
      <c r="AI33" s="87"/>
      <c r="AJ33" s="87" cm="1">
        <f t="array" ref="AJ33">IFERROR(_xlfn.XLOOKUP(TRUE,COUNTIF(Tabla[[#This Row],[Etiquetas]:[Etiquetas17]],Versiones!$G$2:$G$36)&gt;0,Versiones!$B$2:$B$36), "")</f>
        <v>25</v>
      </c>
      <c r="AK33" s="87" t="str" cm="1">
        <f t="array" ref="AK33">IFERROR(_xlfn.XLOOKUP(TRUE,COUNTIF(Tabla[[#This Row],[Etiquetas]:[Etiquetas17]],Versiones!$G$2:$G$36)&gt;0,Versiones!$A$2:$A$36), "")</f>
        <v>V0.15</v>
      </c>
      <c r="AL3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3" s="78">
        <f>IFERROR(_xlfn.XLOOKUP(Tabla[[#This Row],[¿En qué versión fue corregido?]],Versiones!$A$2:$A$34,Versiones!$B$2:$B$34),"No encontrado")</f>
        <v>0</v>
      </c>
      <c r="AN33" s="88" t="str" cm="1">
        <f t="array" ref="AN33">IFERROR(_xlfn.XLOOKUP(TRUE,COUNTIF(Tabla[[#This Row],[Etiquetas]:[Etiquetas17]],Categorías!$A$2:$A$12)&gt;0,Categorías!$A$2:$A$12),"No encontrado")</f>
        <v>Funcional</v>
      </c>
      <c r="AO33" s="87" t="str" cm="1">
        <f t="array" ref="AO33">IFERROR(INDEX(Funcionalidades!$A$2:$A$80,MATCH(TRUE, COUNTIF(Reporte_Gral!R33:Z33,Funcionalidades!$A$2:$A$80)&gt;0,0)),"No encontrado")</f>
        <v>Main-Dashboard</v>
      </c>
      <c r="AP33" s="87" t="str">
        <f>IF(AND(COUNTIF(Tabla[[#This Row],[Etiquetas]:[Etiquetas17]],"*UAT_V*")&gt;0,COUNTIF(Tabla[[#This Row],[Etiquetas]:[Etiquetas17]],"*QA-Integración*")=0),"SI","")</f>
        <v/>
      </c>
      <c r="AQ33" s="88" t="str" cm="1">
        <f t="array" ref="AQ33">IF(Tabla[[#This Row],[Fue encontrado durante UAT?]]="SI",IFERROR(_xlfn.XLOOKUP(TRUE,ISNUMBER(SEARCH("UAT_V",Tabla[[#This Row],[Etiquetas]:[Etiquetas17]])),Tabla[[#This Row],[Etiquetas]:[Etiquetas17]]),""),"")</f>
        <v/>
      </c>
      <c r="AR33" s="87" t="str">
        <f>IF(COUNTIF(Tabla[[#This Row],[Etiquetas]:[Etiquetas17]],"*Devuelto*")&gt;0,"SI","")</f>
        <v/>
      </c>
      <c r="AS33" s="167">
        <f>COUNTIF(Tabla[[#This Row],[Etiquetas]:[Etiquetas17]],"*Devuelto*")</f>
        <v>0</v>
      </c>
    </row>
    <row r="34" spans="1:45">
      <c r="A34" s="40" t="s">
        <v>128</v>
      </c>
      <c r="B34" s="40" t="s">
        <v>238</v>
      </c>
      <c r="C34" s="40">
        <v>121346</v>
      </c>
      <c r="D34" s="40" t="s">
        <v>239</v>
      </c>
      <c r="E34" s="40" t="s">
        <v>37</v>
      </c>
      <c r="F34" s="40" t="s">
        <v>28</v>
      </c>
      <c r="G34" s="40" t="s">
        <v>151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 t="s">
        <v>139</v>
      </c>
      <c r="S34" s="40" t="s">
        <v>237</v>
      </c>
      <c r="T34" s="40" t="s">
        <v>133</v>
      </c>
      <c r="U34" s="40" t="s">
        <v>204</v>
      </c>
      <c r="V34" s="40" t="s">
        <v>154</v>
      </c>
      <c r="W34" s="40"/>
      <c r="X34" s="40"/>
      <c r="Y34" s="40"/>
      <c r="Z34" s="40"/>
      <c r="AA34" s="40" t="s">
        <v>134</v>
      </c>
      <c r="AB34" s="53">
        <v>46007.609027777777</v>
      </c>
      <c r="AC34" s="40" t="s">
        <v>155</v>
      </c>
      <c r="AD34" s="40"/>
      <c r="AE34" s="40"/>
      <c r="AF34" s="40"/>
      <c r="AG34" s="40" t="s">
        <v>141</v>
      </c>
      <c r="AH34" s="10"/>
      <c r="AI34" s="87"/>
      <c r="AJ34" s="87" cm="1">
        <f t="array" ref="AJ34">IFERROR(_xlfn.XLOOKUP(TRUE,COUNTIF(Tabla[[#This Row],[Etiquetas]:[Etiquetas17]],Versiones!$G$2:$G$36)&gt;0,Versiones!$B$2:$B$36), "")</f>
        <v>25</v>
      </c>
      <c r="AK34" s="87" t="str" cm="1">
        <f t="array" ref="AK34">IFERROR(_xlfn.XLOOKUP(TRUE,COUNTIF(Tabla[[#This Row],[Etiquetas]:[Etiquetas17]],Versiones!$G$2:$G$36)&gt;0,Versiones!$A$2:$A$36), "")</f>
        <v>V0.15</v>
      </c>
      <c r="AL3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4" s="78">
        <f>IFERROR(_xlfn.XLOOKUP(Tabla[[#This Row],[¿En qué versión fue corregido?]],Versiones!$A$2:$A$34,Versiones!$B$2:$B$34),"No encontrado")</f>
        <v>0</v>
      </c>
      <c r="AN34" s="88" t="str" cm="1">
        <f t="array" ref="AN34">IFERROR(_xlfn.XLOOKUP(TRUE,COUNTIF(Tabla[[#This Row],[Etiquetas]:[Etiquetas17]],Categorías!$A$2:$A$12)&gt;0,Categorías!$A$2:$A$12),"No encontrado")</f>
        <v>Funcional</v>
      </c>
      <c r="AO34" s="87" t="str" cm="1">
        <f t="array" ref="AO34">IFERROR(INDEX(Funcionalidades!$A$2:$A$80,MATCH(TRUE, COUNTIF(Reporte_Gral!R34:Z34,Funcionalidades!$A$2:$A$80)&gt;0,0)),"No encontrado")</f>
        <v>Main-Dashboard</v>
      </c>
      <c r="AP34" s="87" t="str">
        <f>IF(AND(COUNTIF(Tabla[[#This Row],[Etiquetas]:[Etiquetas17]],"*UAT_V*")&gt;0,COUNTIF(Tabla[[#This Row],[Etiquetas]:[Etiquetas17]],"*QA-Integración*")=0),"SI","")</f>
        <v/>
      </c>
      <c r="AQ34" s="88" t="str" cm="1">
        <f t="array" ref="AQ34">IF(Tabla[[#This Row],[Fue encontrado durante UAT?]]="SI",IFERROR(_xlfn.XLOOKUP(TRUE,ISNUMBER(SEARCH("UAT_V",Tabla[[#This Row],[Etiquetas]:[Etiquetas17]])),Tabla[[#This Row],[Etiquetas]:[Etiquetas17]]),""),"")</f>
        <v/>
      </c>
      <c r="AR34" s="87" t="str">
        <f>IF(COUNTIF(Tabla[[#This Row],[Etiquetas]:[Etiquetas17]],"*Devuelto*")&gt;0,"SI","")</f>
        <v/>
      </c>
      <c r="AS34" s="167">
        <f>COUNTIF(Tabla[[#This Row],[Etiquetas]:[Etiquetas17]],"*Devuelto*")</f>
        <v>0</v>
      </c>
    </row>
    <row r="35" spans="1:45">
      <c r="A35" s="40" t="s">
        <v>128</v>
      </c>
      <c r="B35" s="40" t="s">
        <v>240</v>
      </c>
      <c r="C35" s="40">
        <v>121342</v>
      </c>
      <c r="D35" s="40" t="s">
        <v>241</v>
      </c>
      <c r="E35" s="40" t="s">
        <v>37</v>
      </c>
      <c r="F35" s="40" t="s">
        <v>242</v>
      </c>
      <c r="G35" s="40" t="s">
        <v>151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 t="s">
        <v>243</v>
      </c>
      <c r="S35" s="40" t="s">
        <v>132</v>
      </c>
      <c r="T35" s="40" t="s">
        <v>133</v>
      </c>
      <c r="U35" s="40" t="s">
        <v>226</v>
      </c>
      <c r="V35" s="40" t="s">
        <v>154</v>
      </c>
      <c r="W35" s="40"/>
      <c r="X35" s="40"/>
      <c r="Y35" s="40"/>
      <c r="Z35" s="40"/>
      <c r="AA35" s="40" t="s">
        <v>217</v>
      </c>
      <c r="AB35" s="53">
        <v>46007.598611111112</v>
      </c>
      <c r="AC35" s="40" t="s">
        <v>155</v>
      </c>
      <c r="AD35" s="40"/>
      <c r="AE35" s="40"/>
      <c r="AF35" s="40"/>
      <c r="AG35" s="40" t="s">
        <v>135</v>
      </c>
      <c r="AH35" s="10"/>
      <c r="AI35" s="87"/>
      <c r="AJ35" s="87" cm="1">
        <f t="array" ref="AJ35">IFERROR(_xlfn.XLOOKUP(TRUE,COUNTIF(Tabla[[#This Row],[Etiquetas]:[Etiquetas17]],Versiones!$G$2:$G$36)&gt;0,Versiones!$B$2:$B$36), "")</f>
        <v>25</v>
      </c>
      <c r="AK35" s="87" t="str" cm="1">
        <f t="array" ref="AK35">IFERROR(_xlfn.XLOOKUP(TRUE,COUNTIF(Tabla[[#This Row],[Etiquetas]:[Etiquetas17]],Versiones!$G$2:$G$36)&gt;0,Versiones!$A$2:$A$36), "")</f>
        <v>V0.15</v>
      </c>
      <c r="AL3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5" s="78">
        <f>IFERROR(_xlfn.XLOOKUP(Tabla[[#This Row],[¿En qué versión fue corregido?]],Versiones!$A$2:$A$34,Versiones!$B$2:$B$34),"No encontrado")</f>
        <v>0</v>
      </c>
      <c r="AN35" s="88" t="str" cm="1">
        <f t="array" ref="AN35">IFERROR(_xlfn.XLOOKUP(TRUE,COUNTIF(Tabla[[#This Row],[Etiquetas]:[Etiquetas17]],Categorías!$A$2:$A$12)&gt;0,Categorías!$A$2:$A$12),"No encontrado")</f>
        <v>Look&amp;Feel</v>
      </c>
      <c r="AO35" s="87" t="str" cm="1">
        <f t="array" ref="AO35">IFERROR(INDEX(Funcionalidades!$A$2:$A$80,MATCH(TRUE, COUNTIF(Reporte_Gral!R35:Z35,Funcionalidades!$A$2:$A$80)&gt;0,0)),"No encontrado")</f>
        <v>Bugs-En-Inputs</v>
      </c>
      <c r="AP35" s="87" t="str">
        <f>IF(AND(COUNTIF(Tabla[[#This Row],[Etiquetas]:[Etiquetas17]],"*UAT_V*")&gt;0,COUNTIF(Tabla[[#This Row],[Etiquetas]:[Etiquetas17]],"*QA-Integración*")=0),"SI","")</f>
        <v/>
      </c>
      <c r="AQ35" s="88" t="str" cm="1">
        <f t="array" ref="AQ35">IF(Tabla[[#This Row],[Fue encontrado durante UAT?]]="SI",IFERROR(_xlfn.XLOOKUP(TRUE,ISNUMBER(SEARCH("UAT_V",Tabla[[#This Row],[Etiquetas]:[Etiquetas17]])),Tabla[[#This Row],[Etiquetas]:[Etiquetas17]]),""),"")</f>
        <v/>
      </c>
      <c r="AR35" s="87" t="str">
        <f>IF(COUNTIF(Tabla[[#This Row],[Etiquetas]:[Etiquetas17]],"*Devuelto*")&gt;0,"SI","")</f>
        <v/>
      </c>
      <c r="AS35" s="167">
        <f>COUNTIF(Tabla[[#This Row],[Etiquetas]:[Etiquetas17]],"*Devuelto*")</f>
        <v>0</v>
      </c>
    </row>
    <row r="36" spans="1:45">
      <c r="A36" s="40" t="s">
        <v>128</v>
      </c>
      <c r="B36" s="40" t="s">
        <v>244</v>
      </c>
      <c r="C36" s="40">
        <v>121336</v>
      </c>
      <c r="D36" s="40" t="s">
        <v>245</v>
      </c>
      <c r="E36" s="40" t="s">
        <v>37</v>
      </c>
      <c r="F36" s="40" t="s">
        <v>246</v>
      </c>
      <c r="G36" s="40" t="s">
        <v>151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 t="s">
        <v>139</v>
      </c>
      <c r="S36" s="40" t="s">
        <v>173</v>
      </c>
      <c r="T36" s="40" t="s">
        <v>133</v>
      </c>
      <c r="U36" s="40" t="s">
        <v>194</v>
      </c>
      <c r="V36" s="40" t="s">
        <v>226</v>
      </c>
      <c r="W36" s="40" t="s">
        <v>154</v>
      </c>
      <c r="X36" s="40"/>
      <c r="Y36" s="40"/>
      <c r="Z36" s="40"/>
      <c r="AA36" s="40" t="s">
        <v>217</v>
      </c>
      <c r="AB36" s="53">
        <v>46007.584027777775</v>
      </c>
      <c r="AC36" s="40" t="s">
        <v>155</v>
      </c>
      <c r="AD36" s="40"/>
      <c r="AE36" s="40"/>
      <c r="AF36" s="40"/>
      <c r="AG36" s="40" t="s">
        <v>135</v>
      </c>
      <c r="AH36" s="10"/>
      <c r="AI36" s="87"/>
      <c r="AJ36" s="87" cm="1">
        <f t="array" ref="AJ36">IFERROR(_xlfn.XLOOKUP(TRUE,COUNTIF(Tabla[[#This Row],[Etiquetas]:[Etiquetas17]],Versiones!$G$2:$G$36)&gt;0,Versiones!$B$2:$B$36), "")</f>
        <v>25</v>
      </c>
      <c r="AK36" s="87" t="str" cm="1">
        <f t="array" ref="AK36">IFERROR(_xlfn.XLOOKUP(TRUE,COUNTIF(Tabla[[#This Row],[Etiquetas]:[Etiquetas17]],Versiones!$G$2:$G$36)&gt;0,Versiones!$A$2:$A$36), "")</f>
        <v>V0.15</v>
      </c>
      <c r="AL3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6" s="78">
        <f>IFERROR(_xlfn.XLOOKUP(Tabla[[#This Row],[¿En qué versión fue corregido?]],Versiones!$A$2:$A$34,Versiones!$B$2:$B$34),"No encontrado")</f>
        <v>0</v>
      </c>
      <c r="AN36" s="88" t="str" cm="1">
        <f t="array" ref="AN36">IFERROR(_xlfn.XLOOKUP(TRUE,COUNTIF(Tabla[[#This Row],[Etiquetas]:[Etiquetas17]],Categorías!$A$2:$A$12)&gt;0,Categorías!$A$2:$A$12),"No encontrado")</f>
        <v>Funcional</v>
      </c>
      <c r="AO36" s="87" t="str" cm="1">
        <f t="array" ref="AO36">IFERROR(INDEX(Funcionalidades!$A$2:$A$80,MATCH(TRUE, COUNTIF(Reporte_Gral!R36:Z36,Funcionalidades!$A$2:$A$80)&gt;0,0)),"No encontrado")</f>
        <v>Pago-De-Servicios-Con-Catálogo</v>
      </c>
      <c r="AP36" s="87" t="str">
        <f>IF(AND(COUNTIF(Tabla[[#This Row],[Etiquetas]:[Etiquetas17]],"*UAT_V*")&gt;0,COUNTIF(Tabla[[#This Row],[Etiquetas]:[Etiquetas17]],"*QA-Integración*")=0),"SI","")</f>
        <v/>
      </c>
      <c r="AQ36" s="88" t="str" cm="1">
        <f t="array" ref="AQ36">IF(Tabla[[#This Row],[Fue encontrado durante UAT?]]="SI",IFERROR(_xlfn.XLOOKUP(TRUE,ISNUMBER(SEARCH("UAT_V",Tabla[[#This Row],[Etiquetas]:[Etiquetas17]])),Tabla[[#This Row],[Etiquetas]:[Etiquetas17]]),""),"")</f>
        <v/>
      </c>
      <c r="AR36" s="87" t="str">
        <f>IF(COUNTIF(Tabla[[#This Row],[Etiquetas]:[Etiquetas17]],"*Devuelto*")&gt;0,"SI","")</f>
        <v/>
      </c>
      <c r="AS36" s="167">
        <f>COUNTIF(Tabla[[#This Row],[Etiquetas]:[Etiquetas17]],"*Devuelto*")</f>
        <v>0</v>
      </c>
    </row>
    <row r="37" spans="1:45">
      <c r="A37" s="40" t="s">
        <v>128</v>
      </c>
      <c r="B37" s="40" t="s">
        <v>247</v>
      </c>
      <c r="C37" s="40">
        <v>121334</v>
      </c>
      <c r="D37" s="40" t="s">
        <v>248</v>
      </c>
      <c r="E37" s="40" t="s">
        <v>37</v>
      </c>
      <c r="F37" s="40" t="s">
        <v>246</v>
      </c>
      <c r="G37" s="40" t="s">
        <v>151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 t="s">
        <v>139</v>
      </c>
      <c r="S37" s="40" t="s">
        <v>168</v>
      </c>
      <c r="T37" s="40" t="s">
        <v>133</v>
      </c>
      <c r="U37" s="40" t="s">
        <v>226</v>
      </c>
      <c r="V37" s="40" t="s">
        <v>154</v>
      </c>
      <c r="W37" s="40"/>
      <c r="X37" s="40"/>
      <c r="Y37" s="40"/>
      <c r="Z37" s="40"/>
      <c r="AA37" s="40" t="s">
        <v>217</v>
      </c>
      <c r="AB37" s="53">
        <v>46007.57916666667</v>
      </c>
      <c r="AC37" s="40" t="s">
        <v>155</v>
      </c>
      <c r="AD37" s="40"/>
      <c r="AE37" s="40"/>
      <c r="AF37" s="40"/>
      <c r="AG37" s="40" t="s">
        <v>135</v>
      </c>
      <c r="AH37" s="10"/>
      <c r="AI37" s="87"/>
      <c r="AJ37" s="87" cm="1">
        <f t="array" ref="AJ37">IFERROR(_xlfn.XLOOKUP(TRUE,COUNTIF(Tabla[[#This Row],[Etiquetas]:[Etiquetas17]],Versiones!$G$2:$G$36)&gt;0,Versiones!$B$2:$B$36), "")</f>
        <v>25</v>
      </c>
      <c r="AK37" s="87" t="str" cm="1">
        <f t="array" ref="AK37">IFERROR(_xlfn.XLOOKUP(TRUE,COUNTIF(Tabla[[#This Row],[Etiquetas]:[Etiquetas17]],Versiones!$G$2:$G$36)&gt;0,Versiones!$A$2:$A$36), "")</f>
        <v>V0.15</v>
      </c>
      <c r="AL3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7" s="78">
        <f>IFERROR(_xlfn.XLOOKUP(Tabla[[#This Row],[¿En qué versión fue corregido?]],Versiones!$A$2:$A$34,Versiones!$B$2:$B$34),"No encontrado")</f>
        <v>0</v>
      </c>
      <c r="AN37" s="88" t="str" cm="1">
        <f t="array" ref="AN37">IFERROR(_xlfn.XLOOKUP(TRUE,COUNTIF(Tabla[[#This Row],[Etiquetas]:[Etiquetas17]],Categorías!$A$2:$A$12)&gt;0,Categorías!$A$2:$A$12),"No encontrado")</f>
        <v>Funcional</v>
      </c>
      <c r="AO37" s="87" t="str" cm="1">
        <f t="array" ref="AO37">IFERROR(INDEX(Funcionalidades!$A$2:$A$80,MATCH(TRUE, COUNTIF(Reporte_Gral!R37:Z37,Funcionalidades!$A$2:$A$80)&gt;0,0)),"No encontrado")</f>
        <v>Pago-De-Tiempo-Aire</v>
      </c>
      <c r="AP37" s="87" t="str">
        <f>IF(AND(COUNTIF(Tabla[[#This Row],[Etiquetas]:[Etiquetas17]],"*UAT_V*")&gt;0,COUNTIF(Tabla[[#This Row],[Etiquetas]:[Etiquetas17]],"*QA-Integración*")=0),"SI","")</f>
        <v/>
      </c>
      <c r="AQ37" s="88" t="str" cm="1">
        <f t="array" ref="AQ37">IF(Tabla[[#This Row],[Fue encontrado durante UAT?]]="SI",IFERROR(_xlfn.XLOOKUP(TRUE,ISNUMBER(SEARCH("UAT_V",Tabla[[#This Row],[Etiquetas]:[Etiquetas17]])),Tabla[[#This Row],[Etiquetas]:[Etiquetas17]]),""),"")</f>
        <v/>
      </c>
      <c r="AR37" s="87" t="str">
        <f>IF(COUNTIF(Tabla[[#This Row],[Etiquetas]:[Etiquetas17]],"*Devuelto*")&gt;0,"SI","")</f>
        <v/>
      </c>
      <c r="AS37" s="167">
        <f>COUNTIF(Tabla[[#This Row],[Etiquetas]:[Etiquetas17]],"*Devuelto*")</f>
        <v>0</v>
      </c>
    </row>
    <row r="38" spans="1:45">
      <c r="A38" s="40" t="s">
        <v>128</v>
      </c>
      <c r="B38" s="40" t="s">
        <v>249</v>
      </c>
      <c r="C38" s="40">
        <v>120956</v>
      </c>
      <c r="D38" s="40" t="s">
        <v>250</v>
      </c>
      <c r="E38" s="40" t="s">
        <v>37</v>
      </c>
      <c r="F38" s="40" t="s">
        <v>28</v>
      </c>
      <c r="G38" s="40" t="s">
        <v>151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 t="s">
        <v>139</v>
      </c>
      <c r="S38" s="40" t="s">
        <v>173</v>
      </c>
      <c r="T38" s="40" t="s">
        <v>133</v>
      </c>
      <c r="U38" s="40" t="s">
        <v>226</v>
      </c>
      <c r="V38" s="40" t="s">
        <v>154</v>
      </c>
      <c r="W38" s="40"/>
      <c r="X38" s="40"/>
      <c r="Y38" s="40"/>
      <c r="Z38" s="40"/>
      <c r="AA38" s="40" t="s">
        <v>134</v>
      </c>
      <c r="AB38" s="53">
        <v>46006.6875</v>
      </c>
      <c r="AC38" s="40" t="s">
        <v>155</v>
      </c>
      <c r="AD38" s="40"/>
      <c r="AE38" s="40"/>
      <c r="AF38" s="40"/>
      <c r="AG38" s="40" t="s">
        <v>135</v>
      </c>
      <c r="AH38" s="10"/>
      <c r="AI38" s="87"/>
      <c r="AJ38" s="87" cm="1">
        <f t="array" ref="AJ38">IFERROR(_xlfn.XLOOKUP(TRUE,COUNTIF(Tabla[[#This Row],[Etiquetas]:[Etiquetas17]],Versiones!$G$2:$G$36)&gt;0,Versiones!$B$2:$B$36), "")</f>
        <v>25</v>
      </c>
      <c r="AK38" s="87" t="str" cm="1">
        <f t="array" ref="AK38">IFERROR(_xlfn.XLOOKUP(TRUE,COUNTIF(Tabla[[#This Row],[Etiquetas]:[Etiquetas17]],Versiones!$G$2:$G$36)&gt;0,Versiones!$A$2:$A$36), "")</f>
        <v>V0.15</v>
      </c>
      <c r="AL3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8" s="78">
        <f>IFERROR(_xlfn.XLOOKUP(Tabla[[#This Row],[¿En qué versión fue corregido?]],Versiones!$A$2:$A$34,Versiones!$B$2:$B$34),"No encontrado")</f>
        <v>0</v>
      </c>
      <c r="AN38" s="88" t="str" cm="1">
        <f t="array" ref="AN38">IFERROR(_xlfn.XLOOKUP(TRUE,COUNTIF(Tabla[[#This Row],[Etiquetas]:[Etiquetas17]],Categorías!$A$2:$A$12)&gt;0,Categorías!$A$2:$A$12),"No encontrado")</f>
        <v>Funcional</v>
      </c>
      <c r="AO38" s="87" t="str" cm="1">
        <f t="array" ref="AO38">IFERROR(INDEX(Funcionalidades!$A$2:$A$80,MATCH(TRUE, COUNTIF(Reporte_Gral!R38:Z38,Funcionalidades!$A$2:$A$80)&gt;0,0)),"No encontrado")</f>
        <v>Pago-De-Servicios-Con-Catálogo</v>
      </c>
      <c r="AP38" s="87" t="str">
        <f>IF(AND(COUNTIF(Tabla[[#This Row],[Etiquetas]:[Etiquetas17]],"*UAT_V*")&gt;0,COUNTIF(Tabla[[#This Row],[Etiquetas]:[Etiquetas17]],"*QA-Integración*")=0),"SI","")</f>
        <v/>
      </c>
      <c r="AQ38" s="88" t="str" cm="1">
        <f t="array" ref="AQ38">IF(Tabla[[#This Row],[Fue encontrado durante UAT?]]="SI",IFERROR(_xlfn.XLOOKUP(TRUE,ISNUMBER(SEARCH("UAT_V",Tabla[[#This Row],[Etiquetas]:[Etiquetas17]])),Tabla[[#This Row],[Etiquetas]:[Etiquetas17]]),""),"")</f>
        <v/>
      </c>
      <c r="AR38" s="87" t="str">
        <f>IF(COUNTIF(Tabla[[#This Row],[Etiquetas]:[Etiquetas17]],"*Devuelto*")&gt;0,"SI","")</f>
        <v/>
      </c>
      <c r="AS38" s="167">
        <f>COUNTIF(Tabla[[#This Row],[Etiquetas]:[Etiquetas17]],"*Devuelto*")</f>
        <v>0</v>
      </c>
    </row>
    <row r="39" spans="1:45">
      <c r="A39" s="40" t="s">
        <v>128</v>
      </c>
      <c r="B39" s="40" t="s">
        <v>251</v>
      </c>
      <c r="C39" s="40">
        <v>120889</v>
      </c>
      <c r="D39" s="40" t="s">
        <v>252</v>
      </c>
      <c r="E39" s="40" t="s">
        <v>40</v>
      </c>
      <c r="F39" s="40" t="s">
        <v>24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 t="s">
        <v>140</v>
      </c>
      <c r="S39" s="40" t="s">
        <v>132</v>
      </c>
      <c r="T39" s="40" t="s">
        <v>135</v>
      </c>
      <c r="U39" s="40" t="s">
        <v>133</v>
      </c>
      <c r="V39" s="40"/>
      <c r="W39" s="40"/>
      <c r="X39" s="40"/>
      <c r="Y39" s="40"/>
      <c r="Z39" s="40"/>
      <c r="AA39" s="40" t="s">
        <v>134</v>
      </c>
      <c r="AB39" s="53">
        <v>46006.556944444441</v>
      </c>
      <c r="AC39" s="40"/>
      <c r="AD39" s="40"/>
      <c r="AE39" s="40"/>
      <c r="AF39" s="40"/>
      <c r="AG39" s="40" t="s">
        <v>135</v>
      </c>
      <c r="AH39" s="10"/>
      <c r="AI39" s="87"/>
      <c r="AJ39" s="87" cm="1">
        <f t="array" ref="AJ39">IFERROR(_xlfn.XLOOKUP(TRUE,COUNTIF(Tabla[[#This Row],[Etiquetas]:[Etiquetas17]],Versiones!$G$2:$G$36)&gt;0,Versiones!$B$2:$B$36), "")</f>
        <v>25</v>
      </c>
      <c r="AK39" s="87" t="str" cm="1">
        <f t="array" ref="AK39">IFERROR(_xlfn.XLOOKUP(TRUE,COUNTIF(Tabla[[#This Row],[Etiquetas]:[Etiquetas17]],Versiones!$G$2:$G$36)&gt;0,Versiones!$A$2:$A$36), "")</f>
        <v>V0.15</v>
      </c>
      <c r="AL3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9" s="78" t="str">
        <f>IFERROR(_xlfn.XLOOKUP(Tabla[[#This Row],[¿En qué versión fue corregido?]],Versiones!$A$2:$A$34,Versiones!$B$2:$B$34),"No encontrado")</f>
        <v>No encontrado</v>
      </c>
      <c r="AN39" s="88" t="str" cm="1">
        <f t="array" ref="AN39">IFERROR(_xlfn.XLOOKUP(TRUE,COUNTIF(Tabla[[#This Row],[Etiquetas]:[Etiquetas17]],Categorías!$A$2:$A$12)&gt;0,Categorías!$A$2:$A$12),"No encontrado")</f>
        <v>Look&amp;Feel</v>
      </c>
      <c r="AO39" s="87" t="str" cm="1">
        <f t="array" ref="AO39">IFERROR(INDEX(Funcionalidades!$A$2:$A$80,MATCH(TRUE, COUNTIF(Reporte_Gral!R39:Z39,Funcionalidades!$A$2:$A$80)&gt;0,0)),"No encontrado")</f>
        <v>Iniciar-Venta</v>
      </c>
      <c r="AP39" s="87" t="str">
        <f>IF(AND(COUNTIF(Tabla[[#This Row],[Etiquetas]:[Etiquetas17]],"*UAT_V*")&gt;0,COUNTIF(Tabla[[#This Row],[Etiquetas]:[Etiquetas17]],"*QA-Integración*")=0),"SI","")</f>
        <v/>
      </c>
      <c r="AQ39" s="88" t="str" cm="1">
        <f t="array" ref="AQ39">IF(Tabla[[#This Row],[Fue encontrado durante UAT?]]="SI",IFERROR(_xlfn.XLOOKUP(TRUE,ISNUMBER(SEARCH("UAT_V",Tabla[[#This Row],[Etiquetas]:[Etiquetas17]])),Tabla[[#This Row],[Etiquetas]:[Etiquetas17]]),""),"")</f>
        <v/>
      </c>
      <c r="AR39" s="87" t="str">
        <f>IF(COUNTIF(Tabla[[#This Row],[Etiquetas]:[Etiquetas17]],"*Devuelto*")&gt;0,"SI","")</f>
        <v/>
      </c>
      <c r="AS39" s="167">
        <f>COUNTIF(Tabla[[#This Row],[Etiquetas]:[Etiquetas17]],"*Devuelto*")</f>
        <v>0</v>
      </c>
    </row>
    <row r="40" spans="1:45">
      <c r="A40" s="40" t="s">
        <v>128</v>
      </c>
      <c r="B40" s="40" t="s">
        <v>253</v>
      </c>
      <c r="C40" s="40">
        <v>120874</v>
      </c>
      <c r="D40" s="40" t="s">
        <v>254</v>
      </c>
      <c r="E40" s="40" t="s">
        <v>36</v>
      </c>
      <c r="F40" s="40" t="s">
        <v>26</v>
      </c>
      <c r="G40" s="40" t="s">
        <v>224</v>
      </c>
      <c r="H40" s="40" t="s">
        <v>151</v>
      </c>
      <c r="I40" s="40"/>
      <c r="J40" s="40"/>
      <c r="K40" s="40"/>
      <c r="L40" s="40"/>
      <c r="M40" s="40"/>
      <c r="N40" s="40"/>
      <c r="O40" s="40"/>
      <c r="P40" s="40"/>
      <c r="Q40" s="40"/>
      <c r="R40" s="40" t="s">
        <v>139</v>
      </c>
      <c r="S40" s="40" t="s">
        <v>173</v>
      </c>
      <c r="T40" s="40" t="s">
        <v>133</v>
      </c>
      <c r="U40" s="40" t="s">
        <v>226</v>
      </c>
      <c r="V40" s="40" t="s">
        <v>154</v>
      </c>
      <c r="W40" s="40"/>
      <c r="X40" s="40"/>
      <c r="Y40" s="40"/>
      <c r="Z40" s="40"/>
      <c r="AA40" s="40" t="s">
        <v>134</v>
      </c>
      <c r="AB40" s="53">
        <v>46006.544444444444</v>
      </c>
      <c r="AC40" s="40" t="s">
        <v>174</v>
      </c>
      <c r="AD40" s="40"/>
      <c r="AE40" s="40"/>
      <c r="AF40" s="40"/>
      <c r="AG40" s="40" t="s">
        <v>135</v>
      </c>
      <c r="AH40" s="10"/>
      <c r="AI40" s="87"/>
      <c r="AJ40" s="87" cm="1">
        <f t="array" ref="AJ40">IFERROR(_xlfn.XLOOKUP(TRUE,COUNTIF(Tabla[[#This Row],[Etiquetas]:[Etiquetas17]],Versiones!$G$2:$G$36)&gt;0,Versiones!$B$2:$B$36), "")</f>
        <v>25</v>
      </c>
      <c r="AK40" s="87" t="str" cm="1">
        <f t="array" ref="AK40">IFERROR(_xlfn.XLOOKUP(TRUE,COUNTIF(Tabla[[#This Row],[Etiquetas]:[Etiquetas17]],Versiones!$G$2:$G$36)&gt;0,Versiones!$A$2:$A$36), "")</f>
        <v>V0.15</v>
      </c>
      <c r="AL4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0" s="78">
        <f>IFERROR(_xlfn.XLOOKUP(Tabla[[#This Row],[¿En qué versión fue corregido?]],Versiones!$A$2:$A$34,Versiones!$B$2:$B$34),"No encontrado")</f>
        <v>25</v>
      </c>
      <c r="AN40" s="88" t="str" cm="1">
        <f t="array" ref="AN40">IFERROR(_xlfn.XLOOKUP(TRUE,COUNTIF(Tabla[[#This Row],[Etiquetas]:[Etiquetas17]],Categorías!$A$2:$A$12)&gt;0,Categorías!$A$2:$A$12),"No encontrado")</f>
        <v>Funcional</v>
      </c>
      <c r="AO40" s="87" t="str" cm="1">
        <f t="array" ref="AO40">IFERROR(INDEX(Funcionalidades!$A$2:$A$80,MATCH(TRUE, COUNTIF(Reporte_Gral!R40:Z40,Funcionalidades!$A$2:$A$80)&gt;0,0)),"No encontrado")</f>
        <v>Pago-De-Servicios-Con-Catálogo</v>
      </c>
      <c r="AP40" s="87" t="str">
        <f>IF(AND(COUNTIF(Tabla[[#This Row],[Etiquetas]:[Etiquetas17]],"*UAT_V*")&gt;0,COUNTIF(Tabla[[#This Row],[Etiquetas]:[Etiquetas17]],"*QA-Integración*")=0),"SI","")</f>
        <v/>
      </c>
      <c r="AQ40" s="88" t="str" cm="1">
        <f t="array" ref="AQ40">IF(Tabla[[#This Row],[Fue encontrado durante UAT?]]="SI",IFERROR(_xlfn.XLOOKUP(TRUE,ISNUMBER(SEARCH("UAT_V",Tabla[[#This Row],[Etiquetas]:[Etiquetas17]])),Tabla[[#This Row],[Etiquetas]:[Etiquetas17]]),""),"")</f>
        <v/>
      </c>
      <c r="AR40" s="87" t="str">
        <f>IF(COUNTIF(Tabla[[#This Row],[Etiquetas]:[Etiquetas17]],"*Devuelto*")&gt;0,"SI","")</f>
        <v/>
      </c>
      <c r="AS40" s="167">
        <f>COUNTIF(Tabla[[#This Row],[Etiquetas]:[Etiquetas17]],"*Devuelto*")</f>
        <v>0</v>
      </c>
    </row>
    <row r="41" spans="1:45">
      <c r="A41" s="40" t="s">
        <v>128</v>
      </c>
      <c r="B41" s="40" t="s">
        <v>255</v>
      </c>
      <c r="C41" s="40">
        <v>120867</v>
      </c>
      <c r="D41" s="40" t="s">
        <v>256</v>
      </c>
      <c r="E41" s="40" t="s">
        <v>36</v>
      </c>
      <c r="F41" s="40" t="s">
        <v>26</v>
      </c>
      <c r="G41" s="40" t="s">
        <v>224</v>
      </c>
      <c r="H41" s="40" t="s">
        <v>151</v>
      </c>
      <c r="I41" s="40"/>
      <c r="J41" s="40"/>
      <c r="K41" s="40"/>
      <c r="L41" s="40"/>
      <c r="M41" s="40"/>
      <c r="N41" s="40"/>
      <c r="O41" s="40"/>
      <c r="P41" s="40"/>
      <c r="Q41" s="40"/>
      <c r="R41" s="40" t="s">
        <v>139</v>
      </c>
      <c r="S41" s="40" t="s">
        <v>173</v>
      </c>
      <c r="T41" s="40" t="s">
        <v>133</v>
      </c>
      <c r="U41" s="40" t="s">
        <v>226</v>
      </c>
      <c r="V41" s="40" t="s">
        <v>154</v>
      </c>
      <c r="W41" s="40"/>
      <c r="X41" s="40"/>
      <c r="Y41" s="40"/>
      <c r="Z41" s="40"/>
      <c r="AA41" s="40" t="s">
        <v>134</v>
      </c>
      <c r="AB41" s="53">
        <v>46006.531944444447</v>
      </c>
      <c r="AC41" s="40" t="s">
        <v>174</v>
      </c>
      <c r="AD41" s="40"/>
      <c r="AE41" s="40"/>
      <c r="AF41" s="40"/>
      <c r="AG41" s="40" t="s">
        <v>135</v>
      </c>
      <c r="AH41" s="10"/>
      <c r="AI41" s="87"/>
      <c r="AJ41" s="87" cm="1">
        <f t="array" ref="AJ41">IFERROR(_xlfn.XLOOKUP(TRUE,COUNTIF(Tabla[[#This Row],[Etiquetas]:[Etiquetas17]],Versiones!$G$2:$G$36)&gt;0,Versiones!$B$2:$B$36), "")</f>
        <v>25</v>
      </c>
      <c r="AK41" s="87" t="str" cm="1">
        <f t="array" ref="AK41">IFERROR(_xlfn.XLOOKUP(TRUE,COUNTIF(Tabla[[#This Row],[Etiquetas]:[Etiquetas17]],Versiones!$G$2:$G$36)&gt;0,Versiones!$A$2:$A$36), "")</f>
        <v>V0.15</v>
      </c>
      <c r="AL4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1" s="78">
        <f>IFERROR(_xlfn.XLOOKUP(Tabla[[#This Row],[¿En qué versión fue corregido?]],Versiones!$A$2:$A$34,Versiones!$B$2:$B$34),"No encontrado")</f>
        <v>25</v>
      </c>
      <c r="AN41" s="88" t="str" cm="1">
        <f t="array" ref="AN41">IFERROR(_xlfn.XLOOKUP(TRUE,COUNTIF(Tabla[[#This Row],[Etiquetas]:[Etiquetas17]],Categorías!$A$2:$A$12)&gt;0,Categorías!$A$2:$A$12),"No encontrado")</f>
        <v>Funcional</v>
      </c>
      <c r="AO41" s="87" t="str" cm="1">
        <f t="array" ref="AO41">IFERROR(INDEX(Funcionalidades!$A$2:$A$80,MATCH(TRUE, COUNTIF(Reporte_Gral!R41:Z41,Funcionalidades!$A$2:$A$80)&gt;0,0)),"No encontrado")</f>
        <v>Pago-De-Servicios-Con-Catálogo</v>
      </c>
      <c r="AP41" s="87" t="str">
        <f>IF(AND(COUNTIF(Tabla[[#This Row],[Etiquetas]:[Etiquetas17]],"*UAT_V*")&gt;0,COUNTIF(Tabla[[#This Row],[Etiquetas]:[Etiquetas17]],"*QA-Integración*")=0),"SI","")</f>
        <v/>
      </c>
      <c r="AQ41" s="88" t="str" cm="1">
        <f t="array" ref="AQ41">IF(Tabla[[#This Row],[Fue encontrado durante UAT?]]="SI",IFERROR(_xlfn.XLOOKUP(TRUE,ISNUMBER(SEARCH("UAT_V",Tabla[[#This Row],[Etiquetas]:[Etiquetas17]])),Tabla[[#This Row],[Etiquetas]:[Etiquetas17]]),""),"")</f>
        <v/>
      </c>
      <c r="AR41" s="87" t="str">
        <f>IF(COUNTIF(Tabla[[#This Row],[Etiquetas]:[Etiquetas17]],"*Devuelto*")&gt;0,"SI","")</f>
        <v/>
      </c>
      <c r="AS41" s="167">
        <f>COUNTIF(Tabla[[#This Row],[Etiquetas]:[Etiquetas17]],"*Devuelto*")</f>
        <v>0</v>
      </c>
    </row>
    <row r="42" spans="1:45">
      <c r="A42" s="40" t="s">
        <v>128</v>
      </c>
      <c r="B42" s="40" t="s">
        <v>257</v>
      </c>
      <c r="C42" s="40">
        <v>120862</v>
      </c>
      <c r="D42" s="40" t="s">
        <v>172</v>
      </c>
      <c r="E42" s="40" t="s">
        <v>37</v>
      </c>
      <c r="F42" s="40" t="s">
        <v>26</v>
      </c>
      <c r="G42" s="40" t="s">
        <v>224</v>
      </c>
      <c r="H42" s="40" t="s">
        <v>151</v>
      </c>
      <c r="I42" s="40"/>
      <c r="J42" s="40"/>
      <c r="K42" s="40"/>
      <c r="L42" s="40"/>
      <c r="M42" s="40"/>
      <c r="N42" s="40"/>
      <c r="O42" s="40"/>
      <c r="P42" s="40"/>
      <c r="Q42" s="40"/>
      <c r="R42" s="40" t="s">
        <v>132</v>
      </c>
      <c r="S42" s="40" t="s">
        <v>173</v>
      </c>
      <c r="T42" s="40" t="s">
        <v>133</v>
      </c>
      <c r="U42" s="40" t="s">
        <v>226</v>
      </c>
      <c r="V42" s="40" t="s">
        <v>154</v>
      </c>
      <c r="W42" s="40"/>
      <c r="X42" s="40"/>
      <c r="Y42" s="40"/>
      <c r="Z42" s="40"/>
      <c r="AA42" s="40" t="s">
        <v>134</v>
      </c>
      <c r="AB42" s="53">
        <v>46006.522916666669</v>
      </c>
      <c r="AC42" s="40" t="s">
        <v>174</v>
      </c>
      <c r="AD42" s="40"/>
      <c r="AE42" s="40"/>
      <c r="AF42" s="40"/>
      <c r="AG42" s="40" t="s">
        <v>135</v>
      </c>
      <c r="AH42" s="10"/>
      <c r="AI42" s="87"/>
      <c r="AJ42" s="87" cm="1">
        <f t="array" ref="AJ42">IFERROR(_xlfn.XLOOKUP(TRUE,COUNTIF(Tabla[[#This Row],[Etiquetas]:[Etiquetas17]],Versiones!$G$2:$G$36)&gt;0,Versiones!$B$2:$B$36), "")</f>
        <v>25</v>
      </c>
      <c r="AK42" s="87" t="str" cm="1">
        <f t="array" ref="AK42">IFERROR(_xlfn.XLOOKUP(TRUE,COUNTIF(Tabla[[#This Row],[Etiquetas]:[Etiquetas17]],Versiones!$G$2:$G$36)&gt;0,Versiones!$A$2:$A$36), "")</f>
        <v>V0.15</v>
      </c>
      <c r="AL4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2" s="78">
        <f>IFERROR(_xlfn.XLOOKUP(Tabla[[#This Row],[¿En qué versión fue corregido?]],Versiones!$A$2:$A$34,Versiones!$B$2:$B$34),"No encontrado")</f>
        <v>25</v>
      </c>
      <c r="AN42" s="88" t="str" cm="1">
        <f t="array" ref="AN42">IFERROR(_xlfn.XLOOKUP(TRUE,COUNTIF(Tabla[[#This Row],[Etiquetas]:[Etiquetas17]],Categorías!$A$2:$A$12)&gt;0,Categorías!$A$2:$A$12),"No encontrado")</f>
        <v>Look&amp;Feel</v>
      </c>
      <c r="AO42" s="87" t="str" cm="1">
        <f t="array" ref="AO42">IFERROR(INDEX(Funcionalidades!$A$2:$A$80,MATCH(TRUE, COUNTIF(Reporte_Gral!R42:Z42,Funcionalidades!$A$2:$A$80)&gt;0,0)),"No encontrado")</f>
        <v>Pago-De-Servicios-Con-Catálogo</v>
      </c>
      <c r="AP42" s="87" t="str">
        <f>IF(AND(COUNTIF(Tabla[[#This Row],[Etiquetas]:[Etiquetas17]],"*UAT_V*")&gt;0,COUNTIF(Tabla[[#This Row],[Etiquetas]:[Etiquetas17]],"*QA-Integración*")=0),"SI","")</f>
        <v/>
      </c>
      <c r="AQ42" s="88" t="str" cm="1">
        <f t="array" ref="AQ42">IF(Tabla[[#This Row],[Fue encontrado durante UAT?]]="SI",IFERROR(_xlfn.XLOOKUP(TRUE,ISNUMBER(SEARCH("UAT_V",Tabla[[#This Row],[Etiquetas]:[Etiquetas17]])),Tabla[[#This Row],[Etiquetas]:[Etiquetas17]]),""),"")</f>
        <v/>
      </c>
      <c r="AR42" s="87" t="str">
        <f>IF(COUNTIF(Tabla[[#This Row],[Etiquetas]:[Etiquetas17]],"*Devuelto*")&gt;0,"SI","")</f>
        <v/>
      </c>
      <c r="AS42" s="167">
        <f>COUNTIF(Tabla[[#This Row],[Etiquetas]:[Etiquetas17]],"*Devuelto*")</f>
        <v>0</v>
      </c>
    </row>
    <row r="43" spans="1:45">
      <c r="A43" s="40" t="s">
        <v>128</v>
      </c>
      <c r="B43" s="40" t="s">
        <v>258</v>
      </c>
      <c r="C43" s="40">
        <v>120650</v>
      </c>
      <c r="D43" s="40" t="s">
        <v>259</v>
      </c>
      <c r="E43" s="40" t="s">
        <v>37</v>
      </c>
      <c r="F43" s="40" t="s">
        <v>26</v>
      </c>
      <c r="G43" s="40" t="s">
        <v>224</v>
      </c>
      <c r="H43" s="40" t="s">
        <v>151</v>
      </c>
      <c r="I43" s="40"/>
      <c r="J43" s="40"/>
      <c r="K43" s="40"/>
      <c r="L43" s="40"/>
      <c r="M43" s="40"/>
      <c r="N43" s="40"/>
      <c r="O43" s="40"/>
      <c r="P43" s="40"/>
      <c r="Q43" s="40"/>
      <c r="R43" s="40" t="s">
        <v>260</v>
      </c>
      <c r="S43" s="40" t="s">
        <v>139</v>
      </c>
      <c r="T43" s="40" t="s">
        <v>133</v>
      </c>
      <c r="U43" s="40" t="s">
        <v>204</v>
      </c>
      <c r="V43" s="40" t="s">
        <v>154</v>
      </c>
      <c r="W43" s="40"/>
      <c r="X43" s="40"/>
      <c r="Y43" s="40"/>
      <c r="Z43" s="40"/>
      <c r="AA43" s="40" t="s">
        <v>261</v>
      </c>
      <c r="AB43" s="53">
        <v>46006.463888888888</v>
      </c>
      <c r="AC43" s="40" t="s">
        <v>174</v>
      </c>
      <c r="AD43" s="40"/>
      <c r="AE43" s="40"/>
      <c r="AF43" s="40"/>
      <c r="AG43" s="40" t="s">
        <v>141</v>
      </c>
      <c r="AH43" s="10"/>
      <c r="AI43" s="87"/>
      <c r="AJ43" s="87" cm="1">
        <f t="array" ref="AJ43">IFERROR(_xlfn.XLOOKUP(TRUE,COUNTIF(Tabla[[#This Row],[Etiquetas]:[Etiquetas17]],Versiones!$G$2:$G$36)&gt;0,Versiones!$B$2:$B$36), "")</f>
        <v>25</v>
      </c>
      <c r="AK43" s="87" t="str" cm="1">
        <f t="array" ref="AK43">IFERROR(_xlfn.XLOOKUP(TRUE,COUNTIF(Tabla[[#This Row],[Etiquetas]:[Etiquetas17]],Versiones!$G$2:$G$36)&gt;0,Versiones!$A$2:$A$36), "")</f>
        <v>V0.15</v>
      </c>
      <c r="AL4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3" s="78">
        <f>IFERROR(_xlfn.XLOOKUP(Tabla[[#This Row],[¿En qué versión fue corregido?]],Versiones!$A$2:$A$34,Versiones!$B$2:$B$34),"No encontrado")</f>
        <v>25</v>
      </c>
      <c r="AN43" s="88" t="str" cm="1">
        <f t="array" ref="AN43">IFERROR(_xlfn.XLOOKUP(TRUE,COUNTIF(Tabla[[#This Row],[Etiquetas]:[Etiquetas17]],Categorías!$A$2:$A$12)&gt;0,Categorías!$A$2:$A$12),"No encontrado")</f>
        <v>Funcional</v>
      </c>
      <c r="AO43" s="87" t="str" cm="1">
        <f t="array" ref="AO43">IFERROR(INDEX(Funcionalidades!$A$2:$A$80,MATCH(TRUE, COUNTIF(Reporte_Gral!R43:Z43,Funcionalidades!$A$2:$A$80)&gt;0,0)),"No encontrado")</f>
        <v>Atajos-Teclado-BOT</v>
      </c>
      <c r="AP43" s="87" t="str">
        <f>IF(AND(COUNTIF(Tabla[[#This Row],[Etiquetas]:[Etiquetas17]],"*UAT_V*")&gt;0,COUNTIF(Tabla[[#This Row],[Etiquetas]:[Etiquetas17]],"*QA-Integración*")=0),"SI","")</f>
        <v/>
      </c>
      <c r="AQ43" s="88" t="str" cm="1">
        <f t="array" ref="AQ43">IF(Tabla[[#This Row],[Fue encontrado durante UAT?]]="SI",IFERROR(_xlfn.XLOOKUP(TRUE,ISNUMBER(SEARCH("UAT_V",Tabla[[#This Row],[Etiquetas]:[Etiquetas17]])),Tabla[[#This Row],[Etiquetas]:[Etiquetas17]]),""),"")</f>
        <v/>
      </c>
      <c r="AR43" s="87" t="str">
        <f>IF(COUNTIF(Tabla[[#This Row],[Etiquetas]:[Etiquetas17]],"*Devuelto*")&gt;0,"SI","")</f>
        <v/>
      </c>
      <c r="AS43" s="167">
        <f>COUNTIF(Tabla[[#This Row],[Etiquetas]:[Etiquetas17]],"*Devuelto*")</f>
        <v>0</v>
      </c>
    </row>
    <row r="44" spans="1:45">
      <c r="A44" s="40" t="s">
        <v>128</v>
      </c>
      <c r="B44" s="40" t="s">
        <v>262</v>
      </c>
      <c r="C44" s="40">
        <v>120243</v>
      </c>
      <c r="D44" s="40" t="s">
        <v>263</v>
      </c>
      <c r="E44" s="40" t="s">
        <v>37</v>
      </c>
      <c r="F44" s="40" t="s">
        <v>27</v>
      </c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 t="s">
        <v>264</v>
      </c>
      <c r="S44" s="40" t="s">
        <v>132</v>
      </c>
      <c r="T44" s="40" t="s">
        <v>133</v>
      </c>
      <c r="U44" s="40"/>
      <c r="V44" s="40"/>
      <c r="W44" s="40"/>
      <c r="X44" s="40"/>
      <c r="Y44" s="40"/>
      <c r="Z44" s="40"/>
      <c r="AA44" s="40" t="s">
        <v>134</v>
      </c>
      <c r="AB44" s="53">
        <v>46003.695138888892</v>
      </c>
      <c r="AC44" s="40"/>
      <c r="AD44" s="40"/>
      <c r="AE44" s="40"/>
      <c r="AF44" s="40"/>
      <c r="AG44" s="40" t="s">
        <v>141</v>
      </c>
      <c r="AH44" s="10"/>
      <c r="AI44" s="87"/>
      <c r="AJ44" s="87" cm="1">
        <f t="array" ref="AJ44">IFERROR(_xlfn.XLOOKUP(TRUE,COUNTIF(Tabla[[#This Row],[Etiquetas]:[Etiquetas17]],Versiones!$G$2:$G$36)&gt;0,Versiones!$B$2:$B$36), "")</f>
        <v>25</v>
      </c>
      <c r="AK44" s="87" t="str" cm="1">
        <f t="array" ref="AK44">IFERROR(_xlfn.XLOOKUP(TRUE,COUNTIF(Tabla[[#This Row],[Etiquetas]:[Etiquetas17]],Versiones!$G$2:$G$36)&gt;0,Versiones!$A$2:$A$36), "")</f>
        <v>V0.15</v>
      </c>
      <c r="AL4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44" s="78" t="str">
        <f>IFERROR(_xlfn.XLOOKUP(Tabla[[#This Row],[¿En qué versión fue corregido?]],Versiones!$A$2:$A$34,Versiones!$B$2:$B$34),"No encontrado")</f>
        <v>No encontrado</v>
      </c>
      <c r="AN44" s="88" t="str" cm="1">
        <f t="array" ref="AN44">IFERROR(_xlfn.XLOOKUP(TRUE,COUNTIF(Tabla[[#This Row],[Etiquetas]:[Etiquetas17]],Categorías!$A$2:$A$12)&gt;0,Categorías!$A$2:$A$12),"No encontrado")</f>
        <v>Look&amp;Feel</v>
      </c>
      <c r="AO44" s="87" t="str" cm="1">
        <f t="array" ref="AO44">IFERROR(INDEX(Funcionalidades!$A$2:$A$80,MATCH(TRUE, COUNTIF(Reporte_Gral!R44:Z44,Funcionalidades!$A$2:$A$80)&gt;0,0)),"No encontrado")</f>
        <v>Entrega-De-Valores</v>
      </c>
      <c r="AP44" s="87" t="str">
        <f>IF(AND(COUNTIF(Tabla[[#This Row],[Etiquetas]:[Etiquetas17]],"*UAT_V*")&gt;0,COUNTIF(Tabla[[#This Row],[Etiquetas]:[Etiquetas17]],"*QA-Integración*")=0),"SI","")</f>
        <v/>
      </c>
      <c r="AQ44" s="88" t="str" cm="1">
        <f t="array" ref="AQ44">IF(Tabla[[#This Row],[Fue encontrado durante UAT?]]="SI",IFERROR(_xlfn.XLOOKUP(TRUE,ISNUMBER(SEARCH("UAT_V",Tabla[[#This Row],[Etiquetas]:[Etiquetas17]])),Tabla[[#This Row],[Etiquetas]:[Etiquetas17]]),""),"")</f>
        <v/>
      </c>
      <c r="AR44" s="87" t="str">
        <f>IF(COUNTIF(Tabla[[#This Row],[Etiquetas]:[Etiquetas17]],"*Devuelto*")&gt;0,"SI","")</f>
        <v/>
      </c>
      <c r="AS44" s="167">
        <f>COUNTIF(Tabla[[#This Row],[Etiquetas]:[Etiquetas17]],"*Devuelto*")</f>
        <v>0</v>
      </c>
    </row>
    <row r="45" spans="1:45">
      <c r="A45" s="40" t="s">
        <v>128</v>
      </c>
      <c r="B45" s="40" t="s">
        <v>265</v>
      </c>
      <c r="C45" s="40">
        <v>120242</v>
      </c>
      <c r="D45" s="40" t="s">
        <v>266</v>
      </c>
      <c r="E45" s="40" t="s">
        <v>37</v>
      </c>
      <c r="F45" s="40" t="s">
        <v>27</v>
      </c>
      <c r="G45" s="40" t="s">
        <v>224</v>
      </c>
      <c r="H45" s="40" t="s">
        <v>151</v>
      </c>
      <c r="I45" s="40"/>
      <c r="J45" s="40"/>
      <c r="K45" s="40"/>
      <c r="L45" s="40"/>
      <c r="M45" s="40"/>
      <c r="N45" s="40"/>
      <c r="O45" s="40"/>
      <c r="P45" s="40"/>
      <c r="Q45" s="40"/>
      <c r="R45" s="40" t="s">
        <v>191</v>
      </c>
      <c r="S45" s="40" t="s">
        <v>132</v>
      </c>
      <c r="T45" s="40" t="s">
        <v>133</v>
      </c>
      <c r="U45" s="40" t="s">
        <v>204</v>
      </c>
      <c r="V45" s="40" t="s">
        <v>154</v>
      </c>
      <c r="W45" s="40"/>
      <c r="X45" s="40"/>
      <c r="Y45" s="40"/>
      <c r="Z45" s="40"/>
      <c r="AA45" s="40" t="s">
        <v>217</v>
      </c>
      <c r="AB45" s="53">
        <v>46003.694444444445</v>
      </c>
      <c r="AC45" s="40" t="s">
        <v>174</v>
      </c>
      <c r="AD45" s="40"/>
      <c r="AE45" s="40"/>
      <c r="AF45" s="40"/>
      <c r="AG45" s="40" t="s">
        <v>141</v>
      </c>
      <c r="AH45" s="10"/>
      <c r="AI45" s="87"/>
      <c r="AJ45" s="87" cm="1">
        <f t="array" ref="AJ45">IFERROR(_xlfn.XLOOKUP(TRUE,COUNTIF(Tabla[[#This Row],[Etiquetas]:[Etiquetas17]],Versiones!$G$2:$G$36)&gt;0,Versiones!$B$2:$B$36), "")</f>
        <v>25</v>
      </c>
      <c r="AK45" s="87" t="str" cm="1">
        <f t="array" ref="AK45">IFERROR(_xlfn.XLOOKUP(TRUE,COUNTIF(Tabla[[#This Row],[Etiquetas]:[Etiquetas17]],Versiones!$G$2:$G$36)&gt;0,Versiones!$A$2:$A$36), "")</f>
        <v>V0.15</v>
      </c>
      <c r="AL4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5" s="78">
        <f>IFERROR(_xlfn.XLOOKUP(Tabla[[#This Row],[¿En qué versión fue corregido?]],Versiones!$A$2:$A$34,Versiones!$B$2:$B$34),"No encontrado")</f>
        <v>25</v>
      </c>
      <c r="AN45" s="88" t="str" cm="1">
        <f t="array" ref="AN45">IFERROR(_xlfn.XLOOKUP(TRUE,COUNTIF(Tabla[[#This Row],[Etiquetas]:[Etiquetas17]],Categorías!$A$2:$A$12)&gt;0,Categorías!$A$2:$A$12),"No encontrado")</f>
        <v>Look&amp;Feel</v>
      </c>
      <c r="AO45" s="87" t="str" cm="1">
        <f t="array" ref="AO45">IFERROR(INDEX(Funcionalidades!$A$2:$A$80,MATCH(TRUE, COUNTIF(Reporte_Gral!R45:Z45,Funcionalidades!$A$2:$A$80)&gt;0,0)),"No encontrado")</f>
        <v>Entrega-De-Valores</v>
      </c>
      <c r="AP45" s="87" t="str">
        <f>IF(AND(COUNTIF(Tabla[[#This Row],[Etiquetas]:[Etiquetas17]],"*UAT_V*")&gt;0,COUNTIF(Tabla[[#This Row],[Etiquetas]:[Etiquetas17]],"*QA-Integración*")=0),"SI","")</f>
        <v/>
      </c>
      <c r="AQ45" s="88" t="str" cm="1">
        <f t="array" ref="AQ45">IF(Tabla[[#This Row],[Fue encontrado durante UAT?]]="SI",IFERROR(_xlfn.XLOOKUP(TRUE,ISNUMBER(SEARCH("UAT_V",Tabla[[#This Row],[Etiquetas]:[Etiquetas17]])),Tabla[[#This Row],[Etiquetas]:[Etiquetas17]]),""),"")</f>
        <v/>
      </c>
      <c r="AR45" s="87" t="str">
        <f>IF(COUNTIF(Tabla[[#This Row],[Etiquetas]:[Etiquetas17]],"*Devuelto*")&gt;0,"SI","")</f>
        <v/>
      </c>
      <c r="AS45" s="167">
        <f>COUNTIF(Tabla[[#This Row],[Etiquetas]:[Etiquetas17]],"*Devuelto*")</f>
        <v>0</v>
      </c>
    </row>
    <row r="46" spans="1:45">
      <c r="A46" s="40" t="s">
        <v>128</v>
      </c>
      <c r="B46" s="40" t="s">
        <v>267</v>
      </c>
      <c r="C46" s="40">
        <v>120240</v>
      </c>
      <c r="D46" s="40" t="s">
        <v>268</v>
      </c>
      <c r="E46" s="40" t="s">
        <v>37</v>
      </c>
      <c r="F46" s="40" t="s">
        <v>26</v>
      </c>
      <c r="G46" s="40" t="s">
        <v>224</v>
      </c>
      <c r="H46" s="40" t="s">
        <v>151</v>
      </c>
      <c r="I46" s="40"/>
      <c r="J46" s="40"/>
      <c r="K46" s="40"/>
      <c r="L46" s="40"/>
      <c r="M46" s="40"/>
      <c r="N46" s="40"/>
      <c r="O46" s="40"/>
      <c r="P46" s="40"/>
      <c r="Q46" s="40"/>
      <c r="R46" s="40" t="s">
        <v>191</v>
      </c>
      <c r="S46" s="40" t="s">
        <v>132</v>
      </c>
      <c r="T46" s="40" t="s">
        <v>133</v>
      </c>
      <c r="U46" s="40" t="s">
        <v>204</v>
      </c>
      <c r="V46" s="40" t="s">
        <v>154</v>
      </c>
      <c r="W46" s="40"/>
      <c r="X46" s="40"/>
      <c r="Y46" s="40"/>
      <c r="Z46" s="40"/>
      <c r="AA46" s="40" t="s">
        <v>217</v>
      </c>
      <c r="AB46" s="53">
        <v>46003.69027777778</v>
      </c>
      <c r="AC46" s="40" t="s">
        <v>174</v>
      </c>
      <c r="AD46" s="40"/>
      <c r="AE46" s="40"/>
      <c r="AF46" s="40"/>
      <c r="AG46" s="40" t="s">
        <v>141</v>
      </c>
      <c r="AH46" s="10"/>
      <c r="AI46" s="87"/>
      <c r="AJ46" s="87" cm="1">
        <f t="array" ref="AJ46">IFERROR(_xlfn.XLOOKUP(TRUE,COUNTIF(Tabla[[#This Row],[Etiquetas]:[Etiquetas17]],Versiones!$G$2:$G$36)&gt;0,Versiones!$B$2:$B$36), "")</f>
        <v>25</v>
      </c>
      <c r="AK46" s="87" t="str" cm="1">
        <f t="array" ref="AK46">IFERROR(_xlfn.XLOOKUP(TRUE,COUNTIF(Tabla[[#This Row],[Etiquetas]:[Etiquetas17]],Versiones!$G$2:$G$36)&gt;0,Versiones!$A$2:$A$36), "")</f>
        <v>V0.15</v>
      </c>
      <c r="AL4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6" s="78">
        <f>IFERROR(_xlfn.XLOOKUP(Tabla[[#This Row],[¿En qué versión fue corregido?]],Versiones!$A$2:$A$34,Versiones!$B$2:$B$34),"No encontrado")</f>
        <v>25</v>
      </c>
      <c r="AN46" s="88" t="str" cm="1">
        <f t="array" ref="AN46">IFERROR(_xlfn.XLOOKUP(TRUE,COUNTIF(Tabla[[#This Row],[Etiquetas]:[Etiquetas17]],Categorías!$A$2:$A$12)&gt;0,Categorías!$A$2:$A$12),"No encontrado")</f>
        <v>Look&amp;Feel</v>
      </c>
      <c r="AO46" s="87" t="str" cm="1">
        <f t="array" ref="AO46">IFERROR(INDEX(Funcionalidades!$A$2:$A$80,MATCH(TRUE, COUNTIF(Reporte_Gral!R46:Z46,Funcionalidades!$A$2:$A$80)&gt;0,0)),"No encontrado")</f>
        <v>Entrega-De-Valores</v>
      </c>
      <c r="AP46" s="87" t="str">
        <f>IF(AND(COUNTIF(Tabla[[#This Row],[Etiquetas]:[Etiquetas17]],"*UAT_V*")&gt;0,COUNTIF(Tabla[[#This Row],[Etiquetas]:[Etiquetas17]],"*QA-Integración*")=0),"SI","")</f>
        <v/>
      </c>
      <c r="AQ46" s="88" t="str" cm="1">
        <f t="array" ref="AQ46">IF(Tabla[[#This Row],[Fue encontrado durante UAT?]]="SI",IFERROR(_xlfn.XLOOKUP(TRUE,ISNUMBER(SEARCH("UAT_V",Tabla[[#This Row],[Etiquetas]:[Etiquetas17]])),Tabla[[#This Row],[Etiquetas]:[Etiquetas17]]),""),"")</f>
        <v/>
      </c>
      <c r="AR46" s="87" t="str">
        <f>IF(COUNTIF(Tabla[[#This Row],[Etiquetas]:[Etiquetas17]],"*Devuelto*")&gt;0,"SI","")</f>
        <v/>
      </c>
      <c r="AS46" s="167">
        <f>COUNTIF(Tabla[[#This Row],[Etiquetas]:[Etiquetas17]],"*Devuelto*")</f>
        <v>0</v>
      </c>
    </row>
    <row r="47" spans="1:45">
      <c r="A47" s="40" t="s">
        <v>128</v>
      </c>
      <c r="B47" s="40" t="s">
        <v>269</v>
      </c>
      <c r="C47" s="40">
        <v>120227</v>
      </c>
      <c r="D47" s="40" t="s">
        <v>270</v>
      </c>
      <c r="E47" s="40" t="s">
        <v>37</v>
      </c>
      <c r="F47" s="40" t="s">
        <v>26</v>
      </c>
      <c r="G47" s="40" t="s">
        <v>224</v>
      </c>
      <c r="H47" s="40" t="s">
        <v>151</v>
      </c>
      <c r="I47" s="40"/>
      <c r="J47" s="40"/>
      <c r="K47" s="40"/>
      <c r="L47" s="40"/>
      <c r="M47" s="40"/>
      <c r="N47" s="40"/>
      <c r="O47" s="40"/>
      <c r="P47" s="40"/>
      <c r="Q47" s="40"/>
      <c r="R47" s="40" t="s">
        <v>191</v>
      </c>
      <c r="S47" s="40" t="s">
        <v>132</v>
      </c>
      <c r="T47" s="40" t="s">
        <v>133</v>
      </c>
      <c r="U47" s="40" t="s">
        <v>204</v>
      </c>
      <c r="V47" s="40" t="s">
        <v>154</v>
      </c>
      <c r="W47" s="40"/>
      <c r="X47" s="40"/>
      <c r="Y47" s="40"/>
      <c r="Z47" s="40"/>
      <c r="AA47" s="40" t="s">
        <v>217</v>
      </c>
      <c r="AB47" s="53">
        <v>46003.683333333334</v>
      </c>
      <c r="AC47" s="40" t="s">
        <v>174</v>
      </c>
      <c r="AD47" s="40"/>
      <c r="AE47" s="40"/>
      <c r="AF47" s="40"/>
      <c r="AG47" s="40" t="s">
        <v>141</v>
      </c>
      <c r="AH47" s="10"/>
      <c r="AI47" s="87"/>
      <c r="AJ47" s="87" cm="1">
        <f t="array" ref="AJ47">IFERROR(_xlfn.XLOOKUP(TRUE,COUNTIF(Tabla[[#This Row],[Etiquetas]:[Etiquetas17]],Versiones!$G$2:$G$36)&gt;0,Versiones!$B$2:$B$36), "")</f>
        <v>25</v>
      </c>
      <c r="AK47" s="87" t="str" cm="1">
        <f t="array" ref="AK47">IFERROR(_xlfn.XLOOKUP(TRUE,COUNTIF(Tabla[[#This Row],[Etiquetas]:[Etiquetas17]],Versiones!$G$2:$G$36)&gt;0,Versiones!$A$2:$A$36), "")</f>
        <v>V0.15</v>
      </c>
      <c r="AL4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7" s="78">
        <f>IFERROR(_xlfn.XLOOKUP(Tabla[[#This Row],[¿En qué versión fue corregido?]],Versiones!$A$2:$A$34,Versiones!$B$2:$B$34),"No encontrado")</f>
        <v>25</v>
      </c>
      <c r="AN47" s="88" t="str" cm="1">
        <f t="array" ref="AN47">IFERROR(_xlfn.XLOOKUP(TRUE,COUNTIF(Tabla[[#This Row],[Etiquetas]:[Etiquetas17]],Categorías!$A$2:$A$12)&gt;0,Categorías!$A$2:$A$12),"No encontrado")</f>
        <v>Look&amp;Feel</v>
      </c>
      <c r="AO47" s="87" t="str" cm="1">
        <f t="array" ref="AO47">IFERROR(INDEX(Funcionalidades!$A$2:$A$80,MATCH(TRUE, COUNTIF(Reporte_Gral!R47:Z47,Funcionalidades!$A$2:$A$80)&gt;0,0)),"No encontrado")</f>
        <v>Entrega-De-Valores</v>
      </c>
      <c r="AP47" s="87" t="str">
        <f>IF(AND(COUNTIF(Tabla[[#This Row],[Etiquetas]:[Etiquetas17]],"*UAT_V*")&gt;0,COUNTIF(Tabla[[#This Row],[Etiquetas]:[Etiquetas17]],"*QA-Integración*")=0),"SI","")</f>
        <v/>
      </c>
      <c r="AQ47" s="88" t="str" cm="1">
        <f t="array" ref="AQ47">IF(Tabla[[#This Row],[Fue encontrado durante UAT?]]="SI",IFERROR(_xlfn.XLOOKUP(TRUE,ISNUMBER(SEARCH("UAT_V",Tabla[[#This Row],[Etiquetas]:[Etiquetas17]])),Tabla[[#This Row],[Etiquetas]:[Etiquetas17]]),""),"")</f>
        <v/>
      </c>
      <c r="AR47" s="87" t="str">
        <f>IF(COUNTIF(Tabla[[#This Row],[Etiquetas]:[Etiquetas17]],"*Devuelto*")&gt;0,"SI","")</f>
        <v/>
      </c>
      <c r="AS47" s="167">
        <f>COUNTIF(Tabla[[#This Row],[Etiquetas]:[Etiquetas17]],"*Devuelto*")</f>
        <v>0</v>
      </c>
    </row>
    <row r="48" spans="1:45">
      <c r="A48" s="40" t="s">
        <v>128</v>
      </c>
      <c r="B48" s="40" t="s">
        <v>271</v>
      </c>
      <c r="C48" s="40">
        <v>120226</v>
      </c>
      <c r="D48" s="40" t="s">
        <v>272</v>
      </c>
      <c r="E48" s="40" t="s">
        <v>37</v>
      </c>
      <c r="F48" s="40" t="s">
        <v>27</v>
      </c>
      <c r="G48" s="40" t="s">
        <v>224</v>
      </c>
      <c r="H48" s="40" t="s">
        <v>151</v>
      </c>
      <c r="I48" s="40"/>
      <c r="J48" s="40"/>
      <c r="K48" s="40"/>
      <c r="L48" s="40"/>
      <c r="M48" s="40"/>
      <c r="N48" s="40"/>
      <c r="O48" s="40"/>
      <c r="P48" s="40"/>
      <c r="Q48" s="40"/>
      <c r="R48" s="40" t="s">
        <v>273</v>
      </c>
      <c r="S48" s="40" t="s">
        <v>191</v>
      </c>
      <c r="T48" s="40" t="s">
        <v>132</v>
      </c>
      <c r="U48" s="40" t="s">
        <v>133</v>
      </c>
      <c r="V48" s="40" t="s">
        <v>204</v>
      </c>
      <c r="W48" s="40" t="s">
        <v>154</v>
      </c>
      <c r="X48" s="40"/>
      <c r="Y48" s="40"/>
      <c r="Z48" s="40"/>
      <c r="AA48" s="40" t="s">
        <v>217</v>
      </c>
      <c r="AB48" s="53">
        <v>46003.682638888888</v>
      </c>
      <c r="AC48" s="40" t="s">
        <v>174</v>
      </c>
      <c r="AD48" s="40"/>
      <c r="AE48" s="40"/>
      <c r="AF48" s="40"/>
      <c r="AG48" s="40" t="s">
        <v>141</v>
      </c>
      <c r="AH48" s="10"/>
      <c r="AI48" s="87"/>
      <c r="AJ48" s="87" cm="1">
        <f t="array" ref="AJ48">IFERROR(_xlfn.XLOOKUP(TRUE,COUNTIF(Tabla[[#This Row],[Etiquetas]:[Etiquetas17]],Versiones!$G$2:$G$36)&gt;0,Versiones!$B$2:$B$36), "")</f>
        <v>25</v>
      </c>
      <c r="AK48" s="87" t="str" cm="1">
        <f t="array" ref="AK48">IFERROR(_xlfn.XLOOKUP(TRUE,COUNTIF(Tabla[[#This Row],[Etiquetas]:[Etiquetas17]],Versiones!$G$2:$G$36)&gt;0,Versiones!$A$2:$A$36), "")</f>
        <v>V0.15</v>
      </c>
      <c r="AL4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48" s="78">
        <f>IFERROR(_xlfn.XLOOKUP(Tabla[[#This Row],[¿En qué versión fue corregido?]],Versiones!$A$2:$A$34,Versiones!$B$2:$B$34),"No encontrado")</f>
        <v>25</v>
      </c>
      <c r="AN48" s="88" t="str" cm="1">
        <f t="array" ref="AN48">IFERROR(_xlfn.XLOOKUP(TRUE,COUNTIF(Tabla[[#This Row],[Etiquetas]:[Etiquetas17]],Categorías!$A$2:$A$12)&gt;0,Categorías!$A$2:$A$12),"No encontrado")</f>
        <v>Look&amp;Feel</v>
      </c>
      <c r="AO48" s="87" t="str" cm="1">
        <f t="array" ref="AO48">IFERROR(INDEX(Funcionalidades!$A$2:$A$80,MATCH(TRUE, COUNTIF(Reporte_Gral!R48:Z48,Funcionalidades!$A$2:$A$80)&gt;0,0)),"No encontrado")</f>
        <v>Entrega-De-Valores</v>
      </c>
      <c r="AP48" s="87" t="str">
        <f>IF(AND(COUNTIF(Tabla[[#This Row],[Etiquetas]:[Etiquetas17]],"*UAT_V*")&gt;0,COUNTIF(Tabla[[#This Row],[Etiquetas]:[Etiquetas17]],"*QA-Integración*")=0),"SI","")</f>
        <v/>
      </c>
      <c r="AQ48" s="88" t="str" cm="1">
        <f t="array" ref="AQ48">IF(Tabla[[#This Row],[Fue encontrado durante UAT?]]="SI",IFERROR(_xlfn.XLOOKUP(TRUE,ISNUMBER(SEARCH("UAT_V",Tabla[[#This Row],[Etiquetas]:[Etiquetas17]])),Tabla[[#This Row],[Etiquetas]:[Etiquetas17]]),""),"")</f>
        <v/>
      </c>
      <c r="AR48" s="87" t="str">
        <f>IF(COUNTIF(Tabla[[#This Row],[Etiquetas]:[Etiquetas17]],"*Devuelto*")&gt;0,"SI","")</f>
        <v>SI</v>
      </c>
      <c r="AS48" s="167">
        <f>COUNTIF(Tabla[[#This Row],[Etiquetas]:[Etiquetas17]],"*Devuelto*")</f>
        <v>1</v>
      </c>
    </row>
    <row r="49" spans="1:45">
      <c r="A49" s="40" t="s">
        <v>128</v>
      </c>
      <c r="B49" s="40" t="s">
        <v>274</v>
      </c>
      <c r="C49" s="40">
        <v>119805</v>
      </c>
      <c r="D49" s="40" t="s">
        <v>275</v>
      </c>
      <c r="E49" s="40" t="s">
        <v>37</v>
      </c>
      <c r="F49" s="40" t="s">
        <v>27</v>
      </c>
      <c r="G49" s="40" t="s">
        <v>151</v>
      </c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 t="s">
        <v>139</v>
      </c>
      <c r="S49" s="40" t="s">
        <v>276</v>
      </c>
      <c r="T49" s="40" t="s">
        <v>204</v>
      </c>
      <c r="U49" s="40" t="s">
        <v>154</v>
      </c>
      <c r="V49" s="40" t="s">
        <v>33</v>
      </c>
      <c r="W49" s="40"/>
      <c r="X49" s="40"/>
      <c r="Y49" s="40"/>
      <c r="Z49" s="40"/>
      <c r="AA49" s="40" t="s">
        <v>134</v>
      </c>
      <c r="AB49" s="53">
        <v>46002.70208333333</v>
      </c>
      <c r="AC49" s="40" t="s">
        <v>155</v>
      </c>
      <c r="AD49" s="40"/>
      <c r="AE49" s="40"/>
      <c r="AF49" s="40"/>
      <c r="AG49" s="40" t="s">
        <v>141</v>
      </c>
      <c r="AH49" s="10"/>
      <c r="AI49" s="87"/>
      <c r="AJ49" s="87" cm="1">
        <f t="array" ref="AJ49">IFERROR(_xlfn.XLOOKUP(TRUE,COUNTIF(Tabla[[#This Row],[Etiquetas]:[Etiquetas17]],Versiones!$G$2:$G$36)&gt;0,Versiones!$B$2:$B$36), "")</f>
        <v>23</v>
      </c>
      <c r="AK49" s="87" t="str" cm="1">
        <f t="array" ref="AK49">IFERROR(_xlfn.XLOOKUP(TRUE,COUNTIF(Tabla[[#This Row],[Etiquetas]:[Etiquetas17]],Versiones!$G$2:$G$36)&gt;0,Versiones!$A$2:$A$36), "")</f>
        <v>V0.13</v>
      </c>
      <c r="AL4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49" s="78">
        <f>IFERROR(_xlfn.XLOOKUP(Tabla[[#This Row],[¿En qué versión fue corregido?]],Versiones!$A$2:$A$34,Versiones!$B$2:$B$34),"No encontrado")</f>
        <v>0</v>
      </c>
      <c r="AN49" s="88" t="str" cm="1">
        <f t="array" ref="AN49">IFERROR(_xlfn.XLOOKUP(TRUE,COUNTIF(Tabla[[#This Row],[Etiquetas]:[Etiquetas17]],Categorías!$A$2:$A$12)&gt;0,Categorías!$A$2:$A$12),"No encontrado")</f>
        <v>Funcional</v>
      </c>
      <c r="AO49" s="87" t="str" cm="1">
        <f t="array" ref="AO49">IFERROR(INDEX(Funcionalidades!$A$2:$A$80,MATCH(TRUE, COUNTIF(Reporte_Gral!R49:Z49,Funcionalidades!$A$2:$A$80)&gt;0,0)),"No encontrado")</f>
        <v>Reporte-De-Inventario</v>
      </c>
      <c r="AP49" s="87" t="str">
        <f>IF(AND(COUNTIF(Tabla[[#This Row],[Etiquetas]:[Etiquetas17]],"*UAT_V*")&gt;0,COUNTIF(Tabla[[#This Row],[Etiquetas]:[Etiquetas17]],"*QA-Integración*")=0),"SI","")</f>
        <v>SI</v>
      </c>
      <c r="AQ49" s="88" t="str" cm="1">
        <f t="array" ref="AQ49">IF(Tabla[[#This Row],[Fue encontrado durante UAT?]]="SI",IFERROR(_xlfn.XLOOKUP(TRUE,ISNUMBER(SEARCH("UAT_V",Tabla[[#This Row],[Etiquetas]:[Etiquetas17]])),Tabla[[#This Row],[Etiquetas]:[Etiquetas17]]),""),"")</f>
        <v>UAT_V0.13</v>
      </c>
      <c r="AR49" s="87" t="str">
        <f>IF(COUNTIF(Tabla[[#This Row],[Etiquetas]:[Etiquetas17]],"*Devuelto*")&gt;0,"SI","")</f>
        <v/>
      </c>
      <c r="AS49" s="167">
        <f>COUNTIF(Tabla[[#This Row],[Etiquetas]:[Etiquetas17]],"*Devuelto*")</f>
        <v>0</v>
      </c>
    </row>
    <row r="50" spans="1:45">
      <c r="A50" s="40" t="s">
        <v>128</v>
      </c>
      <c r="B50" s="40" t="s">
        <v>277</v>
      </c>
      <c r="C50" s="40">
        <v>119803</v>
      </c>
      <c r="D50" s="40" t="s">
        <v>278</v>
      </c>
      <c r="E50" s="40" t="s">
        <v>36</v>
      </c>
      <c r="F50" s="40" t="s">
        <v>24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 t="s">
        <v>139</v>
      </c>
      <c r="S50" s="40" t="s">
        <v>276</v>
      </c>
      <c r="T50" s="40" t="s">
        <v>33</v>
      </c>
      <c r="U50" s="40"/>
      <c r="V50" s="40"/>
      <c r="W50" s="40"/>
      <c r="X50" s="40"/>
      <c r="Y50" s="40"/>
      <c r="Z50" s="40"/>
      <c r="AA50" s="40" t="s">
        <v>134</v>
      </c>
      <c r="AB50" s="53">
        <v>46002.695138888892</v>
      </c>
      <c r="AC50" s="40"/>
      <c r="AD50" s="40"/>
      <c r="AE50" s="40"/>
      <c r="AF50" s="40"/>
      <c r="AG50" s="40" t="s">
        <v>141</v>
      </c>
      <c r="AH50" s="10"/>
      <c r="AI50" s="87"/>
      <c r="AJ50" s="87" cm="1">
        <f t="array" ref="AJ50">IFERROR(_xlfn.XLOOKUP(TRUE,COUNTIF(Tabla[[#This Row],[Etiquetas]:[Etiquetas17]],Versiones!$G$2:$G$36)&gt;0,Versiones!$B$2:$B$36), "")</f>
        <v>23</v>
      </c>
      <c r="AK50" s="87" t="str" cm="1">
        <f t="array" ref="AK50">IFERROR(_xlfn.XLOOKUP(TRUE,COUNTIF(Tabla[[#This Row],[Etiquetas]:[Etiquetas17]],Versiones!$G$2:$G$36)&gt;0,Versiones!$A$2:$A$36), "")</f>
        <v>V0.13</v>
      </c>
      <c r="AL5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0" s="78" t="str">
        <f>IFERROR(_xlfn.XLOOKUP(Tabla[[#This Row],[¿En qué versión fue corregido?]],Versiones!$A$2:$A$34,Versiones!$B$2:$B$34),"No encontrado")</f>
        <v>No encontrado</v>
      </c>
      <c r="AN50" s="88" t="str" cm="1">
        <f t="array" ref="AN50">IFERROR(_xlfn.XLOOKUP(TRUE,COUNTIF(Tabla[[#This Row],[Etiquetas]:[Etiquetas17]],Categorías!$A$2:$A$12)&gt;0,Categorías!$A$2:$A$12),"No encontrado")</f>
        <v>Funcional</v>
      </c>
      <c r="AO50" s="87" t="str" cm="1">
        <f t="array" ref="AO50">IFERROR(INDEX(Funcionalidades!$A$2:$A$80,MATCH(TRUE, COUNTIF(Reporte_Gral!R50:Z50,Funcionalidades!$A$2:$A$80)&gt;0,0)),"No encontrado")</f>
        <v>Reporte-De-Inventario</v>
      </c>
      <c r="AP50" s="87" t="str">
        <f>IF(AND(COUNTIF(Tabla[[#This Row],[Etiquetas]:[Etiquetas17]],"*UAT_V*")&gt;0,COUNTIF(Tabla[[#This Row],[Etiquetas]:[Etiquetas17]],"*QA-Integración*")=0),"SI","")</f>
        <v>SI</v>
      </c>
      <c r="AQ50" s="88" t="str" cm="1">
        <f t="array" ref="AQ50">IF(Tabla[[#This Row],[Fue encontrado durante UAT?]]="SI",IFERROR(_xlfn.XLOOKUP(TRUE,ISNUMBER(SEARCH("UAT_V",Tabla[[#This Row],[Etiquetas]:[Etiquetas17]])),Tabla[[#This Row],[Etiquetas]:[Etiquetas17]]),""),"")</f>
        <v>UAT_V0.13</v>
      </c>
      <c r="AR50" s="87" t="str">
        <f>IF(COUNTIF(Tabla[[#This Row],[Etiquetas]:[Etiquetas17]],"*Devuelto*")&gt;0,"SI","")</f>
        <v/>
      </c>
      <c r="AS50" s="167">
        <f>COUNTIF(Tabla[[#This Row],[Etiquetas]:[Etiquetas17]],"*Devuelto*")</f>
        <v>0</v>
      </c>
    </row>
    <row r="51" spans="1:45">
      <c r="A51" s="40" t="s">
        <v>128</v>
      </c>
      <c r="B51" s="40" t="s">
        <v>279</v>
      </c>
      <c r="C51" s="40">
        <v>119795</v>
      </c>
      <c r="D51" s="40" t="s">
        <v>280</v>
      </c>
      <c r="E51" s="40" t="s">
        <v>37</v>
      </c>
      <c r="F51" s="40" t="s">
        <v>27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 t="s">
        <v>234</v>
      </c>
      <c r="S51" s="40" t="s">
        <v>139</v>
      </c>
      <c r="T51" s="40" t="s">
        <v>281</v>
      </c>
      <c r="U51" s="40"/>
      <c r="V51" s="40"/>
      <c r="W51" s="40"/>
      <c r="X51" s="40"/>
      <c r="Y51" s="40"/>
      <c r="Z51" s="40"/>
      <c r="AA51" s="40" t="s">
        <v>134</v>
      </c>
      <c r="AB51" s="53">
        <v>46002.677083333336</v>
      </c>
      <c r="AC51" s="40"/>
      <c r="AD51" s="40"/>
      <c r="AE51" s="40"/>
      <c r="AF51" s="40"/>
      <c r="AG51" s="40" t="s">
        <v>141</v>
      </c>
      <c r="AH51" s="10"/>
      <c r="AI51" s="87"/>
      <c r="AJ51" s="87" cm="1">
        <f t="array" ref="AJ51">IFERROR(_xlfn.XLOOKUP(TRUE,COUNTIF(Tabla[[#This Row],[Etiquetas]:[Etiquetas17]],Versiones!$G$2:$G$36)&gt;0,Versiones!$B$2:$B$36), "")</f>
        <v>24</v>
      </c>
      <c r="AK51" s="87" t="str" cm="1">
        <f t="array" ref="AK51">IFERROR(_xlfn.XLOOKUP(TRUE,COUNTIF(Tabla[[#This Row],[Etiquetas]:[Etiquetas17]],Versiones!$G$2:$G$36)&gt;0,Versiones!$A$2:$A$36), "")</f>
        <v>V0.14</v>
      </c>
      <c r="AL5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1" s="78" t="str">
        <f>IFERROR(_xlfn.XLOOKUP(Tabla[[#This Row],[¿En qué versión fue corregido?]],Versiones!$A$2:$A$34,Versiones!$B$2:$B$34),"No encontrado")</f>
        <v>No encontrado</v>
      </c>
      <c r="AN51" s="88" t="str" cm="1">
        <f t="array" ref="AN51">IFERROR(_xlfn.XLOOKUP(TRUE,COUNTIF(Tabla[[#This Row],[Etiquetas]:[Etiquetas17]],Categorías!$A$2:$A$12)&gt;0,Categorías!$A$2:$A$12),"No encontrado")</f>
        <v>Funcional</v>
      </c>
      <c r="AO51" s="87" t="str" cm="1">
        <f t="array" ref="AO51">IFERROR(INDEX(Funcionalidades!$A$2:$A$80,MATCH(TRUE, COUNTIF(Reporte_Gral!R51:Z51,Funcionalidades!$A$2:$A$80)&gt;0,0)),"No encontrado")</f>
        <v>Dashboard-Productos</v>
      </c>
      <c r="AP51" s="87" t="str">
        <f>IF(AND(COUNTIF(Tabla[[#This Row],[Etiquetas]:[Etiquetas17]],"*UAT_V*")&gt;0,COUNTIF(Tabla[[#This Row],[Etiquetas]:[Etiquetas17]],"*QA-Integración*")=0),"SI","")</f>
        <v/>
      </c>
      <c r="AQ51" s="88" t="str" cm="1">
        <f t="array" ref="AQ51">IF(Tabla[[#This Row],[Fue encontrado durante UAT?]]="SI",IFERROR(_xlfn.XLOOKUP(TRUE,ISNUMBER(SEARCH("UAT_V",Tabla[[#This Row],[Etiquetas]:[Etiquetas17]])),Tabla[[#This Row],[Etiquetas]:[Etiquetas17]]),""),"")</f>
        <v/>
      </c>
      <c r="AR51" s="87" t="str">
        <f>IF(COUNTIF(Tabla[[#This Row],[Etiquetas]:[Etiquetas17]],"*Devuelto*")&gt;0,"SI","")</f>
        <v/>
      </c>
      <c r="AS51" s="167">
        <f>COUNTIF(Tabla[[#This Row],[Etiquetas]:[Etiquetas17]],"*Devuelto*")</f>
        <v>0</v>
      </c>
    </row>
    <row r="52" spans="1:45">
      <c r="A52" s="40" t="s">
        <v>128</v>
      </c>
      <c r="B52" s="40" t="s">
        <v>282</v>
      </c>
      <c r="C52" s="40">
        <v>119765</v>
      </c>
      <c r="D52" s="40" t="s">
        <v>283</v>
      </c>
      <c r="E52" s="40" t="s">
        <v>37</v>
      </c>
      <c r="F52" s="40" t="s">
        <v>26</v>
      </c>
      <c r="G52" s="40" t="s">
        <v>224</v>
      </c>
      <c r="H52" s="40" t="s">
        <v>151</v>
      </c>
      <c r="I52" s="40"/>
      <c r="J52" s="40"/>
      <c r="K52" s="40"/>
      <c r="L52" s="40"/>
      <c r="M52" s="40"/>
      <c r="N52" s="40"/>
      <c r="O52" s="40"/>
      <c r="P52" s="40"/>
      <c r="Q52" s="40"/>
      <c r="R52" s="40" t="s">
        <v>284</v>
      </c>
      <c r="S52" s="40" t="s">
        <v>132</v>
      </c>
      <c r="T52" s="40" t="s">
        <v>281</v>
      </c>
      <c r="U52" s="40" t="s">
        <v>153</v>
      </c>
      <c r="V52" s="40" t="s">
        <v>154</v>
      </c>
      <c r="W52" s="40"/>
      <c r="X52" s="40"/>
      <c r="Y52" s="40"/>
      <c r="Z52" s="40"/>
      <c r="AA52" s="40" t="s">
        <v>261</v>
      </c>
      <c r="AB52" s="53">
        <v>46002.638194444444</v>
      </c>
      <c r="AC52" s="40" t="s">
        <v>174</v>
      </c>
      <c r="AD52" s="40"/>
      <c r="AE52" s="40"/>
      <c r="AF52" s="40"/>
      <c r="AG52" s="40" t="s">
        <v>141</v>
      </c>
      <c r="AH52" s="10"/>
      <c r="AI52" s="87"/>
      <c r="AJ52" s="87" cm="1">
        <f t="array" ref="AJ52">IFERROR(_xlfn.XLOOKUP(TRUE,COUNTIF(Tabla[[#This Row],[Etiquetas]:[Etiquetas17]],Versiones!$G$2:$G$36)&gt;0,Versiones!$B$2:$B$36), "")</f>
        <v>24</v>
      </c>
      <c r="AK52" s="87" t="str" cm="1">
        <f t="array" ref="AK52">IFERROR(_xlfn.XLOOKUP(TRUE,COUNTIF(Tabla[[#This Row],[Etiquetas]:[Etiquetas17]],Versiones!$G$2:$G$36)&gt;0,Versiones!$A$2:$A$36), "")</f>
        <v>V0.14</v>
      </c>
      <c r="AL5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52" s="78">
        <f>IFERROR(_xlfn.XLOOKUP(Tabla[[#This Row],[¿En qué versión fue corregido?]],Versiones!$A$2:$A$34,Versiones!$B$2:$B$34),"No encontrado")</f>
        <v>25</v>
      </c>
      <c r="AN52" s="88" t="str" cm="1">
        <f t="array" ref="AN52">IFERROR(_xlfn.XLOOKUP(TRUE,COUNTIF(Tabla[[#This Row],[Etiquetas]:[Etiquetas17]],Categorías!$A$2:$A$12)&gt;0,Categorías!$A$2:$A$12),"No encontrado")</f>
        <v>Look&amp;Feel</v>
      </c>
      <c r="AO52" s="87" t="str" cm="1">
        <f t="array" ref="AO52">IFERROR(INDEX(Funcionalidades!$A$2:$A$80,MATCH(TRUE, COUNTIF(Reporte_Gral!R52:Z52,Funcionalidades!$A$2:$A$80)&gt;0,0)),"No encontrado")</f>
        <v>Dashboard-Ventas</v>
      </c>
      <c r="AP52" s="87" t="str">
        <f>IF(AND(COUNTIF(Tabla[[#This Row],[Etiquetas]:[Etiquetas17]],"*UAT_V*")&gt;0,COUNTIF(Tabla[[#This Row],[Etiquetas]:[Etiquetas17]],"*QA-Integración*")=0),"SI","")</f>
        <v/>
      </c>
      <c r="AQ52" s="88" t="str" cm="1">
        <f t="array" ref="AQ52">IF(Tabla[[#This Row],[Fue encontrado durante UAT?]]="SI",IFERROR(_xlfn.XLOOKUP(TRUE,ISNUMBER(SEARCH("UAT_V",Tabla[[#This Row],[Etiquetas]:[Etiquetas17]])),Tabla[[#This Row],[Etiquetas]:[Etiquetas17]]),""),"")</f>
        <v/>
      </c>
      <c r="AR52" s="87" t="str">
        <f>IF(COUNTIF(Tabla[[#This Row],[Etiquetas]:[Etiquetas17]],"*Devuelto*")&gt;0,"SI","")</f>
        <v/>
      </c>
      <c r="AS52" s="167">
        <f>COUNTIF(Tabla[[#This Row],[Etiquetas]:[Etiquetas17]],"*Devuelto*")</f>
        <v>0</v>
      </c>
    </row>
    <row r="53" spans="1:45">
      <c r="A53" s="40" t="s">
        <v>128</v>
      </c>
      <c r="B53" s="40" t="s">
        <v>285</v>
      </c>
      <c r="C53" s="40">
        <v>119724</v>
      </c>
      <c r="D53" s="40" t="s">
        <v>286</v>
      </c>
      <c r="E53" s="40" t="s">
        <v>36</v>
      </c>
      <c r="F53" s="40" t="s">
        <v>27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 t="s">
        <v>287</v>
      </c>
      <c r="S53" s="40" t="s">
        <v>281</v>
      </c>
      <c r="T53" s="40" t="s">
        <v>210</v>
      </c>
      <c r="U53" s="40" t="s">
        <v>194</v>
      </c>
      <c r="V53" s="40"/>
      <c r="W53" s="40"/>
      <c r="X53" s="40"/>
      <c r="Y53" s="40"/>
      <c r="Z53" s="40"/>
      <c r="AA53" s="40" t="s">
        <v>134</v>
      </c>
      <c r="AB53" s="53">
        <v>46002.527777777781</v>
      </c>
      <c r="AC53" s="40"/>
      <c r="AD53" s="40"/>
      <c r="AE53" s="40"/>
      <c r="AF53" s="40"/>
      <c r="AG53" s="40" t="s">
        <v>141</v>
      </c>
      <c r="AH53" s="10"/>
      <c r="AI53" s="87"/>
      <c r="AJ53" s="87" cm="1">
        <f t="array" ref="AJ53">IFERROR(_xlfn.XLOOKUP(TRUE,COUNTIF(Tabla[[#This Row],[Etiquetas]:[Etiquetas17]],Versiones!$G$2:$G$36)&gt;0,Versiones!$B$2:$B$36), "")</f>
        <v>24</v>
      </c>
      <c r="AK53" s="87" t="str" cm="1">
        <f t="array" ref="AK53">IFERROR(_xlfn.XLOOKUP(TRUE,COUNTIF(Tabla[[#This Row],[Etiquetas]:[Etiquetas17]],Versiones!$G$2:$G$36)&gt;0,Versiones!$A$2:$A$36), "")</f>
        <v>V0.14</v>
      </c>
      <c r="AL5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3" s="78" t="str">
        <f>IFERROR(_xlfn.XLOOKUP(Tabla[[#This Row],[¿En qué versión fue corregido?]],Versiones!$A$2:$A$34,Versiones!$B$2:$B$34),"No encontrado")</f>
        <v>No encontrado</v>
      </c>
      <c r="AN53" s="88" t="str" cm="1">
        <f t="array" ref="AN53">IFERROR(_xlfn.XLOOKUP(TRUE,COUNTIF(Tabla[[#This Row],[Etiquetas]:[Etiquetas17]],Categorías!$A$2:$A$12)&gt;0,Categorías!$A$2:$A$12),"No encontrado")</f>
        <v>Eventos_iOT</v>
      </c>
      <c r="AO53" s="87" t="str" cm="1">
        <f t="array" ref="AO53">IFERROR(INDEX(Funcionalidades!$A$2:$A$80,MATCH(TRUE, COUNTIF(Reporte_Gral!R53:Z53,Funcionalidades!$A$2:$A$80)&gt;0,0)),"No encontrado")</f>
        <v>Realizar-Transferencia</v>
      </c>
      <c r="AP53" s="87" t="str">
        <f>IF(AND(COUNTIF(Tabla[[#This Row],[Etiquetas]:[Etiquetas17]],"*UAT_V*")&gt;0,COUNTIF(Tabla[[#This Row],[Etiquetas]:[Etiquetas17]],"*QA-Integración*")=0),"SI","")</f>
        <v/>
      </c>
      <c r="AQ53" s="88" t="str" cm="1">
        <f t="array" ref="AQ53">IF(Tabla[[#This Row],[Fue encontrado durante UAT?]]="SI",IFERROR(_xlfn.XLOOKUP(TRUE,ISNUMBER(SEARCH("UAT_V",Tabla[[#This Row],[Etiquetas]:[Etiquetas17]])),Tabla[[#This Row],[Etiquetas]:[Etiquetas17]]),""),"")</f>
        <v/>
      </c>
      <c r="AR53" s="87" t="str">
        <f>IF(COUNTIF(Tabla[[#This Row],[Etiquetas]:[Etiquetas17]],"*Devuelto*")&gt;0,"SI","")</f>
        <v/>
      </c>
      <c r="AS53" s="167">
        <f>COUNTIF(Tabla[[#This Row],[Etiquetas]:[Etiquetas17]],"*Devuelto*")</f>
        <v>0</v>
      </c>
    </row>
    <row r="54" spans="1:45">
      <c r="A54" s="40" t="s">
        <v>128</v>
      </c>
      <c r="B54" s="40" t="s">
        <v>288</v>
      </c>
      <c r="C54" s="40">
        <v>119673</v>
      </c>
      <c r="D54" s="40" t="s">
        <v>289</v>
      </c>
      <c r="E54" s="40" t="s">
        <v>41</v>
      </c>
      <c r="F54" s="40" t="s">
        <v>26</v>
      </c>
      <c r="G54" s="40" t="s">
        <v>224</v>
      </c>
      <c r="H54" s="40" t="s">
        <v>151</v>
      </c>
      <c r="I54" s="40"/>
      <c r="J54" s="40"/>
      <c r="K54" s="40"/>
      <c r="L54" s="40"/>
      <c r="M54" s="40"/>
      <c r="N54" s="40"/>
      <c r="O54" s="40"/>
      <c r="P54" s="40"/>
      <c r="Q54" s="40"/>
      <c r="R54" s="40" t="s">
        <v>158</v>
      </c>
      <c r="S54" s="40" t="s">
        <v>139</v>
      </c>
      <c r="T54" s="40" t="s">
        <v>34</v>
      </c>
      <c r="U54" s="40"/>
      <c r="V54" s="40"/>
      <c r="W54" s="40"/>
      <c r="X54" s="40"/>
      <c r="Y54" s="40"/>
      <c r="Z54" s="40"/>
      <c r="AA54" s="40" t="s">
        <v>261</v>
      </c>
      <c r="AB54" s="53">
        <v>46002.45208333333</v>
      </c>
      <c r="AC54" s="40"/>
      <c r="AD54" s="40"/>
      <c r="AE54" s="40"/>
      <c r="AF54" s="40"/>
      <c r="AG54" s="40" t="s">
        <v>135</v>
      </c>
      <c r="AH54" s="10"/>
      <c r="AI54" s="87"/>
      <c r="AJ54" s="87" cm="1">
        <f t="array" ref="AJ54">IFERROR(_xlfn.XLOOKUP(TRUE,COUNTIF(Tabla[[#This Row],[Etiquetas]:[Etiquetas17]],Versiones!$G$2:$G$36)&gt;0,Versiones!$B$2:$B$36), "")</f>
        <v>24</v>
      </c>
      <c r="AK54" s="87" t="str" cm="1">
        <f t="array" ref="AK54">IFERROR(_xlfn.XLOOKUP(TRUE,COUNTIF(Tabla[[#This Row],[Etiquetas]:[Etiquetas17]],Versiones!$G$2:$G$36)&gt;0,Versiones!$A$2:$A$36), "")</f>
        <v>V0.14</v>
      </c>
      <c r="AL5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4" s="78" t="str">
        <f>IFERROR(_xlfn.XLOOKUP(Tabla[[#This Row],[¿En qué versión fue corregido?]],Versiones!$A$2:$A$34,Versiones!$B$2:$B$34),"No encontrado")</f>
        <v>No encontrado</v>
      </c>
      <c r="AN54" s="88" t="str" cm="1">
        <f t="array" ref="AN54">IFERROR(_xlfn.XLOOKUP(TRUE,COUNTIF(Tabla[[#This Row],[Etiquetas]:[Etiquetas17]],Categorías!$A$2:$A$12)&gt;0,Categorías!$A$2:$A$12),"No encontrado")</f>
        <v>Funcional</v>
      </c>
      <c r="AO54" s="87" t="str" cm="1">
        <f t="array" ref="AO54">IFERROR(INDEX(Funcionalidades!$A$2:$A$80,MATCH(TRUE, COUNTIF(Reporte_Gral!R54:Z54,Funcionalidades!$A$2:$A$80)&gt;0,0)),"No encontrado")</f>
        <v>Alivios</v>
      </c>
      <c r="AP54" s="87" t="str">
        <f>IF(AND(COUNTIF(Tabla[[#This Row],[Etiquetas]:[Etiquetas17]],"*UAT_V*")&gt;0,COUNTIF(Tabla[[#This Row],[Etiquetas]:[Etiquetas17]],"*QA-Integración*")=0),"SI","")</f>
        <v>SI</v>
      </c>
      <c r="AQ54" s="88" t="str" cm="1">
        <f t="array" ref="AQ54">IF(Tabla[[#This Row],[Fue encontrado durante UAT?]]="SI",IFERROR(_xlfn.XLOOKUP(TRUE,ISNUMBER(SEARCH("UAT_V",Tabla[[#This Row],[Etiquetas]:[Etiquetas17]])),Tabla[[#This Row],[Etiquetas]:[Etiquetas17]]),""),"")</f>
        <v>UAT_V0.14</v>
      </c>
      <c r="AR54" s="87" t="str">
        <f>IF(COUNTIF(Tabla[[#This Row],[Etiquetas]:[Etiquetas17]],"*Devuelto*")&gt;0,"SI","")</f>
        <v/>
      </c>
      <c r="AS54" s="167">
        <f>COUNTIF(Tabla[[#This Row],[Etiquetas]:[Etiquetas17]],"*Devuelto*")</f>
        <v>0</v>
      </c>
    </row>
    <row r="55" spans="1:45">
      <c r="A55" s="40" t="s">
        <v>128</v>
      </c>
      <c r="B55" s="40" t="s">
        <v>290</v>
      </c>
      <c r="C55" s="40">
        <v>119399</v>
      </c>
      <c r="D55" s="40" t="s">
        <v>291</v>
      </c>
      <c r="E55" s="40" t="s">
        <v>37</v>
      </c>
      <c r="F55" s="40" t="s">
        <v>24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 t="s">
        <v>292</v>
      </c>
      <c r="S55" s="40" t="s">
        <v>132</v>
      </c>
      <c r="T55" s="40" t="s">
        <v>34</v>
      </c>
      <c r="U55" s="40"/>
      <c r="V55" s="40"/>
      <c r="W55" s="40"/>
      <c r="X55" s="40"/>
      <c r="Y55" s="40"/>
      <c r="Z55" s="40"/>
      <c r="AA55" s="40" t="s">
        <v>217</v>
      </c>
      <c r="AB55" s="53">
        <v>46001.65625</v>
      </c>
      <c r="AC55" s="40"/>
      <c r="AD55" s="40"/>
      <c r="AE55" s="40"/>
      <c r="AF55" s="40"/>
      <c r="AG55" s="40" t="s">
        <v>135</v>
      </c>
      <c r="AH55" s="10"/>
      <c r="AI55" s="87"/>
      <c r="AJ55" s="87" cm="1">
        <f t="array" ref="AJ55">IFERROR(_xlfn.XLOOKUP(TRUE,COUNTIF(Tabla[[#This Row],[Etiquetas]:[Etiquetas17]],Versiones!$G$2:$G$36)&gt;0,Versiones!$B$2:$B$36), "")</f>
        <v>24</v>
      </c>
      <c r="AK55" s="87" t="str" cm="1">
        <f t="array" ref="AK55">IFERROR(_xlfn.XLOOKUP(TRUE,COUNTIF(Tabla[[#This Row],[Etiquetas]:[Etiquetas17]],Versiones!$G$2:$G$36)&gt;0,Versiones!$A$2:$A$36), "")</f>
        <v>V0.14</v>
      </c>
      <c r="AL5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55" s="78" t="str">
        <f>IFERROR(_xlfn.XLOOKUP(Tabla[[#This Row],[¿En qué versión fue corregido?]],Versiones!$A$2:$A$34,Versiones!$B$2:$B$34),"No encontrado")</f>
        <v>No encontrado</v>
      </c>
      <c r="AN55" s="88" t="str" cm="1">
        <f t="array" ref="AN55">IFERROR(_xlfn.XLOOKUP(TRUE,COUNTIF(Tabla[[#This Row],[Etiquetas]:[Etiquetas17]],Categorías!$A$2:$A$12)&gt;0,Categorías!$A$2:$A$12),"No encontrado")</f>
        <v>Look&amp;Feel</v>
      </c>
      <c r="AO55" s="88" t="str" cm="1">
        <f t="array" ref="AO55">IFERROR(INDEX(Funcionalidades!$A$2:$A$80,MATCH(TRUE, COUNTIF(Reporte_Gral!R55:Z55,Funcionalidades!$A$2:$A$80)&gt;0,0)),"No encontrado")</f>
        <v>Atajos-Teclado</v>
      </c>
      <c r="AP55" s="87" t="str">
        <f>IF(AND(COUNTIF(Tabla[[#This Row],[Etiquetas]:[Etiquetas17]],"*UAT_V*")&gt;0,COUNTIF(Tabla[[#This Row],[Etiquetas]:[Etiquetas17]],"*QA-Integración*")=0),"SI","")</f>
        <v>SI</v>
      </c>
      <c r="AQ55" s="88" t="str" cm="1">
        <f t="array" ref="AQ55">IF(Tabla[[#This Row],[Fue encontrado durante UAT?]]="SI",IFERROR(_xlfn.XLOOKUP(TRUE,ISNUMBER(SEARCH("UAT_V",Tabla[[#This Row],[Etiquetas]:[Etiquetas17]])),Tabla[[#This Row],[Etiquetas]:[Etiquetas17]]),""),"")</f>
        <v>UAT_V0.14</v>
      </c>
      <c r="AR55" s="87" t="str">
        <f>IF(COUNTIF(Tabla[[#This Row],[Etiquetas]:[Etiquetas17]],"*Devuelto*")&gt;0,"SI","")</f>
        <v/>
      </c>
      <c r="AS55" s="167">
        <f>COUNTIF(Tabla[[#This Row],[Etiquetas]:[Etiquetas17]],"*Devuelto*")</f>
        <v>0</v>
      </c>
    </row>
    <row r="56" spans="1:45">
      <c r="A56" s="40" t="s">
        <v>128</v>
      </c>
      <c r="B56" s="40" t="s">
        <v>293</v>
      </c>
      <c r="C56" s="40">
        <v>119389</v>
      </c>
      <c r="D56" s="40" t="s">
        <v>294</v>
      </c>
      <c r="E56" s="40" t="s">
        <v>37</v>
      </c>
      <c r="F56" s="40" t="s">
        <v>26</v>
      </c>
      <c r="G56" s="40" t="s">
        <v>224</v>
      </c>
      <c r="H56" s="40" t="s">
        <v>151</v>
      </c>
      <c r="I56" s="40"/>
      <c r="J56" s="40"/>
      <c r="K56" s="40"/>
      <c r="L56" s="40"/>
      <c r="M56" s="40"/>
      <c r="N56" s="40"/>
      <c r="O56" s="40"/>
      <c r="P56" s="40"/>
      <c r="Q56" s="40"/>
      <c r="R56" s="40" t="s">
        <v>139</v>
      </c>
      <c r="S56" s="40" t="s">
        <v>162</v>
      </c>
      <c r="T56" s="40" t="s">
        <v>204</v>
      </c>
      <c r="U56" s="40" t="s">
        <v>154</v>
      </c>
      <c r="V56" s="40" t="s">
        <v>34</v>
      </c>
      <c r="W56" s="40"/>
      <c r="X56" s="40"/>
      <c r="Y56" s="40"/>
      <c r="Z56" s="40"/>
      <c r="AA56" s="40" t="s">
        <v>134</v>
      </c>
      <c r="AB56" s="53">
        <v>46001.640277777777</v>
      </c>
      <c r="AC56" s="40" t="s">
        <v>174</v>
      </c>
      <c r="AD56" s="40"/>
      <c r="AE56" s="40"/>
      <c r="AF56" s="40"/>
      <c r="AG56" s="40" t="s">
        <v>141</v>
      </c>
      <c r="AH56" s="10"/>
      <c r="AI56" s="87"/>
      <c r="AJ56" s="87" cm="1">
        <f t="array" ref="AJ56">IFERROR(_xlfn.XLOOKUP(TRUE,COUNTIF(Tabla[[#This Row],[Etiquetas]:[Etiquetas17]],Versiones!$G$2:$G$36)&gt;0,Versiones!$B$2:$B$36), "")</f>
        <v>24</v>
      </c>
      <c r="AK56" s="87" t="str" cm="1">
        <f t="array" ref="AK56">IFERROR(_xlfn.XLOOKUP(TRUE,COUNTIF(Tabla[[#This Row],[Etiquetas]:[Etiquetas17]],Versiones!$G$2:$G$36)&gt;0,Versiones!$A$2:$A$36), "")</f>
        <v>V0.14</v>
      </c>
      <c r="AL5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56" s="78">
        <f>IFERROR(_xlfn.XLOOKUP(Tabla[[#This Row],[¿En qué versión fue corregido?]],Versiones!$A$2:$A$34,Versiones!$B$2:$B$34),"No encontrado")</f>
        <v>25</v>
      </c>
      <c r="AN56" s="88" t="str" cm="1">
        <f t="array" ref="AN56">IFERROR(_xlfn.XLOOKUP(TRUE,COUNTIF(Tabla[[#This Row],[Etiquetas]:[Etiquetas17]],Categorías!$A$2:$A$12)&gt;0,Categorías!$A$2:$A$12),"No encontrado")</f>
        <v>Funcional</v>
      </c>
      <c r="AO56" s="87" t="str" cm="1">
        <f t="array" ref="AO56">IFERROR(INDEX(Funcionalidades!$A$2:$A$80,MATCH(TRUE, COUNTIF(Reporte_Gral!R56:Z56,Funcionalidades!$A$2:$A$80)&gt;0,0)),"No encontrado")</f>
        <v>Imprimir-Cambios-De-Precio</v>
      </c>
      <c r="AP56" s="87" t="str">
        <f>IF(AND(COUNTIF(Tabla[[#This Row],[Etiquetas]:[Etiquetas17]],"*UAT_V*")&gt;0,COUNTIF(Tabla[[#This Row],[Etiquetas]:[Etiquetas17]],"*QA-Integración*")=0),"SI","")</f>
        <v>SI</v>
      </c>
      <c r="AQ56" s="88" t="str" cm="1">
        <f t="array" ref="AQ56">IF(Tabla[[#This Row],[Fue encontrado durante UAT?]]="SI",IFERROR(_xlfn.XLOOKUP(TRUE,ISNUMBER(SEARCH("UAT_V",Tabla[[#This Row],[Etiquetas]:[Etiquetas17]])),Tabla[[#This Row],[Etiquetas]:[Etiquetas17]]),""),"")</f>
        <v>UAT_V0.14</v>
      </c>
      <c r="AR56" s="87" t="str">
        <f>IF(COUNTIF(Tabla[[#This Row],[Etiquetas]:[Etiquetas17]],"*Devuelto*")&gt;0,"SI","")</f>
        <v/>
      </c>
      <c r="AS56" s="167">
        <f>COUNTIF(Tabla[[#This Row],[Etiquetas]:[Etiquetas17]],"*Devuelto*")</f>
        <v>0</v>
      </c>
    </row>
    <row r="57" spans="1:45">
      <c r="A57" s="40" t="s">
        <v>128</v>
      </c>
      <c r="B57" s="40" t="s">
        <v>295</v>
      </c>
      <c r="C57" s="40">
        <v>119388</v>
      </c>
      <c r="D57" s="40" t="s">
        <v>296</v>
      </c>
      <c r="E57" s="40" t="s">
        <v>37</v>
      </c>
      <c r="F57" s="40" t="s">
        <v>26</v>
      </c>
      <c r="G57" s="40" t="s">
        <v>224</v>
      </c>
      <c r="H57" s="40" t="s">
        <v>151</v>
      </c>
      <c r="I57" s="40"/>
      <c r="J57" s="40"/>
      <c r="K57" s="40"/>
      <c r="L57" s="40"/>
      <c r="M57" s="40"/>
      <c r="N57" s="40"/>
      <c r="O57" s="40"/>
      <c r="P57" s="40"/>
      <c r="Q57" s="40"/>
      <c r="R57" s="40" t="s">
        <v>297</v>
      </c>
      <c r="S57" s="40" t="s">
        <v>139</v>
      </c>
      <c r="T57" s="40" t="s">
        <v>226</v>
      </c>
      <c r="U57" s="40" t="s">
        <v>154</v>
      </c>
      <c r="V57" s="40" t="s">
        <v>34</v>
      </c>
      <c r="W57" s="40"/>
      <c r="X57" s="40"/>
      <c r="Y57" s="40"/>
      <c r="Z57" s="40"/>
      <c r="AA57" s="40" t="s">
        <v>217</v>
      </c>
      <c r="AB57" s="53">
        <v>46001.636111111111</v>
      </c>
      <c r="AC57" s="40" t="s">
        <v>174</v>
      </c>
      <c r="AD57" s="40"/>
      <c r="AE57" s="40"/>
      <c r="AF57" s="40"/>
      <c r="AG57" s="40" t="s">
        <v>135</v>
      </c>
      <c r="AH57" s="10"/>
      <c r="AI57" s="87"/>
      <c r="AJ57" s="87" cm="1">
        <f t="array" ref="AJ57">IFERROR(_xlfn.XLOOKUP(TRUE,COUNTIF(Tabla[[#This Row],[Etiquetas]:[Etiquetas17]],Versiones!$G$2:$G$36)&gt;0,Versiones!$B$2:$B$36), "")</f>
        <v>24</v>
      </c>
      <c r="AK57" s="87" t="str" cm="1">
        <f t="array" ref="AK57">IFERROR(_xlfn.XLOOKUP(TRUE,COUNTIF(Tabla[[#This Row],[Etiquetas]:[Etiquetas17]],Versiones!$G$2:$G$36)&gt;0,Versiones!$A$2:$A$36), "")</f>
        <v>V0.14</v>
      </c>
      <c r="AL5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57" s="78">
        <f>IFERROR(_xlfn.XLOOKUP(Tabla[[#This Row],[¿En qué versión fue corregido?]],Versiones!$A$2:$A$34,Versiones!$B$2:$B$34),"No encontrado")</f>
        <v>25</v>
      </c>
      <c r="AN57" s="88" t="str" cm="1">
        <f t="array" ref="AN57">IFERROR(_xlfn.XLOOKUP(TRUE,COUNTIF(Tabla[[#This Row],[Etiquetas]:[Etiquetas17]],Categorías!$A$2:$A$12)&gt;0,Categorías!$A$2:$A$12),"No encontrado")</f>
        <v>Funcional</v>
      </c>
      <c r="AO57" s="87" t="str" cm="1">
        <f t="array" ref="AO57">IFERROR(INDEX(Funcionalidades!$A$2:$A$80,MATCH(TRUE, COUNTIF(Reporte_Gral!R57:Z57,Funcionalidades!$A$2:$A$80)&gt;0,0)),"No encontrado")</f>
        <v>Arqueo</v>
      </c>
      <c r="AP57" s="87" t="str">
        <f>IF(AND(COUNTIF(Tabla[[#This Row],[Etiquetas]:[Etiquetas17]],"*UAT_V*")&gt;0,COUNTIF(Tabla[[#This Row],[Etiquetas]:[Etiquetas17]],"*QA-Integración*")=0),"SI","")</f>
        <v>SI</v>
      </c>
      <c r="AQ57" s="88" t="str" cm="1">
        <f t="array" ref="AQ57">IF(Tabla[[#This Row],[Fue encontrado durante UAT?]]="SI",IFERROR(_xlfn.XLOOKUP(TRUE,ISNUMBER(SEARCH("UAT_V",Tabla[[#This Row],[Etiquetas]:[Etiquetas17]])),Tabla[[#This Row],[Etiquetas]:[Etiquetas17]]),""),"")</f>
        <v>UAT_V0.14</v>
      </c>
      <c r="AR57" s="87" t="str">
        <f>IF(COUNTIF(Tabla[[#This Row],[Etiquetas]:[Etiquetas17]],"*Devuelto*")&gt;0,"SI","")</f>
        <v/>
      </c>
      <c r="AS57" s="167">
        <f>COUNTIF(Tabla[[#This Row],[Etiquetas]:[Etiquetas17]],"*Devuelto*")</f>
        <v>0</v>
      </c>
    </row>
    <row r="58" spans="1:45">
      <c r="A58" s="40" t="s">
        <v>128</v>
      </c>
      <c r="B58" s="40" t="s">
        <v>298</v>
      </c>
      <c r="C58" s="40">
        <v>119372</v>
      </c>
      <c r="D58" s="40" t="s">
        <v>299</v>
      </c>
      <c r="E58" s="40" t="s">
        <v>37</v>
      </c>
      <c r="F58" s="40" t="s">
        <v>27</v>
      </c>
      <c r="G58" s="40" t="s">
        <v>151</v>
      </c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 t="s">
        <v>139</v>
      </c>
      <c r="S58" s="40" t="s">
        <v>276</v>
      </c>
      <c r="T58" s="40" t="s">
        <v>204</v>
      </c>
      <c r="U58" s="40" t="s">
        <v>154</v>
      </c>
      <c r="V58" s="40" t="s">
        <v>33</v>
      </c>
      <c r="W58" s="40"/>
      <c r="X58" s="40"/>
      <c r="Y58" s="40"/>
      <c r="Z58" s="40"/>
      <c r="AA58" s="40" t="s">
        <v>134</v>
      </c>
      <c r="AB58" s="53">
        <v>46001.611111111109</v>
      </c>
      <c r="AC58" s="40" t="s">
        <v>155</v>
      </c>
      <c r="AD58" s="40"/>
      <c r="AE58" s="40"/>
      <c r="AF58" s="40"/>
      <c r="AG58" s="40" t="s">
        <v>141</v>
      </c>
      <c r="AH58" s="10" t="s">
        <v>184</v>
      </c>
      <c r="AI58" s="87"/>
      <c r="AJ58" s="87" cm="1">
        <f t="array" ref="AJ58">IFERROR(_xlfn.XLOOKUP(TRUE,COUNTIF(Tabla[[#This Row],[Etiquetas]:[Etiquetas17]],Versiones!$G$2:$G$36)&gt;0,Versiones!$B$2:$B$36), "")</f>
        <v>23</v>
      </c>
      <c r="AK58" s="87" t="str" cm="1">
        <f t="array" ref="AK58">IFERROR(_xlfn.XLOOKUP(TRUE,COUNTIF(Tabla[[#This Row],[Etiquetas]:[Etiquetas17]],Versiones!$G$2:$G$36)&gt;0,Versiones!$A$2:$A$36), "")</f>
        <v>V0.13</v>
      </c>
      <c r="AL5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58" s="78">
        <f>IFERROR(_xlfn.XLOOKUP(Tabla[[#This Row],[¿En qué versión fue corregido?]],Versiones!$A$2:$A$34,Versiones!$B$2:$B$34),"No encontrado")</f>
        <v>0</v>
      </c>
      <c r="AN58" s="88" t="str" cm="1">
        <f t="array" ref="AN58">IFERROR(_xlfn.XLOOKUP(TRUE,COUNTIF(Tabla[[#This Row],[Etiquetas]:[Etiquetas17]],Categorías!$A$2:$A$12)&gt;0,Categorías!$A$2:$A$12),"No encontrado")</f>
        <v>Funcional</v>
      </c>
      <c r="AO58" s="87" t="str" cm="1">
        <f t="array" ref="AO58">IFERROR(INDEX(Funcionalidades!$A$2:$A$80,MATCH(TRUE, COUNTIF(Reporte_Gral!R58:Z58,Funcionalidades!$A$2:$A$80)&gt;0,0)),"No encontrado")</f>
        <v>Reporte-De-Inventario</v>
      </c>
      <c r="AP58" s="87" t="str">
        <f>IF(AND(COUNTIF(Tabla[[#This Row],[Etiquetas]:[Etiquetas17]],"*UAT_V*")&gt;0,COUNTIF(Tabla[[#This Row],[Etiquetas]:[Etiquetas17]],"*QA-Integración*")=0),"SI","")</f>
        <v>SI</v>
      </c>
      <c r="AQ58" s="88" t="str" cm="1">
        <f t="array" ref="AQ58">IF(Tabla[[#This Row],[Fue encontrado durante UAT?]]="SI",IFERROR(_xlfn.XLOOKUP(TRUE,ISNUMBER(SEARCH("UAT_V",Tabla[[#This Row],[Etiquetas]:[Etiquetas17]])),Tabla[[#This Row],[Etiquetas]:[Etiquetas17]]),""),"")</f>
        <v>UAT_V0.13</v>
      </c>
      <c r="AR58" s="87" t="str">
        <f>IF(COUNTIF(Tabla[[#This Row],[Etiquetas]:[Etiquetas17]],"*Devuelto*")&gt;0,"SI","")</f>
        <v/>
      </c>
      <c r="AS58" s="167">
        <f>COUNTIF(Tabla[[#This Row],[Etiquetas]:[Etiquetas17]],"*Devuelto*")</f>
        <v>0</v>
      </c>
    </row>
    <row r="59" spans="1:45">
      <c r="A59" s="40" t="s">
        <v>128</v>
      </c>
      <c r="B59" s="40" t="s">
        <v>300</v>
      </c>
      <c r="C59" s="40">
        <v>119364</v>
      </c>
      <c r="D59" s="40" t="s">
        <v>301</v>
      </c>
      <c r="E59" s="40" t="s">
        <v>37</v>
      </c>
      <c r="F59" s="40" t="s">
        <v>28</v>
      </c>
      <c r="G59" s="40" t="s">
        <v>224</v>
      </c>
      <c r="H59" s="40" t="s">
        <v>151</v>
      </c>
      <c r="I59" s="40"/>
      <c r="J59" s="40"/>
      <c r="K59" s="40"/>
      <c r="L59" s="40"/>
      <c r="M59" s="40"/>
      <c r="N59" s="40"/>
      <c r="O59" s="40"/>
      <c r="P59" s="40"/>
      <c r="Q59" s="40"/>
      <c r="R59" s="40" t="s">
        <v>302</v>
      </c>
      <c r="S59" s="40" t="s">
        <v>132</v>
      </c>
      <c r="T59" s="40" t="s">
        <v>226</v>
      </c>
      <c r="U59" s="40" t="s">
        <v>154</v>
      </c>
      <c r="V59" s="40" t="s">
        <v>33</v>
      </c>
      <c r="W59" s="40"/>
      <c r="X59" s="40"/>
      <c r="Y59" s="40"/>
      <c r="Z59" s="40"/>
      <c r="AA59" s="40" t="s">
        <v>134</v>
      </c>
      <c r="AB59" s="53">
        <v>46001.594444444447</v>
      </c>
      <c r="AC59" s="40" t="s">
        <v>155</v>
      </c>
      <c r="AD59" s="40"/>
      <c r="AE59" s="40"/>
      <c r="AF59" s="40"/>
      <c r="AG59" s="40" t="s">
        <v>135</v>
      </c>
      <c r="AH59" s="10"/>
      <c r="AI59" s="87"/>
      <c r="AJ59" s="87" cm="1">
        <f t="array" ref="AJ59">IFERROR(_xlfn.XLOOKUP(TRUE,COUNTIF(Tabla[[#This Row],[Etiquetas]:[Etiquetas17]],Versiones!$G$2:$G$36)&gt;0,Versiones!$B$2:$B$36), "")</f>
        <v>23</v>
      </c>
      <c r="AK59" s="87" t="str" cm="1">
        <f t="array" ref="AK59">IFERROR(_xlfn.XLOOKUP(TRUE,COUNTIF(Tabla[[#This Row],[Etiquetas]:[Etiquetas17]],Versiones!$G$2:$G$36)&gt;0,Versiones!$A$2:$A$36), "")</f>
        <v>V0.13</v>
      </c>
      <c r="AL5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59" s="78">
        <f>IFERROR(_xlfn.XLOOKUP(Tabla[[#This Row],[¿En qué versión fue corregido?]],Versiones!$A$2:$A$34,Versiones!$B$2:$B$34),"No encontrado")</f>
        <v>0</v>
      </c>
      <c r="AN59" s="88" t="str" cm="1">
        <f t="array" ref="AN59">IFERROR(_xlfn.XLOOKUP(TRUE,COUNTIF(Tabla[[#This Row],[Etiquetas]:[Etiquetas17]],Categorías!$A$2:$A$12)&gt;0,Categorías!$A$2:$A$12),"No encontrado")</f>
        <v>Look&amp;Feel</v>
      </c>
      <c r="AO59" s="87" t="str" cm="1">
        <f t="array" ref="AO59">IFERROR(INDEX(Funcionalidades!$A$2:$A$80,MATCH(TRUE, COUNTIF(Reporte_Gral!R59:Z59,Funcionalidades!$A$2:$A$80)&gt;0,0)),"No encontrado")</f>
        <v>Devoluciones</v>
      </c>
      <c r="AP59" s="87" t="str">
        <f>IF(AND(COUNTIF(Tabla[[#This Row],[Etiquetas]:[Etiquetas17]],"*UAT_V*")&gt;0,COUNTIF(Tabla[[#This Row],[Etiquetas]:[Etiquetas17]],"*QA-Integración*")=0),"SI","")</f>
        <v>SI</v>
      </c>
      <c r="AQ59" s="88" t="str" cm="1">
        <f t="array" ref="AQ59">IF(Tabla[[#This Row],[Fue encontrado durante UAT?]]="SI",IFERROR(_xlfn.XLOOKUP(TRUE,ISNUMBER(SEARCH("UAT_V",Tabla[[#This Row],[Etiquetas]:[Etiquetas17]])),Tabla[[#This Row],[Etiquetas]:[Etiquetas17]]),""),"")</f>
        <v>UAT_V0.13</v>
      </c>
      <c r="AR59" s="87" t="str">
        <f>IF(COUNTIF(Tabla[[#This Row],[Etiquetas]:[Etiquetas17]],"*Devuelto*")&gt;0,"SI","")</f>
        <v/>
      </c>
      <c r="AS59" s="167">
        <f>COUNTIF(Tabla[[#This Row],[Etiquetas]:[Etiquetas17]],"*Devuelto*")</f>
        <v>0</v>
      </c>
    </row>
    <row r="60" spans="1:45">
      <c r="A60" s="40" t="s">
        <v>128</v>
      </c>
      <c r="B60" s="40" t="s">
        <v>303</v>
      </c>
      <c r="C60" s="40">
        <v>119316</v>
      </c>
      <c r="D60" s="40" t="s">
        <v>304</v>
      </c>
      <c r="E60" s="40" t="s">
        <v>41</v>
      </c>
      <c r="F60" s="40" t="s">
        <v>26</v>
      </c>
      <c r="G60" s="40" t="s">
        <v>224</v>
      </c>
      <c r="H60" s="40" t="s">
        <v>151</v>
      </c>
      <c r="I60" s="40"/>
      <c r="J60" s="40"/>
      <c r="K60" s="40"/>
      <c r="L60" s="40"/>
      <c r="M60" s="40"/>
      <c r="N60" s="40"/>
      <c r="O60" s="40"/>
      <c r="P60" s="40"/>
      <c r="Q60" s="40"/>
      <c r="R60" s="40" t="s">
        <v>284</v>
      </c>
      <c r="S60" s="40" t="s">
        <v>139</v>
      </c>
      <c r="T60" s="40" t="s">
        <v>34</v>
      </c>
      <c r="U60" s="40"/>
      <c r="V60" s="40"/>
      <c r="W60" s="40"/>
      <c r="X60" s="40"/>
      <c r="Y60" s="40"/>
      <c r="Z60" s="40"/>
      <c r="AA60" s="40" t="s">
        <v>261</v>
      </c>
      <c r="AB60" s="53">
        <v>46001.497916666667</v>
      </c>
      <c r="AC60" s="40"/>
      <c r="AD60" s="40"/>
      <c r="AE60" s="40"/>
      <c r="AF60" s="40"/>
      <c r="AG60" s="40" t="s">
        <v>141</v>
      </c>
      <c r="AH60" s="10" t="s">
        <v>184</v>
      </c>
      <c r="AI60" s="87"/>
      <c r="AJ60" s="87" cm="1">
        <f t="array" ref="AJ60">IFERROR(_xlfn.XLOOKUP(TRUE,COUNTIF(Tabla[[#This Row],[Etiquetas]:[Etiquetas17]],Versiones!$G$2:$G$36)&gt;0,Versiones!$B$2:$B$36), "")</f>
        <v>24</v>
      </c>
      <c r="AK60" s="87" t="str" cm="1">
        <f t="array" ref="AK60">IFERROR(_xlfn.XLOOKUP(TRUE,COUNTIF(Tabla[[#This Row],[Etiquetas]:[Etiquetas17]],Versiones!$G$2:$G$36)&gt;0,Versiones!$A$2:$A$36), "")</f>
        <v>V0.14</v>
      </c>
      <c r="AL6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60" s="78" t="str">
        <f>IFERROR(_xlfn.XLOOKUP(Tabla[[#This Row],[¿En qué versión fue corregido?]],Versiones!$A$2:$A$34,Versiones!$B$2:$B$34),"No encontrado")</f>
        <v>No encontrado</v>
      </c>
      <c r="AN60" s="88" t="str" cm="1">
        <f t="array" ref="AN60">IFERROR(_xlfn.XLOOKUP(TRUE,COUNTIF(Tabla[[#This Row],[Etiquetas]:[Etiquetas17]],Categorías!$A$2:$A$12)&gt;0,Categorías!$A$2:$A$12),"No encontrado")</f>
        <v>Funcional</v>
      </c>
      <c r="AO60" s="87" t="str" cm="1">
        <f t="array" ref="AO60">IFERROR(INDEX(Funcionalidades!$A$2:$A$80,MATCH(TRUE, COUNTIF(Reporte_Gral!R60:Z60,Funcionalidades!$A$2:$A$80)&gt;0,0)),"No encontrado")</f>
        <v>Dashboard-Ventas</v>
      </c>
      <c r="AP60" s="87" t="str">
        <f>IF(AND(COUNTIF(Tabla[[#This Row],[Etiquetas]:[Etiquetas17]],"*UAT_V*")&gt;0,COUNTIF(Tabla[[#This Row],[Etiquetas]:[Etiquetas17]],"*QA-Integración*")=0),"SI","")</f>
        <v>SI</v>
      </c>
      <c r="AQ60" s="88" t="str" cm="1">
        <f t="array" ref="AQ60">IF(Tabla[[#This Row],[Fue encontrado durante UAT?]]="SI",IFERROR(_xlfn.XLOOKUP(TRUE,ISNUMBER(SEARCH("UAT_V",Tabla[[#This Row],[Etiquetas]:[Etiquetas17]])),Tabla[[#This Row],[Etiquetas]:[Etiquetas17]]),""),"")</f>
        <v>UAT_V0.14</v>
      </c>
      <c r="AR60" s="87" t="str">
        <f>IF(COUNTIF(Tabla[[#This Row],[Etiquetas]:[Etiquetas17]],"*Devuelto*")&gt;0,"SI","")</f>
        <v/>
      </c>
      <c r="AS60" s="167">
        <f>COUNTIF(Tabla[[#This Row],[Etiquetas]:[Etiquetas17]],"*Devuelto*")</f>
        <v>0</v>
      </c>
    </row>
    <row r="61" spans="1:45">
      <c r="A61" s="40" t="s">
        <v>128</v>
      </c>
      <c r="B61" s="40" t="s">
        <v>305</v>
      </c>
      <c r="C61" s="40">
        <v>118885</v>
      </c>
      <c r="D61" s="40" t="s">
        <v>306</v>
      </c>
      <c r="E61" s="40" t="s">
        <v>36</v>
      </c>
      <c r="F61" s="40" t="s">
        <v>27</v>
      </c>
      <c r="G61" s="40" t="s">
        <v>307</v>
      </c>
      <c r="H61" s="40" t="s">
        <v>224</v>
      </c>
      <c r="I61" s="40" t="s">
        <v>151</v>
      </c>
      <c r="J61" s="40"/>
      <c r="K61" s="40"/>
      <c r="L61" s="40"/>
      <c r="M61" s="40"/>
      <c r="N61" s="40"/>
      <c r="O61" s="40"/>
      <c r="P61" s="40"/>
      <c r="Q61" s="40"/>
      <c r="R61" s="40" t="s">
        <v>243</v>
      </c>
      <c r="S61" s="40" t="s">
        <v>139</v>
      </c>
      <c r="T61" s="40" t="s">
        <v>281</v>
      </c>
      <c r="U61" s="40" t="s">
        <v>194</v>
      </c>
      <c r="V61" s="40"/>
      <c r="W61" s="40"/>
      <c r="X61" s="40"/>
      <c r="Y61" s="40"/>
      <c r="Z61" s="40"/>
      <c r="AA61" s="40" t="s">
        <v>217</v>
      </c>
      <c r="AB61" s="53">
        <v>46000.65625</v>
      </c>
      <c r="AC61" s="40"/>
      <c r="AD61" s="40"/>
      <c r="AE61" s="40"/>
      <c r="AF61" s="40"/>
      <c r="AG61" s="40" t="s">
        <v>135</v>
      </c>
      <c r="AH61" s="10"/>
      <c r="AI61" s="87"/>
      <c r="AJ61" s="87" cm="1">
        <f t="array" ref="AJ61">IFERROR(_xlfn.XLOOKUP(TRUE,COUNTIF(Tabla[[#This Row],[Etiquetas]:[Etiquetas17]],Versiones!$G$2:$G$36)&gt;0,Versiones!$B$2:$B$36), "")</f>
        <v>24</v>
      </c>
      <c r="AK61" s="87" t="str" cm="1">
        <f t="array" ref="AK61">IFERROR(_xlfn.XLOOKUP(TRUE,COUNTIF(Tabla[[#This Row],[Etiquetas]:[Etiquetas17]],Versiones!$G$2:$G$36)&gt;0,Versiones!$A$2:$A$36), "")</f>
        <v>V0.14</v>
      </c>
      <c r="AL6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61" s="78" t="str">
        <f>IFERROR(_xlfn.XLOOKUP(Tabla[[#This Row],[¿En qué versión fue corregido?]],Versiones!$A$2:$A$34,Versiones!$B$2:$B$34),"No encontrado")</f>
        <v>No encontrado</v>
      </c>
      <c r="AN61" s="88" t="str" cm="1">
        <f t="array" ref="AN61">IFERROR(_xlfn.XLOOKUP(TRUE,COUNTIF(Tabla[[#This Row],[Etiquetas]:[Etiquetas17]],Categorías!$A$2:$A$12)&gt;0,Categorías!$A$2:$A$12),"No encontrado")</f>
        <v>Funcional</v>
      </c>
      <c r="AO61" s="87" t="str" cm="1">
        <f t="array" ref="AO61">IFERROR(INDEX(Funcionalidades!$A$2:$A$80,MATCH(TRUE, COUNTIF(Reporte_Gral!R61:Z61,Funcionalidades!$A$2:$A$80)&gt;0,0)),"No encontrado")</f>
        <v>Bugs-En-Inputs</v>
      </c>
      <c r="AP61" s="87" t="str">
        <f>IF(AND(COUNTIF(Tabla[[#This Row],[Etiquetas]:[Etiquetas17]],"*UAT_V*")&gt;0,COUNTIF(Tabla[[#This Row],[Etiquetas]:[Etiquetas17]],"*QA-Integración*")=0),"SI","")</f>
        <v/>
      </c>
      <c r="AQ61" s="88" t="str" cm="1">
        <f t="array" ref="AQ61">IF(Tabla[[#This Row],[Fue encontrado durante UAT?]]="SI",IFERROR(_xlfn.XLOOKUP(TRUE,ISNUMBER(SEARCH("UAT_V",Tabla[[#This Row],[Etiquetas]:[Etiquetas17]])),Tabla[[#This Row],[Etiquetas]:[Etiquetas17]]),""),"")</f>
        <v/>
      </c>
      <c r="AR61" s="87" t="str">
        <f>IF(COUNTIF(Tabla[[#This Row],[Etiquetas]:[Etiquetas17]],"*Devuelto*")&gt;0,"SI","")</f>
        <v/>
      </c>
      <c r="AS61" s="167">
        <f>COUNTIF(Tabla[[#This Row],[Etiquetas]:[Etiquetas17]],"*Devuelto*")</f>
        <v>0</v>
      </c>
    </row>
    <row r="62" spans="1:45">
      <c r="A62" s="40" t="s">
        <v>128</v>
      </c>
      <c r="B62" s="40" t="s">
        <v>308</v>
      </c>
      <c r="C62" s="40">
        <v>118788</v>
      </c>
      <c r="D62" s="40" t="s">
        <v>309</v>
      </c>
      <c r="E62" s="40" t="s">
        <v>36</v>
      </c>
      <c r="F62" s="40" t="s">
        <v>27</v>
      </c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 t="s">
        <v>139</v>
      </c>
      <c r="S62" s="40" t="s">
        <v>281</v>
      </c>
      <c r="T62" s="40" t="s">
        <v>181</v>
      </c>
      <c r="U62" s="40" t="s">
        <v>194</v>
      </c>
      <c r="V62" s="40"/>
      <c r="W62" s="40"/>
      <c r="X62" s="40"/>
      <c r="Y62" s="40"/>
      <c r="Z62" s="40"/>
      <c r="AA62" s="40" t="s">
        <v>134</v>
      </c>
      <c r="AB62" s="53">
        <v>46000.46597222222</v>
      </c>
      <c r="AC62" s="40"/>
      <c r="AD62" s="40"/>
      <c r="AE62" s="40"/>
      <c r="AF62" s="40"/>
      <c r="AG62" s="40" t="s">
        <v>141</v>
      </c>
      <c r="AH62" s="10"/>
      <c r="AI62" s="87"/>
      <c r="AJ62" s="87" cm="1">
        <f t="array" ref="AJ62">IFERROR(_xlfn.XLOOKUP(TRUE,COUNTIF(Tabla[[#This Row],[Etiquetas]:[Etiquetas17]],Versiones!$G$2:$G$36)&gt;0,Versiones!$B$2:$B$36), "")</f>
        <v>24</v>
      </c>
      <c r="AK62" s="87" t="str" cm="1">
        <f t="array" ref="AK62">IFERROR(_xlfn.XLOOKUP(TRUE,COUNTIF(Tabla[[#This Row],[Etiquetas]:[Etiquetas17]],Versiones!$G$2:$G$36)&gt;0,Versiones!$A$2:$A$36), "")</f>
        <v>V0.14</v>
      </c>
      <c r="AL6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62" s="78" t="str">
        <f>IFERROR(_xlfn.XLOOKUP(Tabla[[#This Row],[¿En qué versión fue corregido?]],Versiones!$A$2:$A$34,Versiones!$B$2:$B$34),"No encontrado")</f>
        <v>No encontrado</v>
      </c>
      <c r="AN62" s="88" t="str" cm="1">
        <f t="array" ref="AN62">IFERROR(_xlfn.XLOOKUP(TRUE,COUNTIF(Tabla[[#This Row],[Etiquetas]:[Etiquetas17]],Categorías!$A$2:$A$12)&gt;0,Categorías!$A$2:$A$12),"No encontrado")</f>
        <v>Funcional</v>
      </c>
      <c r="AO62" s="87" t="str" cm="1">
        <f t="array" ref="AO62">IFERROR(INDEX(Funcionalidades!$A$2:$A$80,MATCH(TRUE, COUNTIF(Reporte_Gral!R62:Z62,Funcionalidades!$A$2:$A$80)&gt;0,0)),"No encontrado")</f>
        <v>Realizar-Pedido-Eficiente</v>
      </c>
      <c r="AP62" s="87" t="str">
        <f>IF(AND(COUNTIF(Tabla[[#This Row],[Etiquetas]:[Etiquetas17]],"*UAT_V*")&gt;0,COUNTIF(Tabla[[#This Row],[Etiquetas]:[Etiquetas17]],"*QA-Integración*")=0),"SI","")</f>
        <v/>
      </c>
      <c r="AQ62" s="88" t="str" cm="1">
        <f t="array" ref="AQ62">IF(Tabla[[#This Row],[Fue encontrado durante UAT?]]="SI",IFERROR(_xlfn.XLOOKUP(TRUE,ISNUMBER(SEARCH("UAT_V",Tabla[[#This Row],[Etiquetas]:[Etiquetas17]])),Tabla[[#This Row],[Etiquetas]:[Etiquetas17]]),""),"")</f>
        <v/>
      </c>
      <c r="AR62" s="87" t="str">
        <f>IF(COUNTIF(Tabla[[#This Row],[Etiquetas]:[Etiquetas17]],"*Devuelto*")&gt;0,"SI","")</f>
        <v/>
      </c>
      <c r="AS62" s="167">
        <f>COUNTIF(Tabla[[#This Row],[Etiquetas]:[Etiquetas17]],"*Devuelto*")</f>
        <v>0</v>
      </c>
    </row>
    <row r="63" spans="1:45">
      <c r="A63" s="40" t="s">
        <v>128</v>
      </c>
      <c r="B63" s="40" t="s">
        <v>310</v>
      </c>
      <c r="C63" s="40">
        <v>118755</v>
      </c>
      <c r="D63" s="40" t="s">
        <v>311</v>
      </c>
      <c r="E63" s="40" t="s">
        <v>36</v>
      </c>
      <c r="F63" s="40" t="s">
        <v>24</v>
      </c>
      <c r="G63" s="40" t="s">
        <v>224</v>
      </c>
      <c r="H63" s="40" t="s">
        <v>151</v>
      </c>
      <c r="I63" s="40"/>
      <c r="J63" s="40"/>
      <c r="K63" s="40"/>
      <c r="L63" s="40"/>
      <c r="M63" s="40"/>
      <c r="N63" s="40"/>
      <c r="O63" s="40"/>
      <c r="P63" s="40"/>
      <c r="Q63" s="40"/>
      <c r="R63" s="40" t="s">
        <v>312</v>
      </c>
      <c r="S63" s="40" t="s">
        <v>139</v>
      </c>
      <c r="T63" s="40" t="s">
        <v>281</v>
      </c>
      <c r="U63" s="40" t="s">
        <v>226</v>
      </c>
      <c r="V63" s="40" t="s">
        <v>154</v>
      </c>
      <c r="W63" s="40"/>
      <c r="X63" s="40"/>
      <c r="Y63" s="40"/>
      <c r="Z63" s="40"/>
      <c r="AA63" s="40" t="s">
        <v>217</v>
      </c>
      <c r="AB63" s="53">
        <v>46000.413888888892</v>
      </c>
      <c r="AC63" s="40"/>
      <c r="AD63" s="40"/>
      <c r="AE63" s="40"/>
      <c r="AF63" s="40"/>
      <c r="AG63" s="40" t="s">
        <v>135</v>
      </c>
      <c r="AH63" s="10"/>
      <c r="AI63" s="87"/>
      <c r="AJ63" s="87" cm="1">
        <f t="array" ref="AJ63">IFERROR(_xlfn.XLOOKUP(TRUE,COUNTIF(Tabla[[#This Row],[Etiquetas]:[Etiquetas17]],Versiones!$G$2:$G$36)&gt;0,Versiones!$B$2:$B$36), "")</f>
        <v>24</v>
      </c>
      <c r="AK63" s="87" t="str" cm="1">
        <f t="array" ref="AK63">IFERROR(_xlfn.XLOOKUP(TRUE,COUNTIF(Tabla[[#This Row],[Etiquetas]:[Etiquetas17]],Versiones!$G$2:$G$36)&gt;0,Versiones!$A$2:$A$36), "")</f>
        <v>V0.14</v>
      </c>
      <c r="AL6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63" s="78" t="str">
        <f>IFERROR(_xlfn.XLOOKUP(Tabla[[#This Row],[¿En qué versión fue corregido?]],Versiones!$A$2:$A$34,Versiones!$B$2:$B$34),"No encontrado")</f>
        <v>No encontrado</v>
      </c>
      <c r="AN63" s="88" t="str" cm="1">
        <f t="array" ref="AN63">IFERROR(_xlfn.XLOOKUP(TRUE,COUNTIF(Tabla[[#This Row],[Etiquetas]:[Etiquetas17]],Categorías!$A$2:$A$12)&gt;0,Categorías!$A$2:$A$12),"No encontrado")</f>
        <v>Funcional</v>
      </c>
      <c r="AO63" s="87" t="str" cm="1">
        <f t="array" ref="AO63">IFERROR(INDEX(Funcionalidades!$A$2:$A$80,MATCH(TRUE, COUNTIF(Reporte_Gral!R63:Z63,Funcionalidades!$A$2:$A$80)&gt;0,0)),"No encontrado")</f>
        <v>Consulta-Última-Transacción-SANTANDER</v>
      </c>
      <c r="AP63" s="87" t="str">
        <f>IF(AND(COUNTIF(Tabla[[#This Row],[Etiquetas]:[Etiquetas17]],"*UAT_V*")&gt;0,COUNTIF(Tabla[[#This Row],[Etiquetas]:[Etiquetas17]],"*QA-Integración*")=0),"SI","")</f>
        <v/>
      </c>
      <c r="AQ63" s="88" t="str" cm="1">
        <f t="array" ref="AQ63">IF(Tabla[[#This Row],[Fue encontrado durante UAT?]]="SI",IFERROR(_xlfn.XLOOKUP(TRUE,ISNUMBER(SEARCH("UAT_V",Tabla[[#This Row],[Etiquetas]:[Etiquetas17]])),Tabla[[#This Row],[Etiquetas]:[Etiquetas17]]),""),"")</f>
        <v/>
      </c>
      <c r="AR63" s="87" t="str">
        <f>IF(COUNTIF(Tabla[[#This Row],[Etiquetas]:[Etiquetas17]],"*Devuelto*")&gt;0,"SI","")</f>
        <v/>
      </c>
      <c r="AS63" s="167">
        <f>COUNTIF(Tabla[[#This Row],[Etiquetas]:[Etiquetas17]],"*Devuelto*")</f>
        <v>0</v>
      </c>
    </row>
    <row r="64" spans="1:45">
      <c r="A64" s="40" t="s">
        <v>128</v>
      </c>
      <c r="B64" s="40" t="s">
        <v>313</v>
      </c>
      <c r="C64" s="40">
        <v>118516</v>
      </c>
      <c r="D64" s="40" t="s">
        <v>314</v>
      </c>
      <c r="E64" s="40" t="s">
        <v>36</v>
      </c>
      <c r="F64" s="40" t="s">
        <v>51</v>
      </c>
      <c r="G64" s="40" t="s">
        <v>151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 t="s">
        <v>139</v>
      </c>
      <c r="S64" s="40" t="s">
        <v>281</v>
      </c>
      <c r="T64" s="40" t="s">
        <v>181</v>
      </c>
      <c r="U64" s="40" t="s">
        <v>194</v>
      </c>
      <c r="V64" s="40" t="s">
        <v>204</v>
      </c>
      <c r="W64" s="40" t="s">
        <v>154</v>
      </c>
      <c r="X64" s="40"/>
      <c r="Y64" s="40"/>
      <c r="Z64" s="40"/>
      <c r="AA64" s="40" t="s">
        <v>134</v>
      </c>
      <c r="AB64" s="53">
        <v>45999.693055555559</v>
      </c>
      <c r="AC64" s="40" t="s">
        <v>155</v>
      </c>
      <c r="AD64" s="40"/>
      <c r="AE64" s="40"/>
      <c r="AF64" s="40"/>
      <c r="AG64" s="40" t="s">
        <v>141</v>
      </c>
      <c r="AH64" s="10"/>
      <c r="AI64" s="87"/>
      <c r="AJ64" s="87" cm="1">
        <f t="array" ref="AJ64">IFERROR(_xlfn.XLOOKUP(TRUE,COUNTIF(Tabla[[#This Row],[Etiquetas]:[Etiquetas17]],Versiones!$G$2:$G$36)&gt;0,Versiones!$B$2:$B$36), "")</f>
        <v>24</v>
      </c>
      <c r="AK64" s="87" t="str" cm="1">
        <f t="array" ref="AK64">IFERROR(_xlfn.XLOOKUP(TRUE,COUNTIF(Tabla[[#This Row],[Etiquetas]:[Etiquetas17]],Versiones!$G$2:$G$36)&gt;0,Versiones!$A$2:$A$36), "")</f>
        <v>V0.14</v>
      </c>
      <c r="AL6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64" s="78">
        <f>IFERROR(_xlfn.XLOOKUP(Tabla[[#This Row],[¿En qué versión fue corregido?]],Versiones!$A$2:$A$34,Versiones!$B$2:$B$34),"No encontrado")</f>
        <v>0</v>
      </c>
      <c r="AN64" s="88" t="str" cm="1">
        <f t="array" ref="AN64">IFERROR(_xlfn.XLOOKUP(TRUE,COUNTIF(Tabla[[#This Row],[Etiquetas]:[Etiquetas17]],Categorías!$A$2:$A$12)&gt;0,Categorías!$A$2:$A$12),"No encontrado")</f>
        <v>Funcional</v>
      </c>
      <c r="AO64" s="87" t="str" cm="1">
        <f t="array" ref="AO64">IFERROR(INDEX(Funcionalidades!$A$2:$A$80,MATCH(TRUE, COUNTIF(Reporte_Gral!R64:Z64,Funcionalidades!$A$2:$A$80)&gt;0,0)),"No encontrado")</f>
        <v>Realizar-Pedido-Eficiente</v>
      </c>
      <c r="AP64" s="87" t="str">
        <f>IF(AND(COUNTIF(Tabla[[#This Row],[Etiquetas]:[Etiquetas17]],"*UAT_V*")&gt;0,COUNTIF(Tabla[[#This Row],[Etiquetas]:[Etiquetas17]],"*QA-Integración*")=0),"SI","")</f>
        <v/>
      </c>
      <c r="AQ64" s="88" t="str" cm="1">
        <f t="array" ref="AQ64">IF(Tabla[[#This Row],[Fue encontrado durante UAT?]]="SI",IFERROR(_xlfn.XLOOKUP(TRUE,ISNUMBER(SEARCH("UAT_V",Tabla[[#This Row],[Etiquetas]:[Etiquetas17]])),Tabla[[#This Row],[Etiquetas]:[Etiquetas17]]),""),"")</f>
        <v/>
      </c>
      <c r="AR64" s="87" t="str">
        <f>IF(COUNTIF(Tabla[[#This Row],[Etiquetas]:[Etiquetas17]],"*Devuelto*")&gt;0,"SI","")</f>
        <v/>
      </c>
      <c r="AS64" s="167">
        <f>COUNTIF(Tabla[[#This Row],[Etiquetas]:[Etiquetas17]],"*Devuelto*")</f>
        <v>0</v>
      </c>
    </row>
    <row r="65" spans="1:45">
      <c r="A65" s="40" t="s">
        <v>128</v>
      </c>
      <c r="B65" s="40" t="s">
        <v>315</v>
      </c>
      <c r="C65" s="40">
        <v>118492</v>
      </c>
      <c r="D65" s="40" t="s">
        <v>316</v>
      </c>
      <c r="E65" s="40" t="s">
        <v>36</v>
      </c>
      <c r="F65" s="40" t="s">
        <v>26</v>
      </c>
      <c r="G65" s="40" t="s">
        <v>224</v>
      </c>
      <c r="H65" s="40" t="s">
        <v>151</v>
      </c>
      <c r="I65" s="40"/>
      <c r="J65" s="40"/>
      <c r="K65" s="40"/>
      <c r="L65" s="40"/>
      <c r="M65" s="40"/>
      <c r="N65" s="40"/>
      <c r="O65" s="40"/>
      <c r="P65" s="40"/>
      <c r="Q65" s="40"/>
      <c r="R65" s="40" t="s">
        <v>317</v>
      </c>
      <c r="S65" s="40" t="s">
        <v>139</v>
      </c>
      <c r="T65" s="40" t="s">
        <v>281</v>
      </c>
      <c r="U65" s="40" t="s">
        <v>204</v>
      </c>
      <c r="V65" s="40" t="s">
        <v>154</v>
      </c>
      <c r="W65" s="40"/>
      <c r="X65" s="40"/>
      <c r="Y65" s="40"/>
      <c r="Z65" s="40"/>
      <c r="AA65" s="40" t="s">
        <v>134</v>
      </c>
      <c r="AB65" s="53">
        <v>45999.665277777778</v>
      </c>
      <c r="AC65" s="40" t="s">
        <v>174</v>
      </c>
      <c r="AD65" s="40"/>
      <c r="AE65" s="40"/>
      <c r="AF65" s="40"/>
      <c r="AG65" s="40" t="s">
        <v>141</v>
      </c>
      <c r="AH65" s="10"/>
      <c r="AI65" s="87"/>
      <c r="AJ65" s="87" cm="1">
        <f t="array" ref="AJ65">IFERROR(_xlfn.XLOOKUP(TRUE,COUNTIF(Tabla[[#This Row],[Etiquetas]:[Etiquetas17]],Versiones!$G$2:$G$36)&gt;0,Versiones!$B$2:$B$36), "")</f>
        <v>24</v>
      </c>
      <c r="AK65" s="87" t="str" cm="1">
        <f t="array" ref="AK65">IFERROR(_xlfn.XLOOKUP(TRUE,COUNTIF(Tabla[[#This Row],[Etiquetas]:[Etiquetas17]],Versiones!$G$2:$G$36)&gt;0,Versiones!$A$2:$A$36), "")</f>
        <v>V0.14</v>
      </c>
      <c r="AL6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65" s="78">
        <f>IFERROR(_xlfn.XLOOKUP(Tabla[[#This Row],[¿En qué versión fue corregido?]],Versiones!$A$2:$A$34,Versiones!$B$2:$B$34),"No encontrado")</f>
        <v>25</v>
      </c>
      <c r="AN65" s="88" t="str" cm="1">
        <f t="array" ref="AN65">IFERROR(_xlfn.XLOOKUP(TRUE,COUNTIF(Tabla[[#This Row],[Etiquetas]:[Etiquetas17]],Categorías!$A$2:$A$12)&gt;0,Categorías!$A$2:$A$12),"No encontrado")</f>
        <v>Funcional</v>
      </c>
      <c r="AO65" s="88" t="str" cm="1">
        <f t="array" ref="AO65">IFERROR(INDEX(Funcionalidades!$A$2:$A$80,MATCH(TRUE, COUNTIF(Reporte_Gral!R65:Z65,Funcionalidades!$A$2:$A$80)&gt;0,0)),"No encontrado")</f>
        <v>Dashboard-Efectivo</v>
      </c>
      <c r="AP65" s="87" t="str">
        <f>IF(AND(COUNTIF(Tabla[[#This Row],[Etiquetas]:[Etiquetas17]],"*UAT_V*")&gt;0,COUNTIF(Tabla[[#This Row],[Etiquetas]:[Etiquetas17]],"*QA-Integración*")=0),"SI","")</f>
        <v/>
      </c>
      <c r="AQ65" s="88" t="str" cm="1">
        <f t="array" ref="AQ65">IF(Tabla[[#This Row],[Fue encontrado durante UAT?]]="SI",IFERROR(_xlfn.XLOOKUP(TRUE,ISNUMBER(SEARCH("UAT_V",Tabla[[#This Row],[Etiquetas]:[Etiquetas17]])),Tabla[[#This Row],[Etiquetas]:[Etiquetas17]]),""),"")</f>
        <v/>
      </c>
      <c r="AR65" s="87" t="str">
        <f>IF(COUNTIF(Tabla[[#This Row],[Etiquetas]:[Etiquetas17]],"*Devuelto*")&gt;0,"SI","")</f>
        <v/>
      </c>
      <c r="AS65" s="167">
        <f>COUNTIF(Tabla[[#This Row],[Etiquetas]:[Etiquetas17]],"*Devuelto*")</f>
        <v>0</v>
      </c>
    </row>
    <row r="66" spans="1:45">
      <c r="A66" s="40" t="s">
        <v>128</v>
      </c>
      <c r="B66" s="40" t="s">
        <v>318</v>
      </c>
      <c r="C66" s="40">
        <v>118485</v>
      </c>
      <c r="D66" s="40" t="s">
        <v>319</v>
      </c>
      <c r="E66" s="40" t="s">
        <v>41</v>
      </c>
      <c r="F66" s="40" t="s">
        <v>26</v>
      </c>
      <c r="G66" s="40" t="s">
        <v>224</v>
      </c>
      <c r="H66" s="40" t="s">
        <v>151</v>
      </c>
      <c r="I66" s="40"/>
      <c r="J66" s="40"/>
      <c r="K66" s="40"/>
      <c r="L66" s="40"/>
      <c r="M66" s="40"/>
      <c r="N66" s="40"/>
      <c r="O66" s="40"/>
      <c r="P66" s="40"/>
      <c r="Q66" s="40"/>
      <c r="R66" s="40" t="s">
        <v>139</v>
      </c>
      <c r="S66" s="40" t="s">
        <v>281</v>
      </c>
      <c r="T66" s="40" t="s">
        <v>152</v>
      </c>
      <c r="U66" s="40" t="s">
        <v>204</v>
      </c>
      <c r="V66" s="40" t="s">
        <v>154</v>
      </c>
      <c r="W66" s="40"/>
      <c r="X66" s="40"/>
      <c r="Y66" s="40"/>
      <c r="Z66" s="40"/>
      <c r="AA66" s="40" t="s">
        <v>134</v>
      </c>
      <c r="AB66" s="53">
        <v>45999.652083333334</v>
      </c>
      <c r="AC66" s="40" t="s">
        <v>174</v>
      </c>
      <c r="AD66" s="40"/>
      <c r="AE66" s="40"/>
      <c r="AF66" s="40"/>
      <c r="AG66" s="40" t="s">
        <v>141</v>
      </c>
      <c r="AH66" s="10" t="s">
        <v>184</v>
      </c>
      <c r="AI66" s="88" t="s">
        <v>320</v>
      </c>
      <c r="AJ66" s="87" cm="1">
        <f t="array" ref="AJ66">IFERROR(_xlfn.XLOOKUP(TRUE,COUNTIF(Tabla[[#This Row],[Etiquetas]:[Etiquetas17]],Versiones!$G$2:$G$36)&gt;0,Versiones!$B$2:$B$36), "")</f>
        <v>24</v>
      </c>
      <c r="AK66" s="87" t="str" cm="1">
        <f t="array" ref="AK66">IFERROR(_xlfn.XLOOKUP(TRUE,COUNTIF(Tabla[[#This Row],[Etiquetas]:[Etiquetas17]],Versiones!$G$2:$G$36)&gt;0,Versiones!$A$2:$A$36), "")</f>
        <v>V0.14</v>
      </c>
      <c r="AL6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66" s="78">
        <f>IFERROR(_xlfn.XLOOKUP(Tabla[[#This Row],[¿En qué versión fue corregido?]],Versiones!$A$2:$A$34,Versiones!$B$2:$B$34),"No encontrado")</f>
        <v>25</v>
      </c>
      <c r="AN66" s="88" t="str" cm="1">
        <f t="array" ref="AN66">IFERROR(_xlfn.XLOOKUP(TRUE,COUNTIF(Tabla[[#This Row],[Etiquetas]:[Etiquetas17]],Categorías!$A$2:$A$12)&gt;0,Categorías!$A$2:$A$12),"No encontrado")</f>
        <v>Funcional</v>
      </c>
      <c r="AO66" s="87" t="str" cm="1">
        <f t="array" ref="AO66">IFERROR(INDEX(Funcionalidades!$A$2:$A$80,MATCH(TRUE, COUNTIF(Reporte_Gral!R66:Z66,Funcionalidades!$A$2:$A$80)&gt;0,0)),"No encontrado")</f>
        <v>Registrar-Merma</v>
      </c>
      <c r="AP66" s="87" t="str">
        <f>IF(AND(COUNTIF(Tabla[[#This Row],[Etiquetas]:[Etiquetas17]],"*UAT_V*")&gt;0,COUNTIF(Tabla[[#This Row],[Etiquetas]:[Etiquetas17]],"*QA-Integración*")=0),"SI","")</f>
        <v/>
      </c>
      <c r="AQ66" s="88" t="str" cm="1">
        <f t="array" ref="AQ66">IF(Tabla[[#This Row],[Fue encontrado durante UAT?]]="SI",IFERROR(_xlfn.XLOOKUP(TRUE,ISNUMBER(SEARCH("UAT_V",Tabla[[#This Row],[Etiquetas]:[Etiquetas17]])),Tabla[[#This Row],[Etiquetas]:[Etiquetas17]]),""),"")</f>
        <v/>
      </c>
      <c r="AR66" s="87" t="str">
        <f>IF(COUNTIF(Tabla[[#This Row],[Etiquetas]:[Etiquetas17]],"*Devuelto*")&gt;0,"SI","")</f>
        <v/>
      </c>
      <c r="AS66" s="167">
        <f>COUNTIF(Tabla[[#This Row],[Etiquetas]:[Etiquetas17]],"*Devuelto*")</f>
        <v>0</v>
      </c>
    </row>
    <row r="67" spans="1:45" ht="14.25" customHeight="1">
      <c r="A67" s="40" t="s">
        <v>128</v>
      </c>
      <c r="B67" s="40" t="s">
        <v>321</v>
      </c>
      <c r="C67" s="40">
        <v>118419</v>
      </c>
      <c r="D67" s="40" t="s">
        <v>322</v>
      </c>
      <c r="E67" s="40" t="s">
        <v>41</v>
      </c>
      <c r="F67" s="40" t="s">
        <v>27</v>
      </c>
      <c r="G67" s="40" t="s">
        <v>151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 t="s">
        <v>139</v>
      </c>
      <c r="S67" s="40" t="s">
        <v>323</v>
      </c>
      <c r="T67" s="40" t="s">
        <v>194</v>
      </c>
      <c r="U67" s="40" t="s">
        <v>204</v>
      </c>
      <c r="V67" s="40" t="s">
        <v>154</v>
      </c>
      <c r="W67" s="40" t="s">
        <v>188</v>
      </c>
      <c r="X67" s="40" t="s">
        <v>34</v>
      </c>
      <c r="Y67" s="40"/>
      <c r="Z67" s="40"/>
      <c r="AA67" s="40" t="s">
        <v>324</v>
      </c>
      <c r="AB67" s="53">
        <v>45999.519444444442</v>
      </c>
      <c r="AC67" s="40" t="s">
        <v>155</v>
      </c>
      <c r="AD67" s="40"/>
      <c r="AE67" s="40"/>
      <c r="AF67" s="40"/>
      <c r="AG67" s="40" t="s">
        <v>141</v>
      </c>
      <c r="AH67" s="10" t="s">
        <v>184</v>
      </c>
      <c r="AI67" s="87"/>
      <c r="AJ67" s="87" cm="1">
        <f t="array" ref="AJ67">IFERROR(_xlfn.XLOOKUP(TRUE,COUNTIF(Tabla[[#This Row],[Etiquetas]:[Etiquetas17]],Versiones!$G$2:$G$36)&gt;0,Versiones!$B$2:$B$36), "")</f>
        <v>24</v>
      </c>
      <c r="AK67" s="87" t="str" cm="1">
        <f t="array" ref="AK67">IFERROR(_xlfn.XLOOKUP(TRUE,COUNTIF(Tabla[[#This Row],[Etiquetas]:[Etiquetas17]],Versiones!$G$2:$G$36)&gt;0,Versiones!$A$2:$A$36), "")</f>
        <v>V0.14</v>
      </c>
      <c r="AL6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67" s="78">
        <f>IFERROR(_xlfn.XLOOKUP(Tabla[[#This Row],[¿En qué versión fue corregido?]],Versiones!$A$2:$A$34,Versiones!$B$2:$B$34),"No encontrado")</f>
        <v>0</v>
      </c>
      <c r="AN67" s="88" t="str" cm="1">
        <f t="array" ref="AN67">IFERROR(_xlfn.XLOOKUP(TRUE,COUNTIF(Tabla[[#This Row],[Etiquetas]:[Etiquetas17]],Categorías!$A$2:$A$12)&gt;0,Categorías!$A$2:$A$12),"No encontrado")</f>
        <v>Funcional</v>
      </c>
      <c r="AO67" s="87" t="str" cm="1">
        <f t="array" ref="AO67">IFERROR(INDEX(Funcionalidades!$A$2:$A$80,MATCH(TRUE, COUNTIF(Reporte_Gral!R67:Z67,Funcionalidades!$A$2:$A$80)&gt;0,0)),"No encontrado")</f>
        <v>Registro-De-Gastos</v>
      </c>
      <c r="AP67" s="87" t="str">
        <f>IF(AND(COUNTIF(Tabla[[#This Row],[Etiquetas]:[Etiquetas17]],"*UAT_V*")&gt;0,COUNTIF(Tabla[[#This Row],[Etiquetas]:[Etiquetas17]],"*QA-Integración*")=0),"SI","")</f>
        <v>SI</v>
      </c>
      <c r="AQ67" s="88" t="str" cm="1">
        <f t="array" ref="AQ67">IF(Tabla[[#This Row],[Fue encontrado durante UAT?]]="SI",IFERROR(_xlfn.XLOOKUP(TRUE,ISNUMBER(SEARCH("UAT_V",Tabla[[#This Row],[Etiquetas]:[Etiquetas17]])),Tabla[[#This Row],[Etiquetas]:[Etiquetas17]]),""),"")</f>
        <v>UAT_V0.14</v>
      </c>
      <c r="AR67" s="87" t="str">
        <f>IF(COUNTIF(Tabla[[#This Row],[Etiquetas]:[Etiquetas17]],"*Devuelto*")&gt;0,"SI","")</f>
        <v/>
      </c>
      <c r="AS67" s="167">
        <f>COUNTIF(Tabla[[#This Row],[Etiquetas]:[Etiquetas17]],"*Devuelto*")</f>
        <v>0</v>
      </c>
    </row>
    <row r="68" spans="1:45">
      <c r="A68" s="40" t="s">
        <v>128</v>
      </c>
      <c r="B68" s="40" t="s">
        <v>325</v>
      </c>
      <c r="C68" s="40">
        <v>118418</v>
      </c>
      <c r="D68" s="40" t="s">
        <v>326</v>
      </c>
      <c r="E68" s="40" t="s">
        <v>36</v>
      </c>
      <c r="F68" s="40" t="s">
        <v>27</v>
      </c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 t="s">
        <v>260</v>
      </c>
      <c r="S68" s="40" t="s">
        <v>139</v>
      </c>
      <c r="T68" s="40" t="s">
        <v>211</v>
      </c>
      <c r="U68" s="40" t="s">
        <v>188</v>
      </c>
      <c r="V68" s="40" t="s">
        <v>34</v>
      </c>
      <c r="W68" s="40"/>
      <c r="X68" s="40"/>
      <c r="Y68" s="40"/>
      <c r="Z68" s="40"/>
      <c r="AA68" s="40" t="s">
        <v>324</v>
      </c>
      <c r="AB68" s="53">
        <v>45999.518750000003</v>
      </c>
      <c r="AC68" s="40"/>
      <c r="AD68" s="40"/>
      <c r="AE68" s="40"/>
      <c r="AF68" s="40"/>
      <c r="AG68" s="40" t="s">
        <v>141</v>
      </c>
      <c r="AH68" s="10"/>
      <c r="AI68" s="87"/>
      <c r="AJ68" s="87" cm="1">
        <f t="array" ref="AJ68">IFERROR(_xlfn.XLOOKUP(TRUE,COUNTIF(Tabla[[#This Row],[Etiquetas]:[Etiquetas17]],Versiones!$G$2:$G$36)&gt;0,Versiones!$B$2:$B$36), "")</f>
        <v>24</v>
      </c>
      <c r="AK68" s="87" t="str" cm="1">
        <f t="array" ref="AK68">IFERROR(_xlfn.XLOOKUP(TRUE,COUNTIF(Tabla[[#This Row],[Etiquetas]:[Etiquetas17]],Versiones!$G$2:$G$36)&gt;0,Versiones!$A$2:$A$36), "")</f>
        <v>V0.14</v>
      </c>
      <c r="AL6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68" s="78" t="str">
        <f>IFERROR(_xlfn.XLOOKUP(Tabla[[#This Row],[¿En qué versión fue corregido?]],Versiones!$A$2:$A$34,Versiones!$B$2:$B$34),"No encontrado")</f>
        <v>No encontrado</v>
      </c>
      <c r="AN68" s="88" t="str" cm="1">
        <f t="array" ref="AN68">IFERROR(_xlfn.XLOOKUP(TRUE,COUNTIF(Tabla[[#This Row],[Etiquetas]:[Etiquetas17]],Categorías!$A$2:$A$12)&gt;0,Categorías!$A$2:$A$12),"No encontrado")</f>
        <v>Funcional</v>
      </c>
      <c r="AO68" s="87" t="str" cm="1">
        <f t="array" ref="AO68">IFERROR(INDEX(Funcionalidades!$A$2:$A$80,MATCH(TRUE, COUNTIF(Reporte_Gral!R68:Z68,Funcionalidades!$A$2:$A$80)&gt;0,0)),"No encontrado")</f>
        <v>Atajos-Teclado-BOT</v>
      </c>
      <c r="AP68" s="87" t="str">
        <f>IF(AND(COUNTIF(Tabla[[#This Row],[Etiquetas]:[Etiquetas17]],"*UAT_V*")&gt;0,COUNTIF(Tabla[[#This Row],[Etiquetas]:[Etiquetas17]],"*QA-Integración*")=0),"SI","")</f>
        <v>SI</v>
      </c>
      <c r="AQ68" s="88" t="str" cm="1">
        <f t="array" ref="AQ68">IF(Tabla[[#This Row],[Fue encontrado durante UAT?]]="SI",IFERROR(_xlfn.XLOOKUP(TRUE,ISNUMBER(SEARCH("UAT_V",Tabla[[#This Row],[Etiquetas]:[Etiquetas17]])),Tabla[[#This Row],[Etiquetas]:[Etiquetas17]]),""),"")</f>
        <v>UAT_V0.14</v>
      </c>
      <c r="AR68" s="87" t="str">
        <f>IF(COUNTIF(Tabla[[#This Row],[Etiquetas]:[Etiquetas17]],"*Devuelto*")&gt;0,"SI","")</f>
        <v/>
      </c>
      <c r="AS68" s="167">
        <f>COUNTIF(Tabla[[#This Row],[Etiquetas]:[Etiquetas17]],"*Devuelto*")</f>
        <v>0</v>
      </c>
    </row>
    <row r="69" spans="1:45">
      <c r="A69" s="40" t="s">
        <v>128</v>
      </c>
      <c r="B69" s="40" t="s">
        <v>327</v>
      </c>
      <c r="C69" s="40">
        <v>118417</v>
      </c>
      <c r="D69" s="40" t="s">
        <v>328</v>
      </c>
      <c r="E69" s="40" t="s">
        <v>36</v>
      </c>
      <c r="F69" s="40" t="s">
        <v>26</v>
      </c>
      <c r="G69" s="40" t="s">
        <v>224</v>
      </c>
      <c r="H69" s="40" t="s">
        <v>151</v>
      </c>
      <c r="I69" s="40"/>
      <c r="J69" s="40"/>
      <c r="K69" s="40"/>
      <c r="L69" s="40"/>
      <c r="M69" s="40"/>
      <c r="N69" s="40"/>
      <c r="O69" s="40"/>
      <c r="P69" s="40"/>
      <c r="Q69" s="40"/>
      <c r="R69" s="40" t="s">
        <v>139</v>
      </c>
      <c r="S69" s="40" t="s">
        <v>181</v>
      </c>
      <c r="T69" s="40" t="s">
        <v>188</v>
      </c>
      <c r="U69" s="40" t="s">
        <v>34</v>
      </c>
      <c r="V69" s="40"/>
      <c r="W69" s="40"/>
      <c r="X69" s="40"/>
      <c r="Y69" s="40"/>
      <c r="Z69" s="40"/>
      <c r="AA69" s="40" t="s">
        <v>324</v>
      </c>
      <c r="AB69" s="53">
        <v>45999.518055555556</v>
      </c>
      <c r="AC69" s="40" t="s">
        <v>329</v>
      </c>
      <c r="AD69" s="40"/>
      <c r="AE69" s="40"/>
      <c r="AF69" s="40"/>
      <c r="AG69" s="40" t="s">
        <v>141</v>
      </c>
      <c r="AH69" s="10"/>
      <c r="AI69" s="87"/>
      <c r="AJ69" s="87" cm="1">
        <f t="array" ref="AJ69">IFERROR(_xlfn.XLOOKUP(TRUE,COUNTIF(Tabla[[#This Row],[Etiquetas]:[Etiquetas17]],Versiones!$G$2:$G$36)&gt;0,Versiones!$B$2:$B$36), "")</f>
        <v>24</v>
      </c>
      <c r="AK69" s="87" t="str" cm="1">
        <f t="array" ref="AK69">IFERROR(_xlfn.XLOOKUP(TRUE,COUNTIF(Tabla[[#This Row],[Etiquetas]:[Etiquetas17]],Versiones!$G$2:$G$36)&gt;0,Versiones!$A$2:$A$36), "")</f>
        <v>V0.14</v>
      </c>
      <c r="AL6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69" s="78">
        <f>IFERROR(_xlfn.XLOOKUP(Tabla[[#This Row],[¿En qué versión fue corregido?]],Versiones!$A$2:$A$34,Versiones!$B$2:$B$34),"No encontrado")</f>
        <v>24</v>
      </c>
      <c r="AN69" s="88" t="str" cm="1">
        <f t="array" ref="AN69">IFERROR(_xlfn.XLOOKUP(TRUE,COUNTIF(Tabla[[#This Row],[Etiquetas]:[Etiquetas17]],Categorías!$A$2:$A$12)&gt;0,Categorías!$A$2:$A$12),"No encontrado")</f>
        <v>Funcional</v>
      </c>
      <c r="AO69" s="87" t="str" cm="1">
        <f t="array" ref="AO69">IFERROR(INDEX(Funcionalidades!$A$2:$A$80,MATCH(TRUE, COUNTIF(Reporte_Gral!R69:Z69,Funcionalidades!$A$2:$A$80)&gt;0,0)),"No encontrado")</f>
        <v>Realizar-Pedido-Eficiente</v>
      </c>
      <c r="AP69" s="87" t="str">
        <f>IF(AND(COUNTIF(Tabla[[#This Row],[Etiquetas]:[Etiquetas17]],"*UAT_V*")&gt;0,COUNTIF(Tabla[[#This Row],[Etiquetas]:[Etiquetas17]],"*QA-Integración*")=0),"SI","")</f>
        <v>SI</v>
      </c>
      <c r="AQ69" s="88" t="str" cm="1">
        <f t="array" ref="AQ69">IF(Tabla[[#This Row],[Fue encontrado durante UAT?]]="SI",IFERROR(_xlfn.XLOOKUP(TRUE,ISNUMBER(SEARCH("UAT_V",Tabla[[#This Row],[Etiquetas]:[Etiquetas17]])),Tabla[[#This Row],[Etiquetas]:[Etiquetas17]]),""),"")</f>
        <v>UAT_V0.14</v>
      </c>
      <c r="AR69" s="87" t="str">
        <f>IF(COUNTIF(Tabla[[#This Row],[Etiquetas]:[Etiquetas17]],"*Devuelto*")&gt;0,"SI","")</f>
        <v/>
      </c>
      <c r="AS69" s="167">
        <f>COUNTIF(Tabla[[#This Row],[Etiquetas]:[Etiquetas17]],"*Devuelto*")</f>
        <v>0</v>
      </c>
    </row>
    <row r="70" spans="1:45">
      <c r="A70" s="40" t="s">
        <v>128</v>
      </c>
      <c r="B70" s="40" t="s">
        <v>330</v>
      </c>
      <c r="C70" s="40">
        <v>118414</v>
      </c>
      <c r="D70" s="40" t="s">
        <v>331</v>
      </c>
      <c r="E70" s="40" t="s">
        <v>36</v>
      </c>
      <c r="F70" s="40" t="s">
        <v>23</v>
      </c>
      <c r="G70" s="40" t="s">
        <v>224</v>
      </c>
      <c r="H70" s="40" t="s">
        <v>151</v>
      </c>
      <c r="I70" s="40"/>
      <c r="J70" s="40"/>
      <c r="K70" s="40"/>
      <c r="L70" s="40"/>
      <c r="M70" s="40"/>
      <c r="N70" s="40"/>
      <c r="O70" s="40"/>
      <c r="P70" s="40"/>
      <c r="Q70" s="40"/>
      <c r="R70" s="40" t="s">
        <v>332</v>
      </c>
      <c r="S70" s="40" t="s">
        <v>139</v>
      </c>
      <c r="T70" s="40" t="s">
        <v>194</v>
      </c>
      <c r="U70" s="40" t="s">
        <v>226</v>
      </c>
      <c r="V70" s="40" t="s">
        <v>154</v>
      </c>
      <c r="W70" s="40" t="s">
        <v>188</v>
      </c>
      <c r="X70" s="40" t="s">
        <v>33</v>
      </c>
      <c r="Y70" s="40"/>
      <c r="Z70" s="40"/>
      <c r="AA70" s="40" t="s">
        <v>324</v>
      </c>
      <c r="AB70" s="53">
        <v>45999.51666666667</v>
      </c>
      <c r="AC70" s="40" t="s">
        <v>155</v>
      </c>
      <c r="AD70" s="40"/>
      <c r="AE70" s="40"/>
      <c r="AF70" s="40"/>
      <c r="AG70" s="40" t="s">
        <v>135</v>
      </c>
      <c r="AH70" s="10"/>
      <c r="AI70" s="87"/>
      <c r="AJ70" s="87" cm="1">
        <f t="array" ref="AJ70">IFERROR(_xlfn.XLOOKUP(TRUE,COUNTIF(Tabla[[#This Row],[Etiquetas]:[Etiquetas17]],Versiones!$G$2:$G$36)&gt;0,Versiones!$B$2:$B$36), "")</f>
        <v>23</v>
      </c>
      <c r="AK70" s="87" t="str" cm="1">
        <f t="array" ref="AK70">IFERROR(_xlfn.XLOOKUP(TRUE,COUNTIF(Tabla[[#This Row],[Etiquetas]:[Etiquetas17]],Versiones!$G$2:$G$36)&gt;0,Versiones!$A$2:$A$36), "")</f>
        <v>V0.13</v>
      </c>
      <c r="AL7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70" s="78">
        <f>IFERROR(_xlfn.XLOOKUP(Tabla[[#This Row],[¿En qué versión fue corregido?]],Versiones!$A$2:$A$34,Versiones!$B$2:$B$34),"No encontrado")</f>
        <v>0</v>
      </c>
      <c r="AN70" s="88" t="str" cm="1">
        <f t="array" ref="AN70">IFERROR(_xlfn.XLOOKUP(TRUE,COUNTIF(Tabla[[#This Row],[Etiquetas]:[Etiquetas17]],Categorías!$A$2:$A$12)&gt;0,Categorías!$A$2:$A$12),"No encontrado")</f>
        <v>Funcional</v>
      </c>
      <c r="AO70" s="87" t="str" cm="1">
        <f t="array" ref="AO70">IFERROR(INDEX(Funcionalidades!$A$2:$A$80,MATCH(TRUE, COUNTIF(Reporte_Gral!R70:Z70,Funcionalidades!$A$2:$A$80)&gt;0,0)),"No encontrado")</f>
        <v>Cobro-De-Productos-Peso-Variable</v>
      </c>
      <c r="AP70" s="87" t="str">
        <f>IF(AND(COUNTIF(Tabla[[#This Row],[Etiquetas]:[Etiquetas17]],"*UAT_V*")&gt;0,COUNTIF(Tabla[[#This Row],[Etiquetas]:[Etiquetas17]],"*QA-Integración*")=0),"SI","")</f>
        <v>SI</v>
      </c>
      <c r="AQ70" s="88" t="str" cm="1">
        <f t="array" ref="AQ70">IF(Tabla[[#This Row],[Fue encontrado durante UAT?]]="SI",IFERROR(_xlfn.XLOOKUP(TRUE,ISNUMBER(SEARCH("UAT_V",Tabla[[#This Row],[Etiquetas]:[Etiquetas17]])),Tabla[[#This Row],[Etiquetas]:[Etiquetas17]]),""),"")</f>
        <v>UAT_V0.13</v>
      </c>
      <c r="AR70" s="87" t="str">
        <f>IF(COUNTIF(Tabla[[#This Row],[Etiquetas]:[Etiquetas17]],"*Devuelto*")&gt;0,"SI","")</f>
        <v/>
      </c>
      <c r="AS70" s="167">
        <f>COUNTIF(Tabla[[#This Row],[Etiquetas]:[Etiquetas17]],"*Devuelto*")</f>
        <v>0</v>
      </c>
    </row>
    <row r="71" spans="1:45">
      <c r="A71" s="40" t="s">
        <v>128</v>
      </c>
      <c r="B71" s="40" t="s">
        <v>333</v>
      </c>
      <c r="C71" s="40">
        <v>118413</v>
      </c>
      <c r="D71" s="40" t="s">
        <v>334</v>
      </c>
      <c r="E71" s="40" t="s">
        <v>41</v>
      </c>
      <c r="F71" s="40" t="s">
        <v>27</v>
      </c>
      <c r="G71" s="40" t="s">
        <v>151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 t="s">
        <v>139</v>
      </c>
      <c r="S71" s="40" t="s">
        <v>335</v>
      </c>
      <c r="T71" s="40" t="s">
        <v>194</v>
      </c>
      <c r="U71" s="40" t="s">
        <v>204</v>
      </c>
      <c r="V71" s="40" t="s">
        <v>154</v>
      </c>
      <c r="W71" s="40" t="s">
        <v>188</v>
      </c>
      <c r="X71" s="40" t="s">
        <v>33</v>
      </c>
      <c r="Y71" s="40"/>
      <c r="Z71" s="40"/>
      <c r="AA71" s="40" t="s">
        <v>324</v>
      </c>
      <c r="AB71" s="53">
        <v>45999.515972222223</v>
      </c>
      <c r="AC71" s="40" t="s">
        <v>155</v>
      </c>
      <c r="AD71" s="40"/>
      <c r="AE71" s="40"/>
      <c r="AF71" s="40"/>
      <c r="AG71" s="40" t="s">
        <v>141</v>
      </c>
      <c r="AH71" s="10"/>
      <c r="AI71" s="87"/>
      <c r="AJ71" s="87" cm="1">
        <f t="array" ref="AJ71">IFERROR(_xlfn.XLOOKUP(TRUE,COUNTIF(Tabla[[#This Row],[Etiquetas]:[Etiquetas17]],Versiones!$G$2:$G$36)&gt;0,Versiones!$B$2:$B$36), "")</f>
        <v>23</v>
      </c>
      <c r="AK71" s="87" t="str" cm="1">
        <f t="array" ref="AK71">IFERROR(_xlfn.XLOOKUP(TRUE,COUNTIF(Tabla[[#This Row],[Etiquetas]:[Etiquetas17]],Versiones!$G$2:$G$36)&gt;0,Versiones!$A$2:$A$36), "")</f>
        <v>V0.13</v>
      </c>
      <c r="AL7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71" s="78">
        <f>IFERROR(_xlfn.XLOOKUP(Tabla[[#This Row],[¿En qué versión fue corregido?]],Versiones!$A$2:$A$34,Versiones!$B$2:$B$34),"No encontrado")</f>
        <v>0</v>
      </c>
      <c r="AN71" s="88" t="str" cm="1">
        <f t="array" ref="AN71">IFERROR(_xlfn.XLOOKUP(TRUE,COUNTIF(Tabla[[#This Row],[Etiquetas]:[Etiquetas17]],Categorías!$A$2:$A$12)&gt;0,Categorías!$A$2:$A$12),"No encontrado")</f>
        <v>Funcional</v>
      </c>
      <c r="AO71" s="88" t="str" cm="1">
        <f t="array" ref="AO71">IFERROR(INDEX(Funcionalidades!$A$2:$A$80,MATCH(TRUE, COUNTIF(Reporte_Gral!R71:Z71,Funcionalidades!$A$2:$A$80)&gt;0,0)),"No encontrado")</f>
        <v>Realizar-Inventario</v>
      </c>
      <c r="AP71" s="87" t="str">
        <f>IF(AND(COUNTIF(Tabla[[#This Row],[Etiquetas]:[Etiquetas17]],"*UAT_V*")&gt;0,COUNTIF(Tabla[[#This Row],[Etiquetas]:[Etiquetas17]],"*QA-Integración*")=0),"SI","")</f>
        <v>SI</v>
      </c>
      <c r="AQ71" s="88" t="str" cm="1">
        <f t="array" ref="AQ71">IF(Tabla[[#This Row],[Fue encontrado durante UAT?]]="SI",IFERROR(_xlfn.XLOOKUP(TRUE,ISNUMBER(SEARCH("UAT_V",Tabla[[#This Row],[Etiquetas]:[Etiquetas17]])),Tabla[[#This Row],[Etiquetas]:[Etiquetas17]]),""),"")</f>
        <v>UAT_V0.13</v>
      </c>
      <c r="AR71" s="87" t="str">
        <f>IF(COUNTIF(Tabla[[#This Row],[Etiquetas]:[Etiquetas17]],"*Devuelto*")&gt;0,"SI","")</f>
        <v/>
      </c>
      <c r="AS71" s="167">
        <f>COUNTIF(Tabla[[#This Row],[Etiquetas]:[Etiquetas17]],"*Devuelto*")</f>
        <v>0</v>
      </c>
    </row>
    <row r="72" spans="1:45">
      <c r="A72" s="40" t="s">
        <v>128</v>
      </c>
      <c r="B72" s="40" t="s">
        <v>336</v>
      </c>
      <c r="C72" s="40">
        <v>118412</v>
      </c>
      <c r="D72" s="40" t="s">
        <v>337</v>
      </c>
      <c r="E72" s="40" t="s">
        <v>41</v>
      </c>
      <c r="F72" s="40" t="s">
        <v>27</v>
      </c>
      <c r="G72" s="40" t="s">
        <v>151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 t="s">
        <v>139</v>
      </c>
      <c r="S72" s="40" t="s">
        <v>335</v>
      </c>
      <c r="T72" s="40" t="s">
        <v>194</v>
      </c>
      <c r="U72" s="40" t="s">
        <v>204</v>
      </c>
      <c r="V72" s="40" t="s">
        <v>154</v>
      </c>
      <c r="W72" s="40" t="s">
        <v>188</v>
      </c>
      <c r="X72" s="40" t="s">
        <v>33</v>
      </c>
      <c r="Y72" s="40"/>
      <c r="Z72" s="40"/>
      <c r="AA72" s="40" t="s">
        <v>324</v>
      </c>
      <c r="AB72" s="53">
        <v>45999.515277777777</v>
      </c>
      <c r="AC72" s="40" t="s">
        <v>155</v>
      </c>
      <c r="AD72" s="40"/>
      <c r="AE72" s="40"/>
      <c r="AF72" s="40"/>
      <c r="AG72" s="40" t="s">
        <v>141</v>
      </c>
      <c r="AH72" s="10"/>
      <c r="AI72" s="87"/>
      <c r="AJ72" s="87" cm="1">
        <f t="array" ref="AJ72">IFERROR(_xlfn.XLOOKUP(TRUE,COUNTIF(Tabla[[#This Row],[Etiquetas]:[Etiquetas17]],Versiones!$G$2:$G$36)&gt;0,Versiones!$B$2:$B$36), "")</f>
        <v>23</v>
      </c>
      <c r="AK72" s="87" t="str" cm="1">
        <f t="array" ref="AK72">IFERROR(_xlfn.XLOOKUP(TRUE,COUNTIF(Tabla[[#This Row],[Etiquetas]:[Etiquetas17]],Versiones!$G$2:$G$36)&gt;0,Versiones!$A$2:$A$36), "")</f>
        <v>V0.13</v>
      </c>
      <c r="AL7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72" s="78">
        <f>IFERROR(_xlfn.XLOOKUP(Tabla[[#This Row],[¿En qué versión fue corregido?]],Versiones!$A$2:$A$34,Versiones!$B$2:$B$34),"No encontrado")</f>
        <v>0</v>
      </c>
      <c r="AN72" s="88" t="str" cm="1">
        <f t="array" ref="AN72">IFERROR(_xlfn.XLOOKUP(TRUE,COUNTIF(Tabla[[#This Row],[Etiquetas]:[Etiquetas17]],Categorías!$A$2:$A$12)&gt;0,Categorías!$A$2:$A$12),"No encontrado")</f>
        <v>Funcional</v>
      </c>
      <c r="AO72" s="87" t="str" cm="1">
        <f t="array" ref="AO72">IFERROR(INDEX(Funcionalidades!$A$2:$A$80,MATCH(TRUE, COUNTIF(Reporte_Gral!R72:Z72,Funcionalidades!$A$2:$A$80)&gt;0,0)),"No encontrado")</f>
        <v>Realizar-Inventario</v>
      </c>
      <c r="AP72" s="87" t="str">
        <f>IF(AND(COUNTIF(Tabla[[#This Row],[Etiquetas]:[Etiquetas17]],"*UAT_V*")&gt;0,COUNTIF(Tabla[[#This Row],[Etiquetas]:[Etiquetas17]],"*QA-Integración*")=0),"SI","")</f>
        <v>SI</v>
      </c>
      <c r="AQ72" s="88" t="str" cm="1">
        <f t="array" ref="AQ72">IF(Tabla[[#This Row],[Fue encontrado durante UAT?]]="SI",IFERROR(_xlfn.XLOOKUP(TRUE,ISNUMBER(SEARCH("UAT_V",Tabla[[#This Row],[Etiquetas]:[Etiquetas17]])),Tabla[[#This Row],[Etiquetas]:[Etiquetas17]]),""),"")</f>
        <v>UAT_V0.13</v>
      </c>
      <c r="AR72" s="87" t="str">
        <f>IF(COUNTIF(Tabla[[#This Row],[Etiquetas]:[Etiquetas17]],"*Devuelto*")&gt;0,"SI","")</f>
        <v/>
      </c>
      <c r="AS72" s="167">
        <f>COUNTIF(Tabla[[#This Row],[Etiquetas]:[Etiquetas17]],"*Devuelto*")</f>
        <v>0</v>
      </c>
    </row>
    <row r="73" spans="1:45">
      <c r="A73" s="40" t="s">
        <v>128</v>
      </c>
      <c r="B73" s="40" t="s">
        <v>338</v>
      </c>
      <c r="C73" s="40">
        <v>118406</v>
      </c>
      <c r="D73" s="40" t="s">
        <v>339</v>
      </c>
      <c r="E73" s="40" t="s">
        <v>36</v>
      </c>
      <c r="F73" s="40" t="s">
        <v>27</v>
      </c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 t="s">
        <v>139</v>
      </c>
      <c r="S73" s="40" t="s">
        <v>340</v>
      </c>
      <c r="T73" s="40" t="s">
        <v>335</v>
      </c>
      <c r="U73" s="40" t="s">
        <v>194</v>
      </c>
      <c r="V73" s="40" t="s">
        <v>204</v>
      </c>
      <c r="W73" s="40" t="s">
        <v>154</v>
      </c>
      <c r="X73" s="40" t="s">
        <v>188</v>
      </c>
      <c r="Y73" s="40" t="s">
        <v>33</v>
      </c>
      <c r="Z73" s="40"/>
      <c r="AA73" s="40" t="s">
        <v>324</v>
      </c>
      <c r="AB73" s="53">
        <v>45999.51458333333</v>
      </c>
      <c r="AC73" s="40"/>
      <c r="AD73" s="40"/>
      <c r="AE73" s="40"/>
      <c r="AF73" s="40"/>
      <c r="AG73" s="40" t="s">
        <v>141</v>
      </c>
      <c r="AH73" s="10"/>
      <c r="AI73" s="87"/>
      <c r="AJ73" s="87" cm="1">
        <f t="array" ref="AJ73">IFERROR(_xlfn.XLOOKUP(TRUE,COUNTIF(Tabla[[#This Row],[Etiquetas]:[Etiquetas17]],Versiones!$G$2:$G$36)&gt;0,Versiones!$B$2:$B$36), "")</f>
        <v>23</v>
      </c>
      <c r="AK73" s="87" t="str" cm="1">
        <f t="array" ref="AK73">IFERROR(_xlfn.XLOOKUP(TRUE,COUNTIF(Tabla[[#This Row],[Etiquetas]:[Etiquetas17]],Versiones!$G$2:$G$36)&gt;0,Versiones!$A$2:$A$36), "")</f>
        <v>V0.13</v>
      </c>
      <c r="AL7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73" s="78" t="str">
        <f>IFERROR(_xlfn.XLOOKUP(Tabla[[#This Row],[¿En qué versión fue corregido?]],Versiones!$A$2:$A$34,Versiones!$B$2:$B$34),"No encontrado")</f>
        <v>No encontrado</v>
      </c>
      <c r="AN73" s="88" t="str" cm="1">
        <f t="array" ref="AN73">IFERROR(_xlfn.XLOOKUP(TRUE,COUNTIF(Tabla[[#This Row],[Etiquetas]:[Etiquetas17]],Categorías!$A$2:$A$12)&gt;0,Categorías!$A$2:$A$12),"No encontrado")</f>
        <v>Funcional</v>
      </c>
      <c r="AO73" s="87" t="str" cm="1">
        <f t="array" ref="AO73">IFERROR(INDEX(Funcionalidades!$A$2:$A$80,MATCH(TRUE, COUNTIF(Reporte_Gral!R73:Z73,Funcionalidades!$A$2:$A$80)&gt;0,0)),"No encontrado")</f>
        <v>Realizar-Inventario</v>
      </c>
      <c r="AP73" s="87" t="str">
        <f>IF(AND(COUNTIF(Tabla[[#This Row],[Etiquetas]:[Etiquetas17]],"*UAT_V*")&gt;0,COUNTIF(Tabla[[#This Row],[Etiquetas]:[Etiquetas17]],"*QA-Integración*")=0),"SI","")</f>
        <v>SI</v>
      </c>
      <c r="AQ73" s="88" t="str" cm="1">
        <f t="array" ref="AQ73">IF(Tabla[[#This Row],[Fue encontrado durante UAT?]]="SI",IFERROR(_xlfn.XLOOKUP(TRUE,ISNUMBER(SEARCH("UAT_V",Tabla[[#This Row],[Etiquetas]:[Etiquetas17]])),Tabla[[#This Row],[Etiquetas]:[Etiquetas17]]),""),"")</f>
        <v>UAT_V0.13</v>
      </c>
      <c r="AR73" s="87" t="str">
        <f>IF(COUNTIF(Tabla[[#This Row],[Etiquetas]:[Etiquetas17]],"*Devuelto*")&gt;0,"SI","")</f>
        <v/>
      </c>
      <c r="AS73" s="167">
        <f>COUNTIF(Tabla[[#This Row],[Etiquetas]:[Etiquetas17]],"*Devuelto*")</f>
        <v>0</v>
      </c>
    </row>
    <row r="74" spans="1:45">
      <c r="A74" s="40" t="s">
        <v>128</v>
      </c>
      <c r="B74" s="40" t="s">
        <v>341</v>
      </c>
      <c r="C74" s="40">
        <v>118404</v>
      </c>
      <c r="D74" s="40" t="s">
        <v>342</v>
      </c>
      <c r="E74" s="40" t="s">
        <v>36</v>
      </c>
      <c r="F74" s="40" t="s">
        <v>25</v>
      </c>
      <c r="G74" s="40" t="s">
        <v>151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 t="s">
        <v>139</v>
      </c>
      <c r="S74" s="40" t="s">
        <v>226</v>
      </c>
      <c r="T74" s="40" t="s">
        <v>154</v>
      </c>
      <c r="U74" s="40" t="s">
        <v>188</v>
      </c>
      <c r="V74" s="40" t="s">
        <v>33</v>
      </c>
      <c r="W74" s="40"/>
      <c r="X74" s="40"/>
      <c r="Y74" s="40"/>
      <c r="Z74" s="40"/>
      <c r="AA74" s="40" t="s">
        <v>324</v>
      </c>
      <c r="AB74" s="53">
        <v>45999.513194444444</v>
      </c>
      <c r="AC74" s="40" t="s">
        <v>155</v>
      </c>
      <c r="AD74" s="40"/>
      <c r="AE74" s="40"/>
      <c r="AF74" s="40"/>
      <c r="AG74" s="40" t="s">
        <v>135</v>
      </c>
      <c r="AH74" s="10"/>
      <c r="AI74" s="87"/>
      <c r="AJ74" s="87" cm="1">
        <f t="array" ref="AJ74">IFERROR(_xlfn.XLOOKUP(TRUE,COUNTIF(Tabla[[#This Row],[Etiquetas]:[Etiquetas17]],Versiones!$G$2:$G$36)&gt;0,Versiones!$B$2:$B$36), "")</f>
        <v>23</v>
      </c>
      <c r="AK74" s="87" t="str" cm="1">
        <f t="array" ref="AK74">IFERROR(_xlfn.XLOOKUP(TRUE,COUNTIF(Tabla[[#This Row],[Etiquetas]:[Etiquetas17]],Versiones!$G$2:$G$36)&gt;0,Versiones!$A$2:$A$36), "")</f>
        <v>V0.13</v>
      </c>
      <c r="AL7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74" s="78">
        <f>IFERROR(_xlfn.XLOOKUP(Tabla[[#This Row],[¿En qué versión fue corregido?]],Versiones!$A$2:$A$34,Versiones!$B$2:$B$34),"No encontrado")</f>
        <v>0</v>
      </c>
      <c r="AN74" s="88" t="str" cm="1">
        <f t="array" ref="AN74">IFERROR(_xlfn.XLOOKUP(TRUE,COUNTIF(Tabla[[#This Row],[Etiquetas]:[Etiquetas17]],Categorías!$A$2:$A$12)&gt;0,Categorías!$A$2:$A$12),"No encontrado")</f>
        <v>Funcional</v>
      </c>
      <c r="AO74" s="87" t="str" cm="1">
        <f t="array" ref="AO74">IFERROR(INDEX(Funcionalidades!$A$2:$A$80,MATCH(TRUE, COUNTIF(Reporte_Gral!R74:Z74,Funcionalidades!$A$2:$A$80)&gt;0,0)),"No encontrado")</f>
        <v>No encontrado</v>
      </c>
      <c r="AP74" s="87" t="str">
        <f>IF(AND(COUNTIF(Tabla[[#This Row],[Etiquetas]:[Etiquetas17]],"*UAT_V*")&gt;0,COUNTIF(Tabla[[#This Row],[Etiquetas]:[Etiquetas17]],"*QA-Integración*")=0),"SI","")</f>
        <v>SI</v>
      </c>
      <c r="AQ74" s="88" t="str" cm="1">
        <f t="array" ref="AQ74">IF(Tabla[[#This Row],[Fue encontrado durante UAT?]]="SI",IFERROR(_xlfn.XLOOKUP(TRUE,ISNUMBER(SEARCH("UAT_V",Tabla[[#This Row],[Etiquetas]:[Etiquetas17]])),Tabla[[#This Row],[Etiquetas]:[Etiquetas17]]),""),"")</f>
        <v>UAT_V0.13</v>
      </c>
      <c r="AR74" s="87" t="str">
        <f>IF(COUNTIF(Tabla[[#This Row],[Etiquetas]:[Etiquetas17]],"*Devuelto*")&gt;0,"SI","")</f>
        <v/>
      </c>
      <c r="AS74" s="167">
        <f>COUNTIF(Tabla[[#This Row],[Etiquetas]:[Etiquetas17]],"*Devuelto*")</f>
        <v>0</v>
      </c>
    </row>
    <row r="75" spans="1:45">
      <c r="A75" s="40" t="s">
        <v>128</v>
      </c>
      <c r="B75" s="40" t="s">
        <v>343</v>
      </c>
      <c r="C75" s="40">
        <v>118392</v>
      </c>
      <c r="D75" s="40" t="s">
        <v>344</v>
      </c>
      <c r="E75" s="40" t="s">
        <v>36</v>
      </c>
      <c r="F75" s="40" t="s">
        <v>26</v>
      </c>
      <c r="G75" s="40" t="s">
        <v>224</v>
      </c>
      <c r="H75" s="40" t="s">
        <v>151</v>
      </c>
      <c r="I75" s="40"/>
      <c r="J75" s="40"/>
      <c r="K75" s="40"/>
      <c r="L75" s="40"/>
      <c r="M75" s="40"/>
      <c r="N75" s="40"/>
      <c r="O75" s="40"/>
      <c r="P75" s="40"/>
      <c r="Q75" s="40"/>
      <c r="R75" s="40" t="s">
        <v>145</v>
      </c>
      <c r="S75" s="40" t="s">
        <v>345</v>
      </c>
      <c r="T75" s="40" t="s">
        <v>132</v>
      </c>
      <c r="U75" s="40" t="s">
        <v>281</v>
      </c>
      <c r="V75" s="40" t="s">
        <v>226</v>
      </c>
      <c r="W75" s="40" t="s">
        <v>154</v>
      </c>
      <c r="X75" s="40"/>
      <c r="Y75" s="40"/>
      <c r="Z75" s="40"/>
      <c r="AA75" s="40" t="s">
        <v>134</v>
      </c>
      <c r="AB75" s="53">
        <v>45999.5</v>
      </c>
      <c r="AC75" s="40" t="s">
        <v>174</v>
      </c>
      <c r="AD75" s="40"/>
      <c r="AE75" s="40"/>
      <c r="AF75" s="40"/>
      <c r="AG75" s="40" t="s">
        <v>135</v>
      </c>
      <c r="AH75" s="10"/>
      <c r="AI75" s="87"/>
      <c r="AJ75" s="87" cm="1">
        <f t="array" ref="AJ75">IFERROR(_xlfn.XLOOKUP(TRUE,COUNTIF(Tabla[[#This Row],[Etiquetas]:[Etiquetas17]],Versiones!$G$2:$G$36)&gt;0,Versiones!$B$2:$B$36), "")</f>
        <v>24</v>
      </c>
      <c r="AK75" s="87" t="str" cm="1">
        <f t="array" ref="AK75">IFERROR(_xlfn.XLOOKUP(TRUE,COUNTIF(Tabla[[#This Row],[Etiquetas]:[Etiquetas17]],Versiones!$G$2:$G$36)&gt;0,Versiones!$A$2:$A$36), "")</f>
        <v>V0.14</v>
      </c>
      <c r="AL7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75" s="78">
        <f>IFERROR(_xlfn.XLOOKUP(Tabla[[#This Row],[¿En qué versión fue corregido?]],Versiones!$A$2:$A$34,Versiones!$B$2:$B$34),"No encontrado")</f>
        <v>25</v>
      </c>
      <c r="AN75" s="88" t="str" cm="1">
        <f t="array" ref="AN75">IFERROR(_xlfn.XLOOKUP(TRUE,COUNTIF(Tabla[[#This Row],[Etiquetas]:[Etiquetas17]],Categorías!$A$2:$A$12)&gt;0,Categorías!$A$2:$A$12),"No encontrado")</f>
        <v>Look&amp;Feel</v>
      </c>
      <c r="AO75" s="87" t="str" cm="1">
        <f t="array" ref="AO75">IFERROR(INDEX(Funcionalidades!$A$2:$A$80,MATCH(TRUE, COUNTIF(Reporte_Gral!R75:Z75,Funcionalidades!$A$2:$A$80)&gt;0,0)),"No encontrado")</f>
        <v>Inicio-De-Turno</v>
      </c>
      <c r="AP75" s="87" t="str">
        <f>IF(AND(COUNTIF(Tabla[[#This Row],[Etiquetas]:[Etiquetas17]],"*UAT_V*")&gt;0,COUNTIF(Tabla[[#This Row],[Etiquetas]:[Etiquetas17]],"*QA-Integración*")=0),"SI","")</f>
        <v/>
      </c>
      <c r="AQ75" s="88" t="str" cm="1">
        <f t="array" ref="AQ75">IF(Tabla[[#This Row],[Fue encontrado durante UAT?]]="SI",IFERROR(_xlfn.XLOOKUP(TRUE,ISNUMBER(SEARCH("UAT_V",Tabla[[#This Row],[Etiquetas]:[Etiquetas17]])),Tabla[[#This Row],[Etiquetas]:[Etiquetas17]]),""),"")</f>
        <v/>
      </c>
      <c r="AR75" s="87" t="str">
        <f>IF(COUNTIF(Tabla[[#This Row],[Etiquetas]:[Etiquetas17]],"*Devuelto*")&gt;0,"SI","")</f>
        <v/>
      </c>
      <c r="AS75" s="167">
        <f>COUNTIF(Tabla[[#This Row],[Etiquetas]:[Etiquetas17]],"*Devuelto*")</f>
        <v>0</v>
      </c>
    </row>
    <row r="76" spans="1:45">
      <c r="A76" s="40" t="s">
        <v>128</v>
      </c>
      <c r="B76" s="40" t="s">
        <v>346</v>
      </c>
      <c r="C76" s="40">
        <v>118377</v>
      </c>
      <c r="D76" s="40" t="s">
        <v>347</v>
      </c>
      <c r="E76" s="40" t="s">
        <v>36</v>
      </c>
      <c r="F76" s="40" t="s">
        <v>26</v>
      </c>
      <c r="G76" s="40" t="s">
        <v>224</v>
      </c>
      <c r="H76" s="40" t="s">
        <v>151</v>
      </c>
      <c r="I76" s="40"/>
      <c r="J76" s="40"/>
      <c r="K76" s="40"/>
      <c r="L76" s="40"/>
      <c r="M76" s="40"/>
      <c r="N76" s="40"/>
      <c r="O76" s="40"/>
      <c r="P76" s="40"/>
      <c r="Q76" s="40"/>
      <c r="R76" s="40" t="s">
        <v>297</v>
      </c>
      <c r="S76" s="40" t="s">
        <v>273</v>
      </c>
      <c r="T76" s="40" t="s">
        <v>139</v>
      </c>
      <c r="U76" s="40" t="s">
        <v>226</v>
      </c>
      <c r="V76" s="40" t="s">
        <v>154</v>
      </c>
      <c r="W76" s="40" t="s">
        <v>34</v>
      </c>
      <c r="X76" s="40"/>
      <c r="Y76" s="40"/>
      <c r="Z76" s="40"/>
      <c r="AA76" s="40" t="s">
        <v>348</v>
      </c>
      <c r="AB76" s="53">
        <v>45999.480555555558</v>
      </c>
      <c r="AC76" s="40" t="s">
        <v>174</v>
      </c>
      <c r="AD76" s="40"/>
      <c r="AE76" s="40"/>
      <c r="AF76" s="40"/>
      <c r="AG76" s="40" t="s">
        <v>135</v>
      </c>
      <c r="AH76" s="10"/>
      <c r="AI76" s="87"/>
      <c r="AJ76" s="87" cm="1">
        <f t="array" ref="AJ76">IFERROR(_xlfn.XLOOKUP(TRUE,COUNTIF(Tabla[[#This Row],[Etiquetas]:[Etiquetas17]],Versiones!$G$2:$G$36)&gt;0,Versiones!$B$2:$B$36), "")</f>
        <v>24</v>
      </c>
      <c r="AK76" s="87" t="str" cm="1">
        <f t="array" ref="AK76">IFERROR(_xlfn.XLOOKUP(TRUE,COUNTIF(Tabla[[#This Row],[Etiquetas]:[Etiquetas17]],Versiones!$G$2:$G$36)&gt;0,Versiones!$A$2:$A$36), "")</f>
        <v>V0.14</v>
      </c>
      <c r="AL7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76" s="78">
        <f>IFERROR(_xlfn.XLOOKUP(Tabla[[#This Row],[¿En qué versión fue corregido?]],Versiones!$A$2:$A$34,Versiones!$B$2:$B$34),"No encontrado")</f>
        <v>25</v>
      </c>
      <c r="AN76" s="88" t="str" cm="1">
        <f t="array" ref="AN76">IFERROR(_xlfn.XLOOKUP(TRUE,COUNTIF(Tabla[[#This Row],[Etiquetas]:[Etiquetas17]],Categorías!$A$2:$A$12)&gt;0,Categorías!$A$2:$A$12),"No encontrado")</f>
        <v>Funcional</v>
      </c>
      <c r="AO76" s="87" t="str" cm="1">
        <f t="array" ref="AO76">IFERROR(INDEX(Funcionalidades!$A$2:$A$80,MATCH(TRUE, COUNTIF(Reporte_Gral!R76:Z76,Funcionalidades!$A$2:$A$80)&gt;0,0)),"No encontrado")</f>
        <v>Arqueo</v>
      </c>
      <c r="AP76" s="87" t="str">
        <f>IF(AND(COUNTIF(Tabla[[#This Row],[Etiquetas]:[Etiquetas17]],"*UAT_V*")&gt;0,COUNTIF(Tabla[[#This Row],[Etiquetas]:[Etiquetas17]],"*QA-Integración*")=0),"SI","")</f>
        <v>SI</v>
      </c>
      <c r="AQ76" s="88" t="str" cm="1">
        <f t="array" ref="AQ76">IF(Tabla[[#This Row],[Fue encontrado durante UAT?]]="SI",IFERROR(_xlfn.XLOOKUP(TRUE,ISNUMBER(SEARCH("UAT_V",Tabla[[#This Row],[Etiquetas]:[Etiquetas17]])),Tabla[[#This Row],[Etiquetas]:[Etiquetas17]]),""),"")</f>
        <v>UAT_V0.14</v>
      </c>
      <c r="AR76" s="87" t="str">
        <f>IF(COUNTIF(Tabla[[#This Row],[Etiquetas]:[Etiquetas17]],"*Devuelto*")&gt;0,"SI","")</f>
        <v>SI</v>
      </c>
      <c r="AS76" s="167">
        <f>COUNTIF(Tabla[[#This Row],[Etiquetas]:[Etiquetas17]],"*Devuelto*")</f>
        <v>1</v>
      </c>
    </row>
    <row r="77" spans="1:45">
      <c r="A77" s="40" t="s">
        <v>128</v>
      </c>
      <c r="B77" s="40" t="s">
        <v>349</v>
      </c>
      <c r="C77" s="40">
        <v>118373</v>
      </c>
      <c r="D77" s="40" t="s">
        <v>350</v>
      </c>
      <c r="E77" s="40" t="s">
        <v>36</v>
      </c>
      <c r="F77" s="40" t="s">
        <v>26</v>
      </c>
      <c r="G77" s="40" t="s">
        <v>224</v>
      </c>
      <c r="H77" s="40" t="s">
        <v>151</v>
      </c>
      <c r="I77" s="40"/>
      <c r="J77" s="40"/>
      <c r="K77" s="40"/>
      <c r="L77" s="40"/>
      <c r="M77" s="40"/>
      <c r="N77" s="40"/>
      <c r="O77" s="40"/>
      <c r="P77" s="40"/>
      <c r="Q77" s="40"/>
      <c r="R77" s="40" t="s">
        <v>287</v>
      </c>
      <c r="S77" s="40" t="s">
        <v>351</v>
      </c>
      <c r="T77" s="40" t="s">
        <v>281</v>
      </c>
      <c r="U77" s="40" t="s">
        <v>204</v>
      </c>
      <c r="V77" s="40" t="s">
        <v>154</v>
      </c>
      <c r="W77" s="40"/>
      <c r="X77" s="40"/>
      <c r="Y77" s="40"/>
      <c r="Z77" s="40"/>
      <c r="AA77" s="40" t="s">
        <v>134</v>
      </c>
      <c r="AB77" s="53">
        <v>45999.472916666666</v>
      </c>
      <c r="AC77" s="40" t="s">
        <v>174</v>
      </c>
      <c r="AD77" s="40"/>
      <c r="AE77" s="40"/>
      <c r="AF77" s="40"/>
      <c r="AG77" s="40" t="s">
        <v>141</v>
      </c>
      <c r="AH77" s="10"/>
      <c r="AI77" s="87"/>
      <c r="AJ77" s="87" cm="1">
        <f t="array" ref="AJ77">IFERROR(_xlfn.XLOOKUP(TRUE,COUNTIF(Tabla[[#This Row],[Etiquetas]:[Etiquetas17]],Versiones!$G$2:$G$36)&gt;0,Versiones!$B$2:$B$36), "")</f>
        <v>24</v>
      </c>
      <c r="AK77" s="87" t="str" cm="1">
        <f t="array" ref="AK77">IFERROR(_xlfn.XLOOKUP(TRUE,COUNTIF(Tabla[[#This Row],[Etiquetas]:[Etiquetas17]],Versiones!$G$2:$G$36)&gt;0,Versiones!$A$2:$A$36), "")</f>
        <v>V0.14</v>
      </c>
      <c r="AL7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77" s="78">
        <f>IFERROR(_xlfn.XLOOKUP(Tabla[[#This Row],[¿En qué versión fue corregido?]],Versiones!$A$2:$A$34,Versiones!$B$2:$B$34),"No encontrado")</f>
        <v>25</v>
      </c>
      <c r="AN77" s="88" t="str" cm="1">
        <f t="array" ref="AN77">IFERROR(_xlfn.XLOOKUP(TRUE,COUNTIF(Tabla[[#This Row],[Etiquetas]:[Etiquetas17]],Categorías!$A$2:$A$12)&gt;0,Categorías!$A$2:$A$12),"No encontrado")</f>
        <v>Eventos_iOT</v>
      </c>
      <c r="AO77" s="87" t="str" cm="1">
        <f t="array" ref="AO77">IFERROR(INDEX(Funcionalidades!$A$2:$A$80,MATCH(TRUE, COUNTIF(Reporte_Gral!R77:Z77,Funcionalidades!$A$2:$A$80)&gt;0,0)),"No encontrado")</f>
        <v>Inicio-De-Día</v>
      </c>
      <c r="AP77" s="87" t="str">
        <f>IF(AND(COUNTIF(Tabla[[#This Row],[Etiquetas]:[Etiquetas17]],"*UAT_V*")&gt;0,COUNTIF(Tabla[[#This Row],[Etiquetas]:[Etiquetas17]],"*QA-Integración*")=0),"SI","")</f>
        <v/>
      </c>
      <c r="AQ77" s="88" t="str" cm="1">
        <f t="array" ref="AQ77">IF(Tabla[[#This Row],[Fue encontrado durante UAT?]]="SI",IFERROR(_xlfn.XLOOKUP(TRUE,ISNUMBER(SEARCH("UAT_V",Tabla[[#This Row],[Etiquetas]:[Etiquetas17]])),Tabla[[#This Row],[Etiquetas]:[Etiquetas17]]),""),"")</f>
        <v/>
      </c>
      <c r="AR77" s="87" t="str">
        <f>IF(COUNTIF(Tabla[[#This Row],[Etiquetas]:[Etiquetas17]],"*Devuelto*")&gt;0,"SI","")</f>
        <v/>
      </c>
      <c r="AS77" s="167">
        <f>COUNTIF(Tabla[[#This Row],[Etiquetas]:[Etiquetas17]],"*Devuelto*")</f>
        <v>0</v>
      </c>
    </row>
    <row r="78" spans="1:45">
      <c r="A78" s="40" t="s">
        <v>128</v>
      </c>
      <c r="B78" s="40" t="s">
        <v>352</v>
      </c>
      <c r="C78" s="40">
        <v>118259</v>
      </c>
      <c r="D78" s="40" t="s">
        <v>353</v>
      </c>
      <c r="E78" s="40" t="s">
        <v>37</v>
      </c>
      <c r="F78" s="40" t="s">
        <v>27</v>
      </c>
      <c r="G78" s="40" t="s">
        <v>224</v>
      </c>
      <c r="H78" s="40" t="s">
        <v>151</v>
      </c>
      <c r="I78" s="40"/>
      <c r="J78" s="40"/>
      <c r="K78" s="40"/>
      <c r="L78" s="40"/>
      <c r="M78" s="40"/>
      <c r="N78" s="40"/>
      <c r="O78" s="40"/>
      <c r="P78" s="40"/>
      <c r="Q78" s="40"/>
      <c r="R78" s="40" t="s">
        <v>162</v>
      </c>
      <c r="S78" s="40" t="s">
        <v>132</v>
      </c>
      <c r="T78" s="40" t="s">
        <v>281</v>
      </c>
      <c r="U78" s="40" t="s">
        <v>204</v>
      </c>
      <c r="V78" s="40" t="s">
        <v>154</v>
      </c>
      <c r="W78" s="40"/>
      <c r="X78" s="40"/>
      <c r="Y78" s="40"/>
      <c r="Z78" s="40"/>
      <c r="AA78" s="40" t="s">
        <v>134</v>
      </c>
      <c r="AB78" s="53">
        <v>45999.354166666664</v>
      </c>
      <c r="AC78" s="40" t="s">
        <v>174</v>
      </c>
      <c r="AD78" s="40"/>
      <c r="AE78" s="40"/>
      <c r="AF78" s="40"/>
      <c r="AG78" s="40" t="s">
        <v>141</v>
      </c>
      <c r="AH78" s="10"/>
      <c r="AI78" s="87"/>
      <c r="AJ78" s="87" cm="1">
        <f t="array" ref="AJ78">IFERROR(_xlfn.XLOOKUP(TRUE,COUNTIF(Tabla[[#This Row],[Etiquetas]:[Etiquetas17]],Versiones!$G$2:$G$36)&gt;0,Versiones!$B$2:$B$36), "")</f>
        <v>24</v>
      </c>
      <c r="AK78" s="87" t="str" cm="1">
        <f t="array" ref="AK78">IFERROR(_xlfn.XLOOKUP(TRUE,COUNTIF(Tabla[[#This Row],[Etiquetas]:[Etiquetas17]],Versiones!$G$2:$G$36)&gt;0,Versiones!$A$2:$A$36), "")</f>
        <v>V0.14</v>
      </c>
      <c r="AL7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78" s="78">
        <f>IFERROR(_xlfn.XLOOKUP(Tabla[[#This Row],[¿En qué versión fue corregido?]],Versiones!$A$2:$A$34,Versiones!$B$2:$B$34),"No encontrado")</f>
        <v>25</v>
      </c>
      <c r="AN78" s="88" t="str" cm="1">
        <f t="array" ref="AN78">IFERROR(_xlfn.XLOOKUP(TRUE,COUNTIF(Tabla[[#This Row],[Etiquetas]:[Etiquetas17]],Categorías!$A$2:$A$12)&gt;0,Categorías!$A$2:$A$12),"No encontrado")</f>
        <v>Look&amp;Feel</v>
      </c>
      <c r="AO78" s="87" t="str" cm="1">
        <f t="array" ref="AO78">IFERROR(INDEX(Funcionalidades!$A$2:$A$80,MATCH(TRUE, COUNTIF(Reporte_Gral!R78:Z78,Funcionalidades!$A$2:$A$80)&gt;0,0)),"No encontrado")</f>
        <v>Imprimir-Cambios-De-Precio</v>
      </c>
      <c r="AP78" s="87" t="str">
        <f>IF(AND(COUNTIF(Tabla[[#This Row],[Etiquetas]:[Etiquetas17]],"*UAT_V*")&gt;0,COUNTIF(Tabla[[#This Row],[Etiquetas]:[Etiquetas17]],"*QA-Integración*")=0),"SI","")</f>
        <v/>
      </c>
      <c r="AQ78" s="88" t="str" cm="1">
        <f t="array" ref="AQ78">IF(Tabla[[#This Row],[Fue encontrado durante UAT?]]="SI",IFERROR(_xlfn.XLOOKUP(TRUE,ISNUMBER(SEARCH("UAT_V",Tabla[[#This Row],[Etiquetas]:[Etiquetas17]])),Tabla[[#This Row],[Etiquetas]:[Etiquetas17]]),""),"")</f>
        <v/>
      </c>
      <c r="AR78" s="87" t="str">
        <f>IF(COUNTIF(Tabla[[#This Row],[Etiquetas]:[Etiquetas17]],"*Devuelto*")&gt;0,"SI","")</f>
        <v/>
      </c>
      <c r="AS78" s="167">
        <f>COUNTIF(Tabla[[#This Row],[Etiquetas]:[Etiquetas17]],"*Devuelto*")</f>
        <v>0</v>
      </c>
    </row>
    <row r="79" spans="1:45">
      <c r="A79" s="40" t="s">
        <v>128</v>
      </c>
      <c r="B79" s="40" t="s">
        <v>354</v>
      </c>
      <c r="C79" s="40">
        <v>118023</v>
      </c>
      <c r="D79" s="40" t="s">
        <v>355</v>
      </c>
      <c r="E79" s="40" t="s">
        <v>36</v>
      </c>
      <c r="F79" s="40" t="s">
        <v>26</v>
      </c>
      <c r="G79" s="40" t="s">
        <v>224</v>
      </c>
      <c r="H79" s="40" t="s">
        <v>151</v>
      </c>
      <c r="I79" s="40"/>
      <c r="J79" s="40"/>
      <c r="K79" s="40"/>
      <c r="L79" s="40"/>
      <c r="M79" s="40"/>
      <c r="N79" s="40"/>
      <c r="O79" s="40"/>
      <c r="P79" s="40"/>
      <c r="Q79" s="40"/>
      <c r="R79" s="40" t="s">
        <v>139</v>
      </c>
      <c r="S79" s="40" t="s">
        <v>162</v>
      </c>
      <c r="T79" s="40" t="s">
        <v>132</v>
      </c>
      <c r="U79" s="40" t="s">
        <v>356</v>
      </c>
      <c r="V79" s="40" t="s">
        <v>204</v>
      </c>
      <c r="W79" s="40" t="s">
        <v>154</v>
      </c>
      <c r="X79" s="40"/>
      <c r="Y79" s="40"/>
      <c r="Z79" s="40"/>
      <c r="AA79" s="40" t="s">
        <v>134</v>
      </c>
      <c r="AB79" s="53">
        <v>45996.677777777775</v>
      </c>
      <c r="AC79" s="40" t="s">
        <v>174</v>
      </c>
      <c r="AD79" s="40"/>
      <c r="AE79" s="40"/>
      <c r="AF79" s="40"/>
      <c r="AG79" s="40" t="s">
        <v>141</v>
      </c>
      <c r="AH79" s="10" t="s">
        <v>184</v>
      </c>
      <c r="AI79" s="87"/>
      <c r="AJ79" s="87" cm="1">
        <f t="array" ref="AJ79">IFERROR(_xlfn.XLOOKUP(TRUE,COUNTIF(Tabla[[#This Row],[Etiquetas]:[Etiquetas17]],Versiones!$G$2:$G$36)&gt;0,Versiones!$B$2:$B$36), "")</f>
        <v>23</v>
      </c>
      <c r="AK79" s="87" t="str" cm="1">
        <f t="array" ref="AK79">IFERROR(_xlfn.XLOOKUP(TRUE,COUNTIF(Tabla[[#This Row],[Etiquetas]:[Etiquetas17]],Versiones!$G$2:$G$36)&gt;0,Versiones!$A$2:$A$36), "")</f>
        <v>V0.13</v>
      </c>
      <c r="AL7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79" s="78">
        <f>IFERROR(_xlfn.XLOOKUP(Tabla[[#This Row],[¿En qué versión fue corregido?]],Versiones!$A$2:$A$34,Versiones!$B$2:$B$34),"No encontrado")</f>
        <v>25</v>
      </c>
      <c r="AN79" s="88" t="str" cm="1">
        <f t="array" ref="AN79">IFERROR(_xlfn.XLOOKUP(TRUE,COUNTIF(Tabla[[#This Row],[Etiquetas]:[Etiquetas17]],Categorías!$A$2:$A$12)&gt;0,Categorías!$A$2:$A$12),"No encontrado")</f>
        <v>Funcional</v>
      </c>
      <c r="AO79" s="87" t="str" cm="1">
        <f t="array" ref="AO79">IFERROR(INDEX(Funcionalidades!$A$2:$A$80,MATCH(TRUE, COUNTIF(Reporte_Gral!R79:Z79,Funcionalidades!$A$2:$A$80)&gt;0,0)),"No encontrado")</f>
        <v>Imprimir-Cambios-De-Precio</v>
      </c>
      <c r="AP79" s="87" t="str">
        <f>IF(AND(COUNTIF(Tabla[[#This Row],[Etiquetas]:[Etiquetas17]],"*UAT_V*")&gt;0,COUNTIF(Tabla[[#This Row],[Etiquetas]:[Etiquetas17]],"*QA-Integración*")=0),"SI","")</f>
        <v/>
      </c>
      <c r="AQ79" s="88" t="str" cm="1">
        <f t="array" ref="AQ79">IF(Tabla[[#This Row],[Fue encontrado durante UAT?]]="SI",IFERROR(_xlfn.XLOOKUP(TRUE,ISNUMBER(SEARCH("UAT_V",Tabla[[#This Row],[Etiquetas]:[Etiquetas17]])),Tabla[[#This Row],[Etiquetas]:[Etiquetas17]]),""),"")</f>
        <v/>
      </c>
      <c r="AR79" s="87" t="str">
        <f>IF(COUNTIF(Tabla[[#This Row],[Etiquetas]:[Etiquetas17]],"*Devuelto*")&gt;0,"SI","")</f>
        <v/>
      </c>
      <c r="AS79" s="167">
        <f>COUNTIF(Tabla[[#This Row],[Etiquetas]:[Etiquetas17]],"*Devuelto*")</f>
        <v>0</v>
      </c>
    </row>
    <row r="80" spans="1:45">
      <c r="A80" s="40" t="s">
        <v>128</v>
      </c>
      <c r="B80" s="40" t="s">
        <v>357</v>
      </c>
      <c r="C80" s="40">
        <v>118013</v>
      </c>
      <c r="D80" s="40" t="s">
        <v>358</v>
      </c>
      <c r="E80" s="40" t="s">
        <v>37</v>
      </c>
      <c r="F80" s="40" t="s">
        <v>27</v>
      </c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 t="s">
        <v>139</v>
      </c>
      <c r="S80" s="40" t="s">
        <v>162</v>
      </c>
      <c r="T80" s="40" t="s">
        <v>132</v>
      </c>
      <c r="U80" s="40" t="s">
        <v>356</v>
      </c>
      <c r="V80" s="40"/>
      <c r="W80" s="40"/>
      <c r="X80" s="40"/>
      <c r="Y80" s="40"/>
      <c r="Z80" s="40"/>
      <c r="AA80" s="40" t="s">
        <v>134</v>
      </c>
      <c r="AB80" s="53">
        <v>45996.664583333331</v>
      </c>
      <c r="AC80" s="40"/>
      <c r="AD80" s="40"/>
      <c r="AE80" s="40"/>
      <c r="AF80" s="40"/>
      <c r="AG80" s="40" t="s">
        <v>141</v>
      </c>
      <c r="AH80" s="10" t="s">
        <v>184</v>
      </c>
      <c r="AI80" s="87"/>
      <c r="AJ80" s="87" cm="1">
        <f t="array" ref="AJ80">IFERROR(_xlfn.XLOOKUP(TRUE,COUNTIF(Tabla[[#This Row],[Etiquetas]:[Etiquetas17]],Versiones!$G$2:$G$36)&gt;0,Versiones!$B$2:$B$36), "")</f>
        <v>23</v>
      </c>
      <c r="AK80" s="87" t="str" cm="1">
        <f t="array" ref="AK80">IFERROR(_xlfn.XLOOKUP(TRUE,COUNTIF(Tabla[[#This Row],[Etiquetas]:[Etiquetas17]],Versiones!$G$2:$G$36)&gt;0,Versiones!$A$2:$A$36), "")</f>
        <v>V0.13</v>
      </c>
      <c r="AL8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0" s="78" t="str">
        <f>IFERROR(_xlfn.XLOOKUP(Tabla[[#This Row],[¿En qué versión fue corregido?]],Versiones!$A$2:$A$34,Versiones!$B$2:$B$34),"No encontrado")</f>
        <v>No encontrado</v>
      </c>
      <c r="AN80" s="88" t="str" cm="1">
        <f t="array" ref="AN80">IFERROR(_xlfn.XLOOKUP(TRUE,COUNTIF(Tabla[[#This Row],[Etiquetas]:[Etiquetas17]],Categorías!$A$2:$A$12)&gt;0,Categorías!$A$2:$A$12),"No encontrado")</f>
        <v>Funcional</v>
      </c>
      <c r="AO80" s="87" t="str" cm="1">
        <f t="array" ref="AO80">IFERROR(INDEX(Funcionalidades!$A$2:$A$80,MATCH(TRUE, COUNTIF(Reporte_Gral!R80:Z80,Funcionalidades!$A$2:$A$80)&gt;0,0)),"No encontrado")</f>
        <v>Imprimir-Cambios-De-Precio</v>
      </c>
      <c r="AP80" s="87" t="str">
        <f>IF(AND(COUNTIF(Tabla[[#This Row],[Etiquetas]:[Etiquetas17]],"*UAT_V*")&gt;0,COUNTIF(Tabla[[#This Row],[Etiquetas]:[Etiquetas17]],"*QA-Integración*")=0),"SI","")</f>
        <v/>
      </c>
      <c r="AQ80" s="88" t="str" cm="1">
        <f t="array" ref="AQ80">IF(Tabla[[#This Row],[Fue encontrado durante UAT?]]="SI",IFERROR(_xlfn.XLOOKUP(TRUE,ISNUMBER(SEARCH("UAT_V",Tabla[[#This Row],[Etiquetas]:[Etiquetas17]])),Tabla[[#This Row],[Etiquetas]:[Etiquetas17]]),""),"")</f>
        <v/>
      </c>
      <c r="AR80" s="87" t="str">
        <f>IF(COUNTIF(Tabla[[#This Row],[Etiquetas]:[Etiquetas17]],"*Devuelto*")&gt;0,"SI","")</f>
        <v/>
      </c>
      <c r="AS80" s="167">
        <f>COUNTIF(Tabla[[#This Row],[Etiquetas]:[Etiquetas17]],"*Devuelto*")</f>
        <v>0</v>
      </c>
    </row>
    <row r="81" spans="1:45">
      <c r="A81" s="40" t="s">
        <v>128</v>
      </c>
      <c r="B81" s="40" t="s">
        <v>359</v>
      </c>
      <c r="C81" s="40">
        <v>118000</v>
      </c>
      <c r="D81" s="40" t="s">
        <v>360</v>
      </c>
      <c r="E81" s="40" t="s">
        <v>40</v>
      </c>
      <c r="F81" s="40" t="s">
        <v>27</v>
      </c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 t="s">
        <v>297</v>
      </c>
      <c r="S81" s="40" t="s">
        <v>132</v>
      </c>
      <c r="T81" s="40" t="s">
        <v>281</v>
      </c>
      <c r="U81" s="40"/>
      <c r="V81" s="40"/>
      <c r="W81" s="40"/>
      <c r="X81" s="40"/>
      <c r="Y81" s="40"/>
      <c r="Z81" s="40"/>
      <c r="AA81" s="40" t="s">
        <v>134</v>
      </c>
      <c r="AB81" s="53">
        <v>45996.631249999999</v>
      </c>
      <c r="AC81" s="40"/>
      <c r="AD81" s="40"/>
      <c r="AE81" s="40"/>
      <c r="AF81" s="40"/>
      <c r="AG81" s="40" t="s">
        <v>135</v>
      </c>
      <c r="AH81" s="10" t="s">
        <v>184</v>
      </c>
      <c r="AI81" s="87"/>
      <c r="AJ81" s="87" cm="1">
        <f t="array" ref="AJ81">IFERROR(_xlfn.XLOOKUP(TRUE,COUNTIF(Tabla[[#This Row],[Etiquetas]:[Etiquetas17]],Versiones!$G$2:$G$36)&gt;0,Versiones!$B$2:$B$36), "")</f>
        <v>24</v>
      </c>
      <c r="AK81" s="87" t="str" cm="1">
        <f t="array" ref="AK81">IFERROR(_xlfn.XLOOKUP(TRUE,COUNTIF(Tabla[[#This Row],[Etiquetas]:[Etiquetas17]],Versiones!$G$2:$G$36)&gt;0,Versiones!$A$2:$A$36), "")</f>
        <v>V0.14</v>
      </c>
      <c r="AL8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1" s="78" t="str">
        <f>IFERROR(_xlfn.XLOOKUP(Tabla[[#This Row],[¿En qué versión fue corregido?]],Versiones!$A$2:$A$34,Versiones!$B$2:$B$34),"No encontrado")</f>
        <v>No encontrado</v>
      </c>
      <c r="AN81" s="88" t="str" cm="1">
        <f t="array" ref="AN81">IFERROR(_xlfn.XLOOKUP(TRUE,COUNTIF(Tabla[[#This Row],[Etiquetas]:[Etiquetas17]],Categorías!$A$2:$A$12)&gt;0,Categorías!$A$2:$A$12),"No encontrado")</f>
        <v>Look&amp;Feel</v>
      </c>
      <c r="AO81" s="87" t="str" cm="1">
        <f t="array" ref="AO81">IFERROR(INDEX(Funcionalidades!$A$2:$A$80,MATCH(TRUE, COUNTIF(Reporte_Gral!R81:Z81,Funcionalidades!$A$2:$A$80)&gt;0,0)),"No encontrado")</f>
        <v>Arqueo</v>
      </c>
      <c r="AP81" s="87" t="str">
        <f>IF(AND(COUNTIF(Tabla[[#This Row],[Etiquetas]:[Etiquetas17]],"*UAT_V*")&gt;0,COUNTIF(Tabla[[#This Row],[Etiquetas]:[Etiquetas17]],"*QA-Integración*")=0),"SI","")</f>
        <v/>
      </c>
      <c r="AQ81" s="88" t="str" cm="1">
        <f t="array" ref="AQ81">IF(Tabla[[#This Row],[Fue encontrado durante UAT?]]="SI",IFERROR(_xlfn.XLOOKUP(TRUE,ISNUMBER(SEARCH("UAT_V",Tabla[[#This Row],[Etiquetas]:[Etiquetas17]])),Tabla[[#This Row],[Etiquetas]:[Etiquetas17]]),""),"")</f>
        <v/>
      </c>
      <c r="AR81" s="87" t="str">
        <f>IF(COUNTIF(Tabla[[#This Row],[Etiquetas]:[Etiquetas17]],"*Devuelto*")&gt;0,"SI","")</f>
        <v/>
      </c>
      <c r="AS81" s="167">
        <f>COUNTIF(Tabla[[#This Row],[Etiquetas]:[Etiquetas17]],"*Devuelto*")</f>
        <v>0</v>
      </c>
    </row>
    <row r="82" spans="1:45">
      <c r="A82" s="40" t="s">
        <v>128</v>
      </c>
      <c r="B82" s="40" t="s">
        <v>361</v>
      </c>
      <c r="C82" s="40">
        <v>117507</v>
      </c>
      <c r="D82" s="40" t="s">
        <v>362</v>
      </c>
      <c r="E82" s="40" t="s">
        <v>37</v>
      </c>
      <c r="F82" s="40" t="s">
        <v>27</v>
      </c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 t="s">
        <v>139</v>
      </c>
      <c r="S82" s="40" t="s">
        <v>281</v>
      </c>
      <c r="T82" s="40" t="s">
        <v>363</v>
      </c>
      <c r="U82" s="40" t="s">
        <v>204</v>
      </c>
      <c r="V82" s="40" t="s">
        <v>154</v>
      </c>
      <c r="W82" s="40"/>
      <c r="X82" s="40"/>
      <c r="Y82" s="40"/>
      <c r="Z82" s="40"/>
      <c r="AA82" s="40" t="s">
        <v>134</v>
      </c>
      <c r="AB82" s="53">
        <v>45995.509027777778</v>
      </c>
      <c r="AC82" s="40"/>
      <c r="AD82" s="40"/>
      <c r="AE82" s="40"/>
      <c r="AF82" s="40"/>
      <c r="AG82" s="40" t="s">
        <v>141</v>
      </c>
      <c r="AH82" s="10" t="s">
        <v>184</v>
      </c>
      <c r="AI82" s="87"/>
      <c r="AJ82" s="87" cm="1">
        <f t="array" ref="AJ82">IFERROR(_xlfn.XLOOKUP(TRUE,COUNTIF(Tabla[[#This Row],[Etiquetas]:[Etiquetas17]],Versiones!$G$2:$G$36)&gt;0,Versiones!$B$2:$B$36), "")</f>
        <v>24</v>
      </c>
      <c r="AK82" s="87" t="str" cm="1">
        <f t="array" ref="AK82">IFERROR(_xlfn.XLOOKUP(TRUE,COUNTIF(Tabla[[#This Row],[Etiquetas]:[Etiquetas17]],Versiones!$G$2:$G$36)&gt;0,Versiones!$A$2:$A$36), "")</f>
        <v>V0.14</v>
      </c>
      <c r="AL8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2" s="78" t="str">
        <f>IFERROR(_xlfn.XLOOKUP(Tabla[[#This Row],[¿En qué versión fue corregido?]],Versiones!$A$2:$A$34,Versiones!$B$2:$B$34),"No encontrado")</f>
        <v>No encontrado</v>
      </c>
      <c r="AN82" s="88" t="str" cm="1">
        <f t="array" ref="AN82">IFERROR(_xlfn.XLOOKUP(TRUE,COUNTIF(Tabla[[#This Row],[Etiquetas]:[Etiquetas17]],Categorías!$A$2:$A$12)&gt;0,Categorías!$A$2:$A$12),"No encontrado")</f>
        <v>Funcional</v>
      </c>
      <c r="AO82" s="87" t="str" cm="1">
        <f t="array" ref="AO82">IFERROR(INDEX(Funcionalidades!$A$2:$A$80,MATCH(TRUE, COUNTIF(Reporte_Gral!R82:Z82,Funcionalidades!$A$2:$A$80)&gt;0,0)),"No encontrado")</f>
        <v>Recibir-Mercancía-Pie-De-Camión</v>
      </c>
      <c r="AP82" s="87" t="str">
        <f>IF(AND(COUNTIF(Tabla[[#This Row],[Etiquetas]:[Etiquetas17]],"*UAT_V*")&gt;0,COUNTIF(Tabla[[#This Row],[Etiquetas]:[Etiquetas17]],"*QA-Integración*")=0),"SI","")</f>
        <v/>
      </c>
      <c r="AQ82" s="88" t="str" cm="1">
        <f t="array" ref="AQ82">IF(Tabla[[#This Row],[Fue encontrado durante UAT?]]="SI",IFERROR(_xlfn.XLOOKUP(TRUE,ISNUMBER(SEARCH("UAT_V",Tabla[[#This Row],[Etiquetas]:[Etiquetas17]])),Tabla[[#This Row],[Etiquetas]:[Etiquetas17]]),""),"")</f>
        <v/>
      </c>
      <c r="AR82" s="87" t="str">
        <f>IF(COUNTIF(Tabla[[#This Row],[Etiquetas]:[Etiquetas17]],"*Devuelto*")&gt;0,"SI","")</f>
        <v/>
      </c>
      <c r="AS82" s="167">
        <f>COUNTIF(Tabla[[#This Row],[Etiquetas]:[Etiquetas17]],"*Devuelto*")</f>
        <v>0</v>
      </c>
    </row>
    <row r="83" spans="1:45">
      <c r="A83" s="40" t="s">
        <v>128</v>
      </c>
      <c r="B83" s="40" t="s">
        <v>364</v>
      </c>
      <c r="C83" s="40">
        <v>117430</v>
      </c>
      <c r="D83" s="40" t="s">
        <v>365</v>
      </c>
      <c r="E83" s="40" t="s">
        <v>36</v>
      </c>
      <c r="F83" s="40" t="s">
        <v>27</v>
      </c>
      <c r="G83" s="40" t="s">
        <v>224</v>
      </c>
      <c r="H83" s="40" t="s">
        <v>151</v>
      </c>
      <c r="I83" s="40"/>
      <c r="J83" s="40"/>
      <c r="K83" s="40"/>
      <c r="L83" s="40"/>
      <c r="M83" s="40"/>
      <c r="N83" s="40"/>
      <c r="O83" s="40"/>
      <c r="P83" s="40"/>
      <c r="Q83" s="40"/>
      <c r="R83" s="40" t="s">
        <v>139</v>
      </c>
      <c r="S83" s="40" t="s">
        <v>281</v>
      </c>
      <c r="T83" s="40" t="s">
        <v>366</v>
      </c>
      <c r="U83" s="40"/>
      <c r="V83" s="40"/>
      <c r="W83" s="40"/>
      <c r="X83" s="40"/>
      <c r="Y83" s="40"/>
      <c r="Z83" s="40"/>
      <c r="AA83" s="40" t="s">
        <v>134</v>
      </c>
      <c r="AB83" s="53">
        <v>45995.417361111111</v>
      </c>
      <c r="AC83" s="40"/>
      <c r="AD83" s="40"/>
      <c r="AE83" s="40"/>
      <c r="AF83" s="40"/>
      <c r="AG83" s="40" t="s">
        <v>141</v>
      </c>
      <c r="AH83" s="10"/>
      <c r="AI83" s="87"/>
      <c r="AJ83" s="87" cm="1">
        <f t="array" ref="AJ83">IFERROR(_xlfn.XLOOKUP(TRUE,COUNTIF(Tabla[[#This Row],[Etiquetas]:[Etiquetas17]],Versiones!$G$2:$G$36)&gt;0,Versiones!$B$2:$B$36), "")</f>
        <v>24</v>
      </c>
      <c r="AK83" s="87" t="str" cm="1">
        <f t="array" ref="AK83">IFERROR(_xlfn.XLOOKUP(TRUE,COUNTIF(Tabla[[#This Row],[Etiquetas]:[Etiquetas17]],Versiones!$G$2:$G$36)&gt;0,Versiones!$A$2:$A$36), "")</f>
        <v>V0.14</v>
      </c>
      <c r="AL8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3" s="78" t="str">
        <f>IFERROR(_xlfn.XLOOKUP(Tabla[[#This Row],[¿En qué versión fue corregido?]],Versiones!$A$2:$A$34,Versiones!$B$2:$B$34),"No encontrado")</f>
        <v>No encontrado</v>
      </c>
      <c r="AN83" s="88" t="str" cm="1">
        <f t="array" ref="AN83">IFERROR(_xlfn.XLOOKUP(TRUE,COUNTIF(Tabla[[#This Row],[Etiquetas]:[Etiquetas17]],Categorías!$A$2:$A$12)&gt;0,Categorías!$A$2:$A$12),"No encontrado")</f>
        <v>Funcional</v>
      </c>
      <c r="AO83" s="87" t="str" cm="1">
        <f t="array" ref="AO83">IFERROR(INDEX(Funcionalidades!$A$2:$A$80,MATCH(TRUE, COUNTIF(Reporte_Gral!R83:Z83,Funcionalidades!$A$2:$A$80)&gt;0,0)),"No encontrado")</f>
        <v>Recibir-Mercancía-Pie-De-Camión</v>
      </c>
      <c r="AP83" s="87" t="str">
        <f>IF(AND(COUNTIF(Tabla[[#This Row],[Etiquetas]:[Etiquetas17]],"*UAT_V*")&gt;0,COUNTIF(Tabla[[#This Row],[Etiquetas]:[Etiquetas17]],"*QA-Integración*")=0),"SI","")</f>
        <v/>
      </c>
      <c r="AQ83" s="88" t="str" cm="1">
        <f t="array" ref="AQ83">IF(Tabla[[#This Row],[Fue encontrado durante UAT?]]="SI",IFERROR(_xlfn.XLOOKUP(TRUE,ISNUMBER(SEARCH("UAT_V",Tabla[[#This Row],[Etiquetas]:[Etiquetas17]])),Tabla[[#This Row],[Etiquetas]:[Etiquetas17]]),""),"")</f>
        <v/>
      </c>
      <c r="AR83" s="87" t="str">
        <f>IF(COUNTIF(Tabla[[#This Row],[Etiquetas]:[Etiquetas17]],"*Devuelto*")&gt;0,"SI","")</f>
        <v/>
      </c>
      <c r="AS83" s="167">
        <f>COUNTIF(Tabla[[#This Row],[Etiquetas]:[Etiquetas17]],"*Devuelto*")</f>
        <v>0</v>
      </c>
    </row>
    <row r="84" spans="1:45">
      <c r="A84" s="40" t="s">
        <v>128</v>
      </c>
      <c r="B84" s="40" t="s">
        <v>367</v>
      </c>
      <c r="C84" s="40">
        <v>117165</v>
      </c>
      <c r="D84" s="40" t="s">
        <v>368</v>
      </c>
      <c r="E84" s="40" t="s">
        <v>37</v>
      </c>
      <c r="F84" s="40" t="s">
        <v>246</v>
      </c>
      <c r="G84" s="40" t="s">
        <v>151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 t="s">
        <v>132</v>
      </c>
      <c r="S84" s="40" t="s">
        <v>281</v>
      </c>
      <c r="T84" s="40" t="s">
        <v>148</v>
      </c>
      <c r="U84" s="40" t="s">
        <v>204</v>
      </c>
      <c r="V84" s="40" t="s">
        <v>154</v>
      </c>
      <c r="W84" s="40"/>
      <c r="X84" s="40"/>
      <c r="Y84" s="40"/>
      <c r="Z84" s="40"/>
      <c r="AA84" s="40" t="s">
        <v>134</v>
      </c>
      <c r="AB84" s="53">
        <v>45994.69027777778</v>
      </c>
      <c r="AC84" s="40" t="s">
        <v>155</v>
      </c>
      <c r="AD84" s="40"/>
      <c r="AE84" s="40"/>
      <c r="AF84" s="40"/>
      <c r="AG84" s="40" t="s">
        <v>141</v>
      </c>
      <c r="AH84" s="10"/>
      <c r="AI84" s="87"/>
      <c r="AJ84" s="87" cm="1">
        <f t="array" ref="AJ84">IFERROR(_xlfn.XLOOKUP(TRUE,COUNTIF(Tabla[[#This Row],[Etiquetas]:[Etiquetas17]],Versiones!$G$2:$G$36)&gt;0,Versiones!$B$2:$B$36), "")</f>
        <v>24</v>
      </c>
      <c r="AK84" s="87" t="str" cm="1">
        <f t="array" ref="AK84">IFERROR(_xlfn.XLOOKUP(TRUE,COUNTIF(Tabla[[#This Row],[Etiquetas]:[Etiquetas17]],Versiones!$G$2:$G$36)&gt;0,Versiones!$A$2:$A$36), "")</f>
        <v>V0.14</v>
      </c>
      <c r="AL8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84" s="78">
        <f>IFERROR(_xlfn.XLOOKUP(Tabla[[#This Row],[¿En qué versión fue corregido?]],Versiones!$A$2:$A$34,Versiones!$B$2:$B$34),"No encontrado")</f>
        <v>0</v>
      </c>
      <c r="AN84" s="88" t="str" cm="1">
        <f t="array" ref="AN84">IFERROR(_xlfn.XLOOKUP(TRUE,COUNTIF(Tabla[[#This Row],[Etiquetas]:[Etiquetas17]],Categorías!$A$2:$A$12)&gt;0,Categorías!$A$2:$A$12),"No encontrado")</f>
        <v>Look&amp;Feel</v>
      </c>
      <c r="AO84" s="87" t="str" cm="1">
        <f t="array" ref="AO84">IFERROR(INDEX(Funcionalidades!$A$2:$A$80,MATCH(TRUE, COUNTIF(Reporte_Gral!R84:Z84,Funcionalidades!$A$2:$A$80)&gt;0,0)),"No encontrado")</f>
        <v>Recibir-Mercancía-Almacén-Tienda</v>
      </c>
      <c r="AP84" s="87" t="str">
        <f>IF(AND(COUNTIF(Tabla[[#This Row],[Etiquetas]:[Etiquetas17]],"*UAT_V*")&gt;0,COUNTIF(Tabla[[#This Row],[Etiquetas]:[Etiquetas17]],"*QA-Integración*")=0),"SI","")</f>
        <v/>
      </c>
      <c r="AQ84" s="88" t="str" cm="1">
        <f t="array" ref="AQ84">IF(Tabla[[#This Row],[Fue encontrado durante UAT?]]="SI",IFERROR(_xlfn.XLOOKUP(TRUE,ISNUMBER(SEARCH("UAT_V",Tabla[[#This Row],[Etiquetas]:[Etiquetas17]])),Tabla[[#This Row],[Etiquetas]:[Etiquetas17]]),""),"")</f>
        <v/>
      </c>
      <c r="AR84" s="87" t="str">
        <f>IF(COUNTIF(Tabla[[#This Row],[Etiquetas]:[Etiquetas17]],"*Devuelto*")&gt;0,"SI","")</f>
        <v/>
      </c>
      <c r="AS84" s="167">
        <f>COUNTIF(Tabla[[#This Row],[Etiquetas]:[Etiquetas17]],"*Devuelto*")</f>
        <v>0</v>
      </c>
    </row>
    <row r="85" spans="1:45" ht="17.25" customHeight="1">
      <c r="A85" s="40" t="s">
        <v>128</v>
      </c>
      <c r="B85" s="40" t="s">
        <v>369</v>
      </c>
      <c r="C85" s="40">
        <v>117145</v>
      </c>
      <c r="D85" s="40" t="s">
        <v>370</v>
      </c>
      <c r="E85" s="40" t="s">
        <v>36</v>
      </c>
      <c r="F85" s="40" t="s">
        <v>26</v>
      </c>
      <c r="G85" s="40" t="s">
        <v>224</v>
      </c>
      <c r="H85" s="40" t="s">
        <v>151</v>
      </c>
      <c r="I85" s="40"/>
      <c r="J85" s="40"/>
      <c r="K85" s="40"/>
      <c r="L85" s="40"/>
      <c r="M85" s="40"/>
      <c r="N85" s="40"/>
      <c r="O85" s="40"/>
      <c r="P85" s="40"/>
      <c r="Q85" s="40"/>
      <c r="R85" s="40" t="s">
        <v>145</v>
      </c>
      <c r="S85" s="40" t="s">
        <v>371</v>
      </c>
      <c r="T85" s="40" t="s">
        <v>132</v>
      </c>
      <c r="U85" s="40" t="s">
        <v>281</v>
      </c>
      <c r="V85" s="40" t="s">
        <v>226</v>
      </c>
      <c r="W85" s="40" t="s">
        <v>154</v>
      </c>
      <c r="X85" s="40"/>
      <c r="Y85" s="40"/>
      <c r="Z85" s="40"/>
      <c r="AA85" s="40" t="s">
        <v>217</v>
      </c>
      <c r="AB85" s="53">
        <v>45994.65902777778</v>
      </c>
      <c r="AC85" s="40" t="s">
        <v>174</v>
      </c>
      <c r="AD85" s="40"/>
      <c r="AE85" s="40"/>
      <c r="AF85" s="40"/>
      <c r="AG85" s="40" t="s">
        <v>135</v>
      </c>
      <c r="AH85" s="10"/>
      <c r="AI85" s="87"/>
      <c r="AJ85" s="87" cm="1">
        <f t="array" ref="AJ85">IFERROR(_xlfn.XLOOKUP(TRUE,COUNTIF(Tabla[[#This Row],[Etiquetas]:[Etiquetas17]],Versiones!$G$2:$G$36)&gt;0,Versiones!$B$2:$B$36), "")</f>
        <v>24</v>
      </c>
      <c r="AK85" s="87" t="str" cm="1">
        <f t="array" ref="AK85">IFERROR(_xlfn.XLOOKUP(TRUE,COUNTIF(Tabla[[#This Row],[Etiquetas]:[Etiquetas17]],Versiones!$G$2:$G$36)&gt;0,Versiones!$A$2:$A$36), "")</f>
        <v>V0.14</v>
      </c>
      <c r="AL8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85" s="78">
        <f>IFERROR(_xlfn.XLOOKUP(Tabla[[#This Row],[¿En qué versión fue corregido?]],Versiones!$A$2:$A$34,Versiones!$B$2:$B$34),"No encontrado")</f>
        <v>25</v>
      </c>
      <c r="AN85" s="88" t="str" cm="1">
        <f t="array" ref="AN85">IFERROR(_xlfn.XLOOKUP(TRUE,COUNTIF(Tabla[[#This Row],[Etiquetas]:[Etiquetas17]],Categorías!$A$2:$A$12)&gt;0,Categorías!$A$2:$A$12),"No encontrado")</f>
        <v>Look&amp;Feel</v>
      </c>
      <c r="AO85" s="87" t="str" cm="1">
        <f t="array" ref="AO85">IFERROR(INDEX(Funcionalidades!$A$2:$A$80,MATCH(TRUE, COUNTIF(Reporte_Gral!R85:Z85,Funcionalidades!$A$2:$A$80)&gt;0,0)),"No encontrado")</f>
        <v>Cierre-De-Turno</v>
      </c>
      <c r="AP85" s="87" t="str">
        <f>IF(AND(COUNTIF(Tabla[[#This Row],[Etiquetas]:[Etiquetas17]],"*UAT_V*")&gt;0,COUNTIF(Tabla[[#This Row],[Etiquetas]:[Etiquetas17]],"*QA-Integración*")=0),"SI","")</f>
        <v/>
      </c>
      <c r="AQ85" s="88" t="str" cm="1">
        <f t="array" ref="AQ85">IF(Tabla[[#This Row],[Fue encontrado durante UAT?]]="SI",IFERROR(_xlfn.XLOOKUP(TRUE,ISNUMBER(SEARCH("UAT_V",Tabla[[#This Row],[Etiquetas]:[Etiquetas17]])),Tabla[[#This Row],[Etiquetas]:[Etiquetas17]]),""),"")</f>
        <v/>
      </c>
      <c r="AR85" s="87" t="str">
        <f>IF(COUNTIF(Tabla[[#This Row],[Etiquetas]:[Etiquetas17]],"*Devuelto*")&gt;0,"SI","")</f>
        <v/>
      </c>
      <c r="AS85" s="167">
        <f>COUNTIF(Tabla[[#This Row],[Etiquetas]:[Etiquetas17]],"*Devuelto*")</f>
        <v>0</v>
      </c>
    </row>
    <row r="86" spans="1:45">
      <c r="A86" s="40" t="s">
        <v>128</v>
      </c>
      <c r="B86" s="40" t="s">
        <v>372</v>
      </c>
      <c r="C86" s="40">
        <v>117005</v>
      </c>
      <c r="D86" s="40" t="s">
        <v>373</v>
      </c>
      <c r="E86" s="40" t="s">
        <v>36</v>
      </c>
      <c r="F86" s="40" t="s">
        <v>26</v>
      </c>
      <c r="G86" s="40" t="s">
        <v>224</v>
      </c>
      <c r="H86" s="40" t="s">
        <v>151</v>
      </c>
      <c r="I86" s="40"/>
      <c r="J86" s="40"/>
      <c r="K86" s="40"/>
      <c r="L86" s="40"/>
      <c r="M86" s="40"/>
      <c r="N86" s="40"/>
      <c r="O86" s="40"/>
      <c r="P86" s="40"/>
      <c r="Q86" s="40"/>
      <c r="R86" s="40" t="s">
        <v>139</v>
      </c>
      <c r="S86" s="40" t="s">
        <v>371</v>
      </c>
      <c r="T86" s="40" t="s">
        <v>281</v>
      </c>
      <c r="U86" s="40" t="s">
        <v>152</v>
      </c>
      <c r="V86" s="40" t="s">
        <v>204</v>
      </c>
      <c r="W86" s="40" t="s">
        <v>154</v>
      </c>
      <c r="X86" s="40"/>
      <c r="Y86" s="40"/>
      <c r="Z86" s="40"/>
      <c r="AA86" s="40" t="s">
        <v>134</v>
      </c>
      <c r="AB86" s="53">
        <v>45994.38958333333</v>
      </c>
      <c r="AC86" s="40" t="s">
        <v>174</v>
      </c>
      <c r="AD86" s="40"/>
      <c r="AE86" s="40"/>
      <c r="AF86" s="40"/>
      <c r="AG86" s="40" t="s">
        <v>141</v>
      </c>
      <c r="AH86" s="10" t="s">
        <v>184</v>
      </c>
      <c r="AI86" s="87"/>
      <c r="AJ86" s="87" cm="1">
        <f t="array" ref="AJ86">IFERROR(_xlfn.XLOOKUP(TRUE,COUNTIF(Tabla[[#This Row],[Etiquetas]:[Etiquetas17]],Versiones!$G$2:$G$36)&gt;0,Versiones!$B$2:$B$36), "")</f>
        <v>24</v>
      </c>
      <c r="AK86" s="87" t="str" cm="1">
        <f t="array" ref="AK86">IFERROR(_xlfn.XLOOKUP(TRUE,COUNTIF(Tabla[[#This Row],[Etiquetas]:[Etiquetas17]],Versiones!$G$2:$G$36)&gt;0,Versiones!$A$2:$A$36), "")</f>
        <v>V0.14</v>
      </c>
      <c r="AL8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86" s="78">
        <f>IFERROR(_xlfn.XLOOKUP(Tabla[[#This Row],[¿En qué versión fue corregido?]],Versiones!$A$2:$A$34,Versiones!$B$2:$B$34),"No encontrado")</f>
        <v>25</v>
      </c>
      <c r="AN86" s="88" t="str" cm="1">
        <f t="array" ref="AN86">IFERROR(_xlfn.XLOOKUP(TRUE,COUNTIF(Tabla[[#This Row],[Etiquetas]:[Etiquetas17]],Categorías!$A$2:$A$12)&gt;0,Categorías!$A$2:$A$12),"No encontrado")</f>
        <v>Funcional</v>
      </c>
      <c r="AO86" s="87" t="str" cm="1">
        <f t="array" ref="AO86">IFERROR(INDEX(Funcionalidades!$A$2:$A$80,MATCH(TRUE, COUNTIF(Reporte_Gral!R86:Z86,Funcionalidades!$A$2:$A$80)&gt;0,0)),"No encontrado")</f>
        <v>Registrar-Merma</v>
      </c>
      <c r="AP86" s="87" t="str">
        <f>IF(AND(COUNTIF(Tabla[[#This Row],[Etiquetas]:[Etiquetas17]],"*UAT_V*")&gt;0,COUNTIF(Tabla[[#This Row],[Etiquetas]:[Etiquetas17]],"*QA-Integración*")=0),"SI","")</f>
        <v/>
      </c>
      <c r="AQ86" s="88" t="str" cm="1">
        <f t="array" ref="AQ86">IF(Tabla[[#This Row],[Fue encontrado durante UAT?]]="SI",IFERROR(_xlfn.XLOOKUP(TRUE,ISNUMBER(SEARCH("UAT_V",Tabla[[#This Row],[Etiquetas]:[Etiquetas17]])),Tabla[[#This Row],[Etiquetas]:[Etiquetas17]]),""),"")</f>
        <v/>
      </c>
      <c r="AR86" s="87" t="str">
        <f>IF(COUNTIF(Tabla[[#This Row],[Etiquetas]:[Etiquetas17]],"*Devuelto*")&gt;0,"SI","")</f>
        <v/>
      </c>
      <c r="AS86" s="167">
        <f>COUNTIF(Tabla[[#This Row],[Etiquetas]:[Etiquetas17]],"*Devuelto*")</f>
        <v>0</v>
      </c>
    </row>
    <row r="87" spans="1:45">
      <c r="A87" s="40" t="s">
        <v>128</v>
      </c>
      <c r="B87" s="40" t="s">
        <v>374</v>
      </c>
      <c r="C87" s="40">
        <v>116774</v>
      </c>
      <c r="D87" s="40" t="s">
        <v>375</v>
      </c>
      <c r="E87" s="40" t="s">
        <v>36</v>
      </c>
      <c r="F87" s="40" t="s">
        <v>27</v>
      </c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 t="s">
        <v>376</v>
      </c>
      <c r="S87" s="40" t="s">
        <v>139</v>
      </c>
      <c r="T87" s="40" t="s">
        <v>340</v>
      </c>
      <c r="U87" s="40" t="s">
        <v>281</v>
      </c>
      <c r="V87" s="40" t="s">
        <v>194</v>
      </c>
      <c r="W87" s="40" t="s">
        <v>204</v>
      </c>
      <c r="X87" s="40" t="s">
        <v>154</v>
      </c>
      <c r="Y87" s="40"/>
      <c r="Z87" s="40"/>
      <c r="AA87" s="40" t="s">
        <v>134</v>
      </c>
      <c r="AB87" s="53">
        <v>45993.579861111109</v>
      </c>
      <c r="AC87" s="40"/>
      <c r="AD87" s="40"/>
      <c r="AE87" s="40"/>
      <c r="AF87" s="40"/>
      <c r="AG87" s="40" t="s">
        <v>141</v>
      </c>
      <c r="AH87" s="10"/>
      <c r="AI87" s="89"/>
      <c r="AJ87" s="87" cm="1">
        <f t="array" ref="AJ87">IFERROR(_xlfn.XLOOKUP(TRUE,COUNTIF(Tabla[[#This Row],[Etiquetas]:[Etiquetas17]],Versiones!$G$2:$G$36)&gt;0,Versiones!$B$2:$B$36), "")</f>
        <v>24</v>
      </c>
      <c r="AK87" s="87" t="str" cm="1">
        <f t="array" ref="AK87">IFERROR(_xlfn.XLOOKUP(TRUE,COUNTIF(Tabla[[#This Row],[Etiquetas]:[Etiquetas17]],Versiones!$G$2:$G$36)&gt;0,Versiones!$A$2:$A$36), "")</f>
        <v>V0.14</v>
      </c>
      <c r="AL8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7" s="78" t="str">
        <f>IFERROR(_xlfn.XLOOKUP(Tabla[[#This Row],[¿En qué versión fue corregido?]],Versiones!$A$2:$A$34,Versiones!$B$2:$B$34),"No encontrado")</f>
        <v>No encontrado</v>
      </c>
      <c r="AN87" s="88" t="str" cm="1">
        <f t="array" ref="AN87">IFERROR(_xlfn.XLOOKUP(TRUE,COUNTIF(Tabla[[#This Row],[Etiquetas]:[Etiquetas17]],Categorías!$A$2:$A$12)&gt;0,Categorías!$A$2:$A$12),"No encontrado")</f>
        <v>Funcional</v>
      </c>
      <c r="AO87" s="87" t="str" cm="1">
        <f t="array" ref="AO87">IFERROR(INDEX(Funcionalidades!$A$2:$A$80,MATCH(TRUE, COUNTIF(Reporte_Gral!R87:Z87,Funcionalidades!$A$2:$A$80)&gt;0,0)),"No encontrado")</f>
        <v>Confirmar-Cierre-De-Turno</v>
      </c>
      <c r="AP87" s="87" t="str">
        <f>IF(AND(COUNTIF(Tabla[[#This Row],[Etiquetas]:[Etiquetas17]],"*UAT_V*")&gt;0,COUNTIF(Tabla[[#This Row],[Etiquetas]:[Etiquetas17]],"*QA-Integración*")=0),"SI","")</f>
        <v/>
      </c>
      <c r="AQ87" s="88" t="str" cm="1">
        <f t="array" ref="AQ87">IF(Tabla[[#This Row],[Fue encontrado durante UAT?]]="SI",IFERROR(_xlfn.XLOOKUP(TRUE,ISNUMBER(SEARCH("UAT_V",Tabla[[#This Row],[Etiquetas]:[Etiquetas17]])),Tabla[[#This Row],[Etiquetas]:[Etiquetas17]]),""),"")</f>
        <v/>
      </c>
      <c r="AR87" s="87" t="str">
        <f>IF(COUNTIF(Tabla[[#This Row],[Etiquetas]:[Etiquetas17]],"*Devuelto*")&gt;0,"SI","")</f>
        <v/>
      </c>
      <c r="AS87" s="167">
        <f>COUNTIF(Tabla[[#This Row],[Etiquetas]:[Etiquetas17]],"*Devuelto*")</f>
        <v>0</v>
      </c>
    </row>
    <row r="88" spans="1:45">
      <c r="A88" s="40" t="s">
        <v>128</v>
      </c>
      <c r="B88" s="40" t="s">
        <v>377</v>
      </c>
      <c r="C88" s="40">
        <v>116587</v>
      </c>
      <c r="D88" s="40" t="s">
        <v>378</v>
      </c>
      <c r="E88" s="40" t="s">
        <v>37</v>
      </c>
      <c r="F88" s="40" t="s">
        <v>24</v>
      </c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 t="s">
        <v>260</v>
      </c>
      <c r="S88" s="40" t="s">
        <v>139</v>
      </c>
      <c r="T88" s="40" t="s">
        <v>281</v>
      </c>
      <c r="U88" s="40"/>
      <c r="V88" s="40"/>
      <c r="W88" s="40"/>
      <c r="X88" s="40"/>
      <c r="Y88" s="40"/>
      <c r="Z88" s="40"/>
      <c r="AA88" s="40" t="s">
        <v>217</v>
      </c>
      <c r="AB88" s="53">
        <v>45993.365277777775</v>
      </c>
      <c r="AC88" s="40"/>
      <c r="AD88" s="40"/>
      <c r="AE88" s="40"/>
      <c r="AF88" s="40"/>
      <c r="AG88" s="40" t="s">
        <v>141</v>
      </c>
      <c r="AH88" s="10" t="s">
        <v>184</v>
      </c>
      <c r="AI88" s="87"/>
      <c r="AJ88" s="87" cm="1">
        <f t="array" ref="AJ88">IFERROR(_xlfn.XLOOKUP(TRUE,COUNTIF(Tabla[[#This Row],[Etiquetas]:[Etiquetas17]],Versiones!$G$2:$G$36)&gt;0,Versiones!$B$2:$B$36), "")</f>
        <v>24</v>
      </c>
      <c r="AK88" s="87" t="str" cm="1">
        <f t="array" ref="AK88">IFERROR(_xlfn.XLOOKUP(TRUE,COUNTIF(Tabla[[#This Row],[Etiquetas]:[Etiquetas17]],Versiones!$G$2:$G$36)&gt;0,Versiones!$A$2:$A$36), "")</f>
        <v>V0.14</v>
      </c>
      <c r="AL8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8" s="78" t="str">
        <f>IFERROR(_xlfn.XLOOKUP(Tabla[[#This Row],[¿En qué versión fue corregido?]],Versiones!$A$2:$A$34,Versiones!$B$2:$B$34),"No encontrado")</f>
        <v>No encontrado</v>
      </c>
      <c r="AN88" s="88" t="str" cm="1">
        <f t="array" ref="AN88">IFERROR(_xlfn.XLOOKUP(TRUE,COUNTIF(Tabla[[#This Row],[Etiquetas]:[Etiquetas17]],Categorías!$A$2:$A$12)&gt;0,Categorías!$A$2:$A$12),"No encontrado")</f>
        <v>Funcional</v>
      </c>
      <c r="AO88" s="87" t="str" cm="1">
        <f t="array" ref="AO88">IFERROR(INDEX(Funcionalidades!$A$2:$A$80,MATCH(TRUE, COUNTIF(Reporte_Gral!R88:Z88,Funcionalidades!$A$2:$A$80)&gt;0,0)),"No encontrado")</f>
        <v>Atajos-Teclado-BOT</v>
      </c>
      <c r="AP88" s="87" t="str">
        <f>IF(AND(COUNTIF(Tabla[[#This Row],[Etiquetas]:[Etiquetas17]],"*UAT_V*")&gt;0,COUNTIF(Tabla[[#This Row],[Etiquetas]:[Etiquetas17]],"*QA-Integración*")=0),"SI","")</f>
        <v/>
      </c>
      <c r="AQ88" s="88" t="str" cm="1">
        <f t="array" ref="AQ88">IF(Tabla[[#This Row],[Fue encontrado durante UAT?]]="SI",IFERROR(_xlfn.XLOOKUP(TRUE,ISNUMBER(SEARCH("UAT_V",Tabla[[#This Row],[Etiquetas]:[Etiquetas17]])),Tabla[[#This Row],[Etiquetas]:[Etiquetas17]]),""),"")</f>
        <v/>
      </c>
      <c r="AR88" s="87" t="str">
        <f>IF(COUNTIF(Tabla[[#This Row],[Etiquetas]:[Etiquetas17]],"*Devuelto*")&gt;0,"SI","")</f>
        <v/>
      </c>
      <c r="AS88" s="167">
        <f>COUNTIF(Tabla[[#This Row],[Etiquetas]:[Etiquetas17]],"*Devuelto*")</f>
        <v>0</v>
      </c>
    </row>
    <row r="89" spans="1:45">
      <c r="A89" s="40" t="s">
        <v>128</v>
      </c>
      <c r="B89" s="40" t="s">
        <v>379</v>
      </c>
      <c r="C89" s="40">
        <v>116585</v>
      </c>
      <c r="D89" s="40" t="s">
        <v>380</v>
      </c>
      <c r="E89" s="40" t="s">
        <v>37</v>
      </c>
      <c r="F89" s="40" t="s">
        <v>24</v>
      </c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 t="s">
        <v>260</v>
      </c>
      <c r="S89" s="40" t="s">
        <v>139</v>
      </c>
      <c r="T89" s="40" t="s">
        <v>281</v>
      </c>
      <c r="U89" s="40"/>
      <c r="V89" s="40"/>
      <c r="W89" s="40"/>
      <c r="X89" s="40"/>
      <c r="Y89" s="40"/>
      <c r="Z89" s="40"/>
      <c r="AA89" s="40" t="s">
        <v>217</v>
      </c>
      <c r="AB89" s="53">
        <v>45993.364583333336</v>
      </c>
      <c r="AC89" s="40"/>
      <c r="AD89" s="40"/>
      <c r="AE89" s="40"/>
      <c r="AF89" s="40"/>
      <c r="AG89" s="40" t="s">
        <v>141</v>
      </c>
      <c r="AH89" s="10"/>
      <c r="AI89" s="87"/>
      <c r="AJ89" s="87" cm="1">
        <f t="array" ref="AJ89">IFERROR(_xlfn.XLOOKUP(TRUE,COUNTIF(Tabla[[#This Row],[Etiquetas]:[Etiquetas17]],Versiones!$G$2:$G$36)&gt;0,Versiones!$B$2:$B$36), "")</f>
        <v>24</v>
      </c>
      <c r="AK89" s="87" t="str" cm="1">
        <f t="array" ref="AK89">IFERROR(_xlfn.XLOOKUP(TRUE,COUNTIF(Tabla[[#This Row],[Etiquetas]:[Etiquetas17]],Versiones!$G$2:$G$36)&gt;0,Versiones!$A$2:$A$36), "")</f>
        <v>V0.14</v>
      </c>
      <c r="AL8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89" s="78" t="str">
        <f>IFERROR(_xlfn.XLOOKUP(Tabla[[#This Row],[¿En qué versión fue corregido?]],Versiones!$A$2:$A$34,Versiones!$B$2:$B$34),"No encontrado")</f>
        <v>No encontrado</v>
      </c>
      <c r="AN89" s="88" t="str" cm="1">
        <f t="array" ref="AN89">IFERROR(_xlfn.XLOOKUP(TRUE,COUNTIF(Tabla[[#This Row],[Etiquetas]:[Etiquetas17]],Categorías!$A$2:$A$12)&gt;0,Categorías!$A$2:$A$12),"No encontrado")</f>
        <v>Funcional</v>
      </c>
      <c r="AO89" s="88" t="str" cm="1">
        <f t="array" ref="AO89">IFERROR(INDEX(Funcionalidades!$A$2:$A$80,MATCH(TRUE, COUNTIF(Reporte_Gral!R89:Z89,Funcionalidades!$A$2:$A$80)&gt;0,0)),"No encontrado")</f>
        <v>Atajos-Teclado-BOT</v>
      </c>
      <c r="AP89" s="87" t="str">
        <f>IF(AND(COUNTIF(Tabla[[#This Row],[Etiquetas]:[Etiquetas17]],"*UAT_V*")&gt;0,COUNTIF(Tabla[[#This Row],[Etiquetas]:[Etiquetas17]],"*QA-Integración*")=0),"SI","")</f>
        <v/>
      </c>
      <c r="AQ89" s="88" t="str" cm="1">
        <f t="array" ref="AQ89">IF(Tabla[[#This Row],[Fue encontrado durante UAT?]]="SI",IFERROR(_xlfn.XLOOKUP(TRUE,ISNUMBER(SEARCH("UAT_V",Tabla[[#This Row],[Etiquetas]:[Etiquetas17]])),Tabla[[#This Row],[Etiquetas]:[Etiquetas17]]),""),"")</f>
        <v/>
      </c>
      <c r="AR89" s="87" t="str">
        <f>IF(COUNTIF(Tabla[[#This Row],[Etiquetas]:[Etiquetas17]],"*Devuelto*")&gt;0,"SI","")</f>
        <v/>
      </c>
      <c r="AS89" s="167">
        <f>COUNTIF(Tabla[[#This Row],[Etiquetas]:[Etiquetas17]],"*Devuelto*")</f>
        <v>0</v>
      </c>
    </row>
    <row r="90" spans="1:45" ht="18" customHeight="1">
      <c r="A90" s="40" t="s">
        <v>128</v>
      </c>
      <c r="B90" s="40" t="s">
        <v>381</v>
      </c>
      <c r="C90" s="40">
        <v>116584</v>
      </c>
      <c r="D90" s="40" t="s">
        <v>382</v>
      </c>
      <c r="E90" s="40" t="s">
        <v>37</v>
      </c>
      <c r="F90" s="40" t="s">
        <v>23</v>
      </c>
      <c r="G90" s="40" t="s">
        <v>151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 t="s">
        <v>260</v>
      </c>
      <c r="S90" s="40" t="s">
        <v>139</v>
      </c>
      <c r="T90" s="40" t="s">
        <v>281</v>
      </c>
      <c r="U90" s="40" t="s">
        <v>211</v>
      </c>
      <c r="V90" s="40" t="s">
        <v>204</v>
      </c>
      <c r="W90" s="40" t="s">
        <v>154</v>
      </c>
      <c r="X90" s="40"/>
      <c r="Y90" s="40"/>
      <c r="Z90" s="40"/>
      <c r="AA90" s="40" t="s">
        <v>217</v>
      </c>
      <c r="AB90" s="53">
        <v>45993.363888888889</v>
      </c>
      <c r="AC90" s="40" t="s">
        <v>155</v>
      </c>
      <c r="AD90" s="40"/>
      <c r="AE90" s="40"/>
      <c r="AF90" s="40"/>
      <c r="AG90" s="40" t="s">
        <v>141</v>
      </c>
      <c r="AH90" s="10"/>
      <c r="AI90" s="87"/>
      <c r="AJ90" s="87" cm="1">
        <f t="array" ref="AJ90">IFERROR(_xlfn.XLOOKUP(TRUE,COUNTIF(Tabla[[#This Row],[Etiquetas]:[Etiquetas17]],Versiones!$G$2:$G$36)&gt;0,Versiones!$B$2:$B$36), "")</f>
        <v>24</v>
      </c>
      <c r="AK90" s="87" t="str" cm="1">
        <f t="array" ref="AK90">IFERROR(_xlfn.XLOOKUP(TRUE,COUNTIF(Tabla[[#This Row],[Etiquetas]:[Etiquetas17]],Versiones!$G$2:$G$36)&gt;0,Versiones!$A$2:$A$36), "")</f>
        <v>V0.14</v>
      </c>
      <c r="AL9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90" s="78">
        <f>IFERROR(_xlfn.XLOOKUP(Tabla[[#This Row],[¿En qué versión fue corregido?]],Versiones!$A$2:$A$34,Versiones!$B$2:$B$34),"No encontrado")</f>
        <v>0</v>
      </c>
      <c r="AN90" s="88" t="str" cm="1">
        <f t="array" ref="AN90">IFERROR(_xlfn.XLOOKUP(TRUE,COUNTIF(Tabla[[#This Row],[Etiquetas]:[Etiquetas17]],Categorías!$A$2:$A$12)&gt;0,Categorías!$A$2:$A$12),"No encontrado")</f>
        <v>Funcional</v>
      </c>
      <c r="AO90" s="87" t="str" cm="1">
        <f t="array" ref="AO90">IFERROR(INDEX(Funcionalidades!$A$2:$A$80,MATCH(TRUE, COUNTIF(Reporte_Gral!R90:Z90,Funcionalidades!$A$2:$A$80)&gt;0,0)),"No encontrado")</f>
        <v>Atajos-Teclado-BOT</v>
      </c>
      <c r="AP90" s="87" t="str">
        <f>IF(AND(COUNTIF(Tabla[[#This Row],[Etiquetas]:[Etiquetas17]],"*UAT_V*")&gt;0,COUNTIF(Tabla[[#This Row],[Etiquetas]:[Etiquetas17]],"*QA-Integración*")=0),"SI","")</f>
        <v/>
      </c>
      <c r="AQ90" s="88" t="str" cm="1">
        <f t="array" ref="AQ90">IF(Tabla[[#This Row],[Fue encontrado durante UAT?]]="SI",IFERROR(_xlfn.XLOOKUP(TRUE,ISNUMBER(SEARCH("UAT_V",Tabla[[#This Row],[Etiquetas]:[Etiquetas17]])),Tabla[[#This Row],[Etiquetas]:[Etiquetas17]]),""),"")</f>
        <v/>
      </c>
      <c r="AR90" s="87" t="str">
        <f>IF(COUNTIF(Tabla[[#This Row],[Etiquetas]:[Etiquetas17]],"*Devuelto*")&gt;0,"SI","")</f>
        <v/>
      </c>
      <c r="AS90" s="167">
        <f>COUNTIF(Tabla[[#This Row],[Etiquetas]:[Etiquetas17]],"*Devuelto*")</f>
        <v>0</v>
      </c>
    </row>
    <row r="91" spans="1:45">
      <c r="A91" s="40" t="s">
        <v>128</v>
      </c>
      <c r="B91" s="40" t="s">
        <v>383</v>
      </c>
      <c r="C91" s="40">
        <v>116583</v>
      </c>
      <c r="D91" s="40" t="s">
        <v>384</v>
      </c>
      <c r="E91" s="40" t="s">
        <v>37</v>
      </c>
      <c r="F91" s="40" t="s">
        <v>26</v>
      </c>
      <c r="G91" s="40" t="s">
        <v>224</v>
      </c>
      <c r="H91" s="40" t="s">
        <v>151</v>
      </c>
      <c r="I91" s="40"/>
      <c r="J91" s="40"/>
      <c r="K91" s="40"/>
      <c r="L91" s="40"/>
      <c r="M91" s="40"/>
      <c r="N91" s="40"/>
      <c r="O91" s="40"/>
      <c r="P91" s="40"/>
      <c r="Q91" s="40"/>
      <c r="R91" s="40" t="s">
        <v>260</v>
      </c>
      <c r="S91" s="40" t="s">
        <v>139</v>
      </c>
      <c r="T91" s="40" t="s">
        <v>281</v>
      </c>
      <c r="U91" s="40" t="s">
        <v>204</v>
      </c>
      <c r="V91" s="40" t="s">
        <v>154</v>
      </c>
      <c r="W91" s="40"/>
      <c r="X91" s="40"/>
      <c r="Y91" s="40"/>
      <c r="Z91" s="40"/>
      <c r="AA91" s="40" t="s">
        <v>217</v>
      </c>
      <c r="AB91" s="53">
        <v>45993.363194444442</v>
      </c>
      <c r="AC91" s="40" t="s">
        <v>174</v>
      </c>
      <c r="AD91" s="40"/>
      <c r="AE91" s="40"/>
      <c r="AF91" s="40"/>
      <c r="AG91" s="40" t="s">
        <v>141</v>
      </c>
      <c r="AH91" s="10"/>
      <c r="AI91" s="87"/>
      <c r="AJ91" s="87" cm="1">
        <f t="array" ref="AJ91">IFERROR(_xlfn.XLOOKUP(TRUE,COUNTIF(Tabla[[#This Row],[Etiquetas]:[Etiquetas17]],Versiones!$G$2:$G$36)&gt;0,Versiones!$B$2:$B$36), "")</f>
        <v>24</v>
      </c>
      <c r="AK91" s="87" t="str" cm="1">
        <f t="array" ref="AK91">IFERROR(_xlfn.XLOOKUP(TRUE,COUNTIF(Tabla[[#This Row],[Etiquetas]:[Etiquetas17]],Versiones!$G$2:$G$36)&gt;0,Versiones!$A$2:$A$36), "")</f>
        <v>V0.14</v>
      </c>
      <c r="AL9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91" s="78">
        <f>IFERROR(_xlfn.XLOOKUP(Tabla[[#This Row],[¿En qué versión fue corregido?]],Versiones!$A$2:$A$34,Versiones!$B$2:$B$34),"No encontrado")</f>
        <v>25</v>
      </c>
      <c r="AN91" s="88" t="str" cm="1">
        <f t="array" ref="AN91">IFERROR(_xlfn.XLOOKUP(TRUE,COUNTIF(Tabla[[#This Row],[Etiquetas]:[Etiquetas17]],Categorías!$A$2:$A$12)&gt;0,Categorías!$A$2:$A$12),"No encontrado")</f>
        <v>Funcional</v>
      </c>
      <c r="AO91" s="88" t="str" cm="1">
        <f t="array" ref="AO91">IFERROR(INDEX(Funcionalidades!$A$2:$A$80,MATCH(TRUE, COUNTIF(Reporte_Gral!R91:Z91,Funcionalidades!$A$2:$A$80)&gt;0,0)),"No encontrado")</f>
        <v>Atajos-Teclado-BOT</v>
      </c>
      <c r="AP91" s="87" t="str">
        <f>IF(AND(COUNTIF(Tabla[[#This Row],[Etiquetas]:[Etiquetas17]],"*UAT_V*")&gt;0,COUNTIF(Tabla[[#This Row],[Etiquetas]:[Etiquetas17]],"*QA-Integración*")=0),"SI","")</f>
        <v/>
      </c>
      <c r="AQ91" s="88" t="str" cm="1">
        <f t="array" ref="AQ91">IF(Tabla[[#This Row],[Fue encontrado durante UAT?]]="SI",IFERROR(_xlfn.XLOOKUP(TRUE,ISNUMBER(SEARCH("UAT_V",Tabla[[#This Row],[Etiquetas]:[Etiquetas17]])),Tabla[[#This Row],[Etiquetas]:[Etiquetas17]]),""),"")</f>
        <v/>
      </c>
      <c r="AR91" s="87" t="str">
        <f>IF(COUNTIF(Tabla[[#This Row],[Etiquetas]:[Etiquetas17]],"*Devuelto*")&gt;0,"SI","")</f>
        <v/>
      </c>
      <c r="AS91" s="167">
        <f>COUNTIF(Tabla[[#This Row],[Etiquetas]:[Etiquetas17]],"*Devuelto*")</f>
        <v>0</v>
      </c>
    </row>
    <row r="92" spans="1:45">
      <c r="A92" s="40" t="s">
        <v>128</v>
      </c>
      <c r="B92" s="40" t="s">
        <v>385</v>
      </c>
      <c r="C92" s="40">
        <v>116567</v>
      </c>
      <c r="D92" s="40" t="s">
        <v>386</v>
      </c>
      <c r="E92" s="40" t="s">
        <v>37</v>
      </c>
      <c r="F92" s="40" t="s">
        <v>24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 t="s">
        <v>260</v>
      </c>
      <c r="S92" s="40" t="s">
        <v>139</v>
      </c>
      <c r="T92" s="40" t="s">
        <v>281</v>
      </c>
      <c r="U92" s="40" t="s">
        <v>204</v>
      </c>
      <c r="V92" s="40" t="s">
        <v>154</v>
      </c>
      <c r="W92" s="40"/>
      <c r="X92" s="40"/>
      <c r="Y92" s="40"/>
      <c r="Z92" s="40"/>
      <c r="AA92" s="40" t="s">
        <v>134</v>
      </c>
      <c r="AB92" s="53">
        <v>45993.351388888892</v>
      </c>
      <c r="AC92" s="40"/>
      <c r="AD92" s="40"/>
      <c r="AE92" s="40"/>
      <c r="AF92" s="40"/>
      <c r="AG92" s="40" t="s">
        <v>141</v>
      </c>
      <c r="AH92" s="10"/>
      <c r="AI92" s="87"/>
      <c r="AJ92" s="87" cm="1">
        <f t="array" ref="AJ92">IFERROR(_xlfn.XLOOKUP(TRUE,COUNTIF(Tabla[[#This Row],[Etiquetas]:[Etiquetas17]],Versiones!$G$2:$G$36)&gt;0,Versiones!$B$2:$B$36), "")</f>
        <v>24</v>
      </c>
      <c r="AK92" s="87" t="str" cm="1">
        <f t="array" ref="AK92">IFERROR(_xlfn.XLOOKUP(TRUE,COUNTIF(Tabla[[#This Row],[Etiquetas]:[Etiquetas17]],Versiones!$G$2:$G$36)&gt;0,Versiones!$A$2:$A$36), "")</f>
        <v>V0.14</v>
      </c>
      <c r="AL9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92" s="78" t="str">
        <f>IFERROR(_xlfn.XLOOKUP(Tabla[[#This Row],[¿En qué versión fue corregido?]],Versiones!$A$2:$A$34,Versiones!$B$2:$B$34),"No encontrado")</f>
        <v>No encontrado</v>
      </c>
      <c r="AN92" s="88" t="str" cm="1">
        <f t="array" ref="AN92">IFERROR(_xlfn.XLOOKUP(TRUE,COUNTIF(Tabla[[#This Row],[Etiquetas]:[Etiquetas17]],Categorías!$A$2:$A$12)&gt;0,Categorías!$A$2:$A$12),"No encontrado")</f>
        <v>Funcional</v>
      </c>
      <c r="AO92" s="87" t="str" cm="1">
        <f t="array" ref="AO92">IFERROR(INDEX(Funcionalidades!$A$2:$A$80,MATCH(TRUE, COUNTIF(Reporte_Gral!R92:Z92,Funcionalidades!$A$2:$A$80)&gt;0,0)),"No encontrado")</f>
        <v>Atajos-Teclado-BOT</v>
      </c>
      <c r="AP92" s="87" t="str">
        <f>IF(AND(COUNTIF(Tabla[[#This Row],[Etiquetas]:[Etiquetas17]],"*UAT_V*")&gt;0,COUNTIF(Tabla[[#This Row],[Etiquetas]:[Etiquetas17]],"*QA-Integración*")=0),"SI","")</f>
        <v/>
      </c>
      <c r="AQ92" s="88" t="str" cm="1">
        <f t="array" ref="AQ92">IF(Tabla[[#This Row],[Fue encontrado durante UAT?]]="SI",IFERROR(_xlfn.XLOOKUP(TRUE,ISNUMBER(SEARCH("UAT_V",Tabla[[#This Row],[Etiquetas]:[Etiquetas17]])),Tabla[[#This Row],[Etiquetas]:[Etiquetas17]]),""),"")</f>
        <v/>
      </c>
      <c r="AR92" s="87" t="str">
        <f>IF(COUNTIF(Tabla[[#This Row],[Etiquetas]:[Etiquetas17]],"*Devuelto*")&gt;0,"SI","")</f>
        <v/>
      </c>
      <c r="AS92" s="167">
        <f>COUNTIF(Tabla[[#This Row],[Etiquetas]:[Etiquetas17]],"*Devuelto*")</f>
        <v>0</v>
      </c>
    </row>
    <row r="93" spans="1:45">
      <c r="A93" s="40" t="s">
        <v>128</v>
      </c>
      <c r="B93" s="40" t="s">
        <v>387</v>
      </c>
      <c r="C93" s="40">
        <v>116565</v>
      </c>
      <c r="D93" s="40" t="s">
        <v>388</v>
      </c>
      <c r="E93" s="40" t="s">
        <v>37</v>
      </c>
      <c r="F93" s="40" t="s">
        <v>28</v>
      </c>
      <c r="G93" s="40" t="s">
        <v>224</v>
      </c>
      <c r="H93" s="40" t="s">
        <v>151</v>
      </c>
      <c r="I93" s="40"/>
      <c r="J93" s="40"/>
      <c r="K93" s="40"/>
      <c r="L93" s="40"/>
      <c r="M93" s="40"/>
      <c r="N93" s="40"/>
      <c r="O93" s="40"/>
      <c r="P93" s="40"/>
      <c r="Q93" s="40"/>
      <c r="R93" s="40" t="s">
        <v>260</v>
      </c>
      <c r="S93" s="40" t="s">
        <v>139</v>
      </c>
      <c r="T93" s="40" t="s">
        <v>281</v>
      </c>
      <c r="U93" s="40" t="s">
        <v>204</v>
      </c>
      <c r="V93" s="40" t="s">
        <v>154</v>
      </c>
      <c r="W93" s="40"/>
      <c r="X93" s="40"/>
      <c r="Y93" s="40"/>
      <c r="Z93" s="40"/>
      <c r="AA93" s="40" t="s">
        <v>134</v>
      </c>
      <c r="AB93" s="53">
        <v>45993.347222222219</v>
      </c>
      <c r="AC93" s="40" t="s">
        <v>155</v>
      </c>
      <c r="AD93" s="40"/>
      <c r="AE93" s="40"/>
      <c r="AF93" s="40"/>
      <c r="AG93" s="40" t="s">
        <v>141</v>
      </c>
      <c r="AH93" s="10"/>
      <c r="AI93" s="87"/>
      <c r="AJ93" s="87" cm="1">
        <f t="array" ref="AJ93">IFERROR(_xlfn.XLOOKUP(TRUE,COUNTIF(Tabla[[#This Row],[Etiquetas]:[Etiquetas17]],Versiones!$G$2:$G$36)&gt;0,Versiones!$B$2:$B$36), "")</f>
        <v>24</v>
      </c>
      <c r="AK93" s="87" t="str" cm="1">
        <f t="array" ref="AK93">IFERROR(_xlfn.XLOOKUP(TRUE,COUNTIF(Tabla[[#This Row],[Etiquetas]:[Etiquetas17]],Versiones!$G$2:$G$36)&gt;0,Versiones!$A$2:$A$36), "")</f>
        <v>V0.14</v>
      </c>
      <c r="AL9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93" s="78">
        <f>IFERROR(_xlfn.XLOOKUP(Tabla[[#This Row],[¿En qué versión fue corregido?]],Versiones!$A$2:$A$34,Versiones!$B$2:$B$34),"No encontrado")</f>
        <v>0</v>
      </c>
      <c r="AN93" s="88" t="str" cm="1">
        <f t="array" ref="AN93">IFERROR(_xlfn.XLOOKUP(TRUE,COUNTIF(Tabla[[#This Row],[Etiquetas]:[Etiquetas17]],Categorías!$A$2:$A$12)&gt;0,Categorías!$A$2:$A$12),"No encontrado")</f>
        <v>Funcional</v>
      </c>
      <c r="AO93" s="88" t="str" cm="1">
        <f t="array" ref="AO93">IFERROR(INDEX(Funcionalidades!$A$2:$A$80,MATCH(TRUE, COUNTIF(Reporte_Gral!R93:Z93,Funcionalidades!$A$2:$A$80)&gt;0,0)),"No encontrado")</f>
        <v>Atajos-Teclado-BOT</v>
      </c>
      <c r="AP93" s="87" t="str">
        <f>IF(AND(COUNTIF(Tabla[[#This Row],[Etiquetas]:[Etiquetas17]],"*UAT_V*")&gt;0,COUNTIF(Tabla[[#This Row],[Etiquetas]:[Etiquetas17]],"*QA-Integración*")=0),"SI","")</f>
        <v/>
      </c>
      <c r="AQ93" s="88" t="str" cm="1">
        <f t="array" ref="AQ93">IF(Tabla[[#This Row],[Fue encontrado durante UAT?]]="SI",IFERROR(_xlfn.XLOOKUP(TRUE,ISNUMBER(SEARCH("UAT_V",Tabla[[#This Row],[Etiquetas]:[Etiquetas17]])),Tabla[[#This Row],[Etiquetas]:[Etiquetas17]]),""),"")</f>
        <v/>
      </c>
      <c r="AR93" s="87" t="str">
        <f>IF(COUNTIF(Tabla[[#This Row],[Etiquetas]:[Etiquetas17]],"*Devuelto*")&gt;0,"SI","")</f>
        <v/>
      </c>
      <c r="AS93" s="167">
        <f>COUNTIF(Tabla[[#This Row],[Etiquetas]:[Etiquetas17]],"*Devuelto*")</f>
        <v>0</v>
      </c>
    </row>
    <row r="94" spans="1:45">
      <c r="A94" s="40" t="s">
        <v>128</v>
      </c>
      <c r="B94" s="40" t="s">
        <v>389</v>
      </c>
      <c r="C94" s="40">
        <v>116561</v>
      </c>
      <c r="D94" s="40" t="s">
        <v>390</v>
      </c>
      <c r="E94" s="40" t="s">
        <v>37</v>
      </c>
      <c r="F94" s="40" t="s">
        <v>23</v>
      </c>
      <c r="G94" s="40" t="s">
        <v>151</v>
      </c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 t="s">
        <v>260</v>
      </c>
      <c r="S94" s="40" t="s">
        <v>139</v>
      </c>
      <c r="T94" s="40" t="s">
        <v>281</v>
      </c>
      <c r="U94" s="40" t="s">
        <v>211</v>
      </c>
      <c r="V94" s="40" t="s">
        <v>204</v>
      </c>
      <c r="W94" s="40" t="s">
        <v>154</v>
      </c>
      <c r="X94" s="40"/>
      <c r="Y94" s="40"/>
      <c r="Z94" s="40"/>
      <c r="AA94" s="40" t="s">
        <v>134</v>
      </c>
      <c r="AB94" s="53">
        <v>45993.338888888888</v>
      </c>
      <c r="AC94" s="40" t="s">
        <v>155</v>
      </c>
      <c r="AD94" s="40"/>
      <c r="AE94" s="40"/>
      <c r="AF94" s="40"/>
      <c r="AG94" s="40" t="s">
        <v>141</v>
      </c>
      <c r="AH94" s="10"/>
      <c r="AI94" s="87"/>
      <c r="AJ94" s="87" cm="1">
        <f t="array" ref="AJ94">IFERROR(_xlfn.XLOOKUP(TRUE,COUNTIF(Tabla[[#This Row],[Etiquetas]:[Etiquetas17]],Versiones!$G$2:$G$36)&gt;0,Versiones!$B$2:$B$36), "")</f>
        <v>24</v>
      </c>
      <c r="AK94" s="87" t="str" cm="1">
        <f t="array" ref="AK94">IFERROR(_xlfn.XLOOKUP(TRUE,COUNTIF(Tabla[[#This Row],[Etiquetas]:[Etiquetas17]],Versiones!$G$2:$G$36)&gt;0,Versiones!$A$2:$A$36), "")</f>
        <v>V0.14</v>
      </c>
      <c r="AL9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94" s="78">
        <f>IFERROR(_xlfn.XLOOKUP(Tabla[[#This Row],[¿En qué versión fue corregido?]],Versiones!$A$2:$A$34,Versiones!$B$2:$B$34),"No encontrado")</f>
        <v>0</v>
      </c>
      <c r="AN94" s="88" t="str" cm="1">
        <f t="array" ref="AN94">IFERROR(_xlfn.XLOOKUP(TRUE,COUNTIF(Tabla[[#This Row],[Etiquetas]:[Etiquetas17]],Categorías!$A$2:$A$12)&gt;0,Categorías!$A$2:$A$12),"No encontrado")</f>
        <v>Funcional</v>
      </c>
      <c r="AO94" s="87" t="str" cm="1">
        <f t="array" ref="AO94">IFERROR(INDEX(Funcionalidades!$A$2:$A$80,MATCH(TRUE, COUNTIF(Reporte_Gral!R94:Z94,Funcionalidades!$A$2:$A$80)&gt;0,0)),"No encontrado")</f>
        <v>Atajos-Teclado-BOT</v>
      </c>
      <c r="AP94" s="87" t="str">
        <f>IF(AND(COUNTIF(Tabla[[#This Row],[Etiquetas]:[Etiquetas17]],"*UAT_V*")&gt;0,COUNTIF(Tabla[[#This Row],[Etiquetas]:[Etiquetas17]],"*QA-Integración*")=0),"SI","")</f>
        <v/>
      </c>
      <c r="AQ94" s="88" t="str" cm="1">
        <f t="array" ref="AQ94">IF(Tabla[[#This Row],[Fue encontrado durante UAT?]]="SI",IFERROR(_xlfn.XLOOKUP(TRUE,ISNUMBER(SEARCH("UAT_V",Tabla[[#This Row],[Etiquetas]:[Etiquetas17]])),Tabla[[#This Row],[Etiquetas]:[Etiquetas17]]),""),"")</f>
        <v/>
      </c>
      <c r="AR94" s="87" t="str">
        <f>IF(COUNTIF(Tabla[[#This Row],[Etiquetas]:[Etiquetas17]],"*Devuelto*")&gt;0,"SI","")</f>
        <v/>
      </c>
      <c r="AS94" s="167">
        <f>COUNTIF(Tabla[[#This Row],[Etiquetas]:[Etiquetas17]],"*Devuelto*")</f>
        <v>0</v>
      </c>
    </row>
    <row r="95" spans="1:45">
      <c r="A95" s="40" t="s">
        <v>128</v>
      </c>
      <c r="B95" s="40" t="s">
        <v>391</v>
      </c>
      <c r="C95" s="40">
        <v>116350</v>
      </c>
      <c r="D95" s="40" t="s">
        <v>392</v>
      </c>
      <c r="E95" s="40" t="s">
        <v>36</v>
      </c>
      <c r="F95" s="40" t="s">
        <v>28</v>
      </c>
      <c r="G95" s="40" t="s">
        <v>151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 t="s">
        <v>273</v>
      </c>
      <c r="S95" s="40" t="s">
        <v>139</v>
      </c>
      <c r="T95" s="40" t="s">
        <v>168</v>
      </c>
      <c r="U95" s="40" t="s">
        <v>281</v>
      </c>
      <c r="V95" s="40" t="s">
        <v>194</v>
      </c>
      <c r="W95" s="40" t="s">
        <v>226</v>
      </c>
      <c r="X95" s="40" t="s">
        <v>154</v>
      </c>
      <c r="Y95" s="40"/>
      <c r="Z95" s="40"/>
      <c r="AA95" s="40" t="s">
        <v>217</v>
      </c>
      <c r="AB95" s="53">
        <v>45992.672222222223</v>
      </c>
      <c r="AC95" s="40" t="s">
        <v>155</v>
      </c>
      <c r="AD95" s="40"/>
      <c r="AE95" s="40"/>
      <c r="AF95" s="40"/>
      <c r="AG95" s="40" t="s">
        <v>135</v>
      </c>
      <c r="AH95" s="10"/>
      <c r="AI95" s="87"/>
      <c r="AJ95" s="87" cm="1">
        <f t="array" ref="AJ95">IFERROR(_xlfn.XLOOKUP(TRUE,COUNTIF(Tabla[[#This Row],[Etiquetas]:[Etiquetas17]],Versiones!$G$2:$G$36)&gt;0,Versiones!$B$2:$B$36), "")</f>
        <v>24</v>
      </c>
      <c r="AK95" s="87" t="str" cm="1">
        <f t="array" ref="AK95">IFERROR(_xlfn.XLOOKUP(TRUE,COUNTIF(Tabla[[#This Row],[Etiquetas]:[Etiquetas17]],Versiones!$G$2:$G$36)&gt;0,Versiones!$A$2:$A$36), "")</f>
        <v>V0.14</v>
      </c>
      <c r="AL9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95" s="78">
        <f>IFERROR(_xlfn.XLOOKUP(Tabla[[#This Row],[¿En qué versión fue corregido?]],Versiones!$A$2:$A$34,Versiones!$B$2:$B$34),"No encontrado")</f>
        <v>0</v>
      </c>
      <c r="AN95" s="88" t="str" cm="1">
        <f t="array" ref="AN95">IFERROR(_xlfn.XLOOKUP(TRUE,COUNTIF(Tabla[[#This Row],[Etiquetas]:[Etiquetas17]],Categorías!$A$2:$A$12)&gt;0,Categorías!$A$2:$A$12),"No encontrado")</f>
        <v>Funcional</v>
      </c>
      <c r="AO95" s="88" t="str" cm="1">
        <f t="array" ref="AO95">IFERROR(INDEX(Funcionalidades!$A$2:$A$80,MATCH(TRUE, COUNTIF(Reporte_Gral!R95:Z95,Funcionalidades!$A$2:$A$80)&gt;0,0)),"No encontrado")</f>
        <v>Pago-De-Tiempo-Aire</v>
      </c>
      <c r="AP95" s="87" t="str">
        <f>IF(AND(COUNTIF(Tabla[[#This Row],[Etiquetas]:[Etiquetas17]],"*UAT_V*")&gt;0,COUNTIF(Tabla[[#This Row],[Etiquetas]:[Etiquetas17]],"*QA-Integración*")=0),"SI","")</f>
        <v/>
      </c>
      <c r="AQ95" s="88" t="str" cm="1">
        <f t="array" ref="AQ95">IF(Tabla[[#This Row],[Fue encontrado durante UAT?]]="SI",IFERROR(_xlfn.XLOOKUP(TRUE,ISNUMBER(SEARCH("UAT_V",Tabla[[#This Row],[Etiquetas]:[Etiquetas17]])),Tabla[[#This Row],[Etiquetas]:[Etiquetas17]]),""),"")</f>
        <v/>
      </c>
      <c r="AR95" s="87" t="str">
        <f>IF(COUNTIF(Tabla[[#This Row],[Etiquetas]:[Etiquetas17]],"*Devuelto*")&gt;0,"SI","")</f>
        <v>SI</v>
      </c>
      <c r="AS95" s="167">
        <f>COUNTIF(Tabla[[#This Row],[Etiquetas]:[Etiquetas17]],"*Devuelto*")</f>
        <v>1</v>
      </c>
    </row>
    <row r="96" spans="1:45">
      <c r="A96" s="40" t="s">
        <v>128</v>
      </c>
      <c r="B96" s="40" t="s">
        <v>393</v>
      </c>
      <c r="C96" s="40">
        <v>116331</v>
      </c>
      <c r="D96" s="40" t="s">
        <v>394</v>
      </c>
      <c r="E96" s="40" t="s">
        <v>37</v>
      </c>
      <c r="F96" s="40" t="s">
        <v>26</v>
      </c>
      <c r="G96" s="40" t="s">
        <v>224</v>
      </c>
      <c r="H96" s="40" t="s">
        <v>151</v>
      </c>
      <c r="I96" s="40"/>
      <c r="J96" s="40"/>
      <c r="K96" s="40"/>
      <c r="L96" s="40"/>
      <c r="M96" s="40"/>
      <c r="N96" s="40"/>
      <c r="O96" s="40"/>
      <c r="P96" s="40"/>
      <c r="Q96" s="40"/>
      <c r="R96" s="40" t="s">
        <v>139</v>
      </c>
      <c r="S96" s="40" t="s">
        <v>168</v>
      </c>
      <c r="T96" s="40" t="s">
        <v>395</v>
      </c>
      <c r="U96" s="40" t="s">
        <v>281</v>
      </c>
      <c r="V96" s="40" t="s">
        <v>226</v>
      </c>
      <c r="W96" s="40" t="s">
        <v>154</v>
      </c>
      <c r="X96" s="40"/>
      <c r="Y96" s="40"/>
      <c r="Z96" s="40"/>
      <c r="AA96" s="40" t="s">
        <v>134</v>
      </c>
      <c r="AB96" s="53">
        <v>45992.650694444441</v>
      </c>
      <c r="AC96" s="40" t="s">
        <v>174</v>
      </c>
      <c r="AD96" s="40"/>
      <c r="AE96" s="40"/>
      <c r="AF96" s="40"/>
      <c r="AG96" s="40" t="s">
        <v>135</v>
      </c>
      <c r="AH96" s="10"/>
      <c r="AI96" s="87"/>
      <c r="AJ96" s="87" cm="1">
        <f t="array" ref="AJ96">IFERROR(_xlfn.XLOOKUP(TRUE,COUNTIF(Tabla[[#This Row],[Etiquetas]:[Etiquetas17]],Versiones!$G$2:$G$36)&gt;0,Versiones!$B$2:$B$36), "")</f>
        <v>24</v>
      </c>
      <c r="AK96" s="87" t="str" cm="1">
        <f t="array" ref="AK96">IFERROR(_xlfn.XLOOKUP(TRUE,COUNTIF(Tabla[[#This Row],[Etiquetas]:[Etiquetas17]],Versiones!$G$2:$G$36)&gt;0,Versiones!$A$2:$A$36), "")</f>
        <v>V0.14</v>
      </c>
      <c r="AL9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96" s="78">
        <f>IFERROR(_xlfn.XLOOKUP(Tabla[[#This Row],[¿En qué versión fue corregido?]],Versiones!$A$2:$A$34,Versiones!$B$2:$B$34),"No encontrado")</f>
        <v>25</v>
      </c>
      <c r="AN96" s="88" t="str" cm="1">
        <f t="array" ref="AN96">IFERROR(_xlfn.XLOOKUP(TRUE,COUNTIF(Tabla[[#This Row],[Etiquetas]:[Etiquetas17]],Categorías!$A$2:$A$12)&gt;0,Categorías!$A$2:$A$12),"No encontrado")</f>
        <v>Funcional</v>
      </c>
      <c r="AO96" s="87" t="str" cm="1">
        <f t="array" ref="AO96">IFERROR(INDEX(Funcionalidades!$A$2:$A$80,MATCH(TRUE, COUNTIF(Reporte_Gral!R96:Z96,Funcionalidades!$A$2:$A$80)&gt;0,0)),"No encontrado")</f>
        <v>Pago-De-Tiempo-Aire</v>
      </c>
      <c r="AP96" s="87" t="str">
        <f>IF(AND(COUNTIF(Tabla[[#This Row],[Etiquetas]:[Etiquetas17]],"*UAT_V*")&gt;0,COUNTIF(Tabla[[#This Row],[Etiquetas]:[Etiquetas17]],"*QA-Integración*")=0),"SI","")</f>
        <v/>
      </c>
      <c r="AQ96" s="88" t="str" cm="1">
        <f t="array" ref="AQ96">IF(Tabla[[#This Row],[Fue encontrado durante UAT?]]="SI",IFERROR(_xlfn.XLOOKUP(TRUE,ISNUMBER(SEARCH("UAT_V",Tabla[[#This Row],[Etiquetas]:[Etiquetas17]])),Tabla[[#This Row],[Etiquetas]:[Etiquetas17]]),""),"")</f>
        <v/>
      </c>
      <c r="AR96" s="87" t="str">
        <f>IF(COUNTIF(Tabla[[#This Row],[Etiquetas]:[Etiquetas17]],"*Devuelto*")&gt;0,"SI","")</f>
        <v/>
      </c>
      <c r="AS96" s="167">
        <f>COUNTIF(Tabla[[#This Row],[Etiquetas]:[Etiquetas17]],"*Devuelto*")</f>
        <v>0</v>
      </c>
    </row>
    <row r="97" spans="1:45">
      <c r="A97" s="40" t="s">
        <v>128</v>
      </c>
      <c r="B97" s="40" t="s">
        <v>396</v>
      </c>
      <c r="C97" s="40">
        <v>116295</v>
      </c>
      <c r="D97" s="40" t="s">
        <v>397</v>
      </c>
      <c r="E97" s="40" t="s">
        <v>37</v>
      </c>
      <c r="F97" s="40" t="s">
        <v>23</v>
      </c>
      <c r="G97" s="40" t="s">
        <v>224</v>
      </c>
      <c r="H97" s="40" t="s">
        <v>151</v>
      </c>
      <c r="I97" s="40"/>
      <c r="J97" s="40"/>
      <c r="K97" s="40"/>
      <c r="L97" s="40"/>
      <c r="M97" s="40"/>
      <c r="N97" s="40"/>
      <c r="O97" s="40"/>
      <c r="P97" s="40"/>
      <c r="Q97" s="40"/>
      <c r="R97" s="40" t="s">
        <v>132</v>
      </c>
      <c r="S97" s="40" t="s">
        <v>168</v>
      </c>
      <c r="T97" s="40" t="s">
        <v>395</v>
      </c>
      <c r="U97" s="40" t="s">
        <v>281</v>
      </c>
      <c r="V97" s="40" t="s">
        <v>226</v>
      </c>
      <c r="W97" s="40" t="s">
        <v>154</v>
      </c>
      <c r="X97" s="40"/>
      <c r="Y97" s="40"/>
      <c r="Z97" s="40"/>
      <c r="AA97" s="40" t="s">
        <v>134</v>
      </c>
      <c r="AB97" s="53">
        <v>45992.588194444441</v>
      </c>
      <c r="AC97" s="40" t="s">
        <v>155</v>
      </c>
      <c r="AD97" s="40"/>
      <c r="AE97" s="40"/>
      <c r="AF97" s="40"/>
      <c r="AG97" s="40" t="s">
        <v>135</v>
      </c>
      <c r="AH97" s="10"/>
      <c r="AI97" s="87"/>
      <c r="AJ97" s="87" cm="1">
        <f t="array" ref="AJ97">IFERROR(_xlfn.XLOOKUP(TRUE,COUNTIF(Tabla[[#This Row],[Etiquetas]:[Etiquetas17]],Versiones!$G$2:$G$36)&gt;0,Versiones!$B$2:$B$36), "")</f>
        <v>24</v>
      </c>
      <c r="AK97" s="87" t="str" cm="1">
        <f t="array" ref="AK97">IFERROR(_xlfn.XLOOKUP(TRUE,COUNTIF(Tabla[[#This Row],[Etiquetas]:[Etiquetas17]],Versiones!$G$2:$G$36)&gt;0,Versiones!$A$2:$A$36), "")</f>
        <v>V0.14</v>
      </c>
      <c r="AL9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97" s="78">
        <f>IFERROR(_xlfn.XLOOKUP(Tabla[[#This Row],[¿En qué versión fue corregido?]],Versiones!$A$2:$A$34,Versiones!$B$2:$B$34),"No encontrado")</f>
        <v>0</v>
      </c>
      <c r="AN97" s="88" t="str" cm="1">
        <f t="array" ref="AN97">IFERROR(_xlfn.XLOOKUP(TRUE,COUNTIF(Tabla[[#This Row],[Etiquetas]:[Etiquetas17]],Categorías!$A$2:$A$12)&gt;0,Categorías!$A$2:$A$12),"No encontrado")</f>
        <v>Look&amp;Feel</v>
      </c>
      <c r="AO97" s="87" t="str" cm="1">
        <f t="array" ref="AO97">IFERROR(INDEX(Funcionalidades!$A$2:$A$80,MATCH(TRUE, COUNTIF(Reporte_Gral!R97:Z97,Funcionalidades!$A$2:$A$80)&gt;0,0)),"No encontrado")</f>
        <v>Pago-De-Tiempo-Aire</v>
      </c>
      <c r="AP97" s="87" t="str">
        <f>IF(AND(COUNTIF(Tabla[[#This Row],[Etiquetas]:[Etiquetas17]],"*UAT_V*")&gt;0,COUNTIF(Tabla[[#This Row],[Etiquetas]:[Etiquetas17]],"*QA-Integración*")=0),"SI","")</f>
        <v/>
      </c>
      <c r="AQ97" s="88" t="str" cm="1">
        <f t="array" ref="AQ97">IF(Tabla[[#This Row],[Fue encontrado durante UAT?]]="SI",IFERROR(_xlfn.XLOOKUP(TRUE,ISNUMBER(SEARCH("UAT_V",Tabla[[#This Row],[Etiquetas]:[Etiquetas17]])),Tabla[[#This Row],[Etiquetas]:[Etiquetas17]]),""),"")</f>
        <v/>
      </c>
      <c r="AR97" s="87" t="str">
        <f>IF(COUNTIF(Tabla[[#This Row],[Etiquetas]:[Etiquetas17]],"*Devuelto*")&gt;0,"SI","")</f>
        <v/>
      </c>
      <c r="AS97" s="167">
        <f>COUNTIF(Tabla[[#This Row],[Etiquetas]:[Etiquetas17]],"*Devuelto*")</f>
        <v>0</v>
      </c>
    </row>
    <row r="98" spans="1:45">
      <c r="A98" s="40" t="s">
        <v>128</v>
      </c>
      <c r="B98" s="40" t="s">
        <v>398</v>
      </c>
      <c r="C98" s="40">
        <v>115654</v>
      </c>
      <c r="D98" s="40" t="s">
        <v>399</v>
      </c>
      <c r="E98" s="40" t="s">
        <v>36</v>
      </c>
      <c r="F98" s="40" t="s">
        <v>26</v>
      </c>
      <c r="G98" s="40" t="s">
        <v>307</v>
      </c>
      <c r="H98" s="40" t="s">
        <v>224</v>
      </c>
      <c r="I98" s="40" t="s">
        <v>151</v>
      </c>
      <c r="J98" s="40"/>
      <c r="K98" s="40"/>
      <c r="L98" s="40"/>
      <c r="M98" s="40"/>
      <c r="N98" s="40"/>
      <c r="O98" s="40"/>
      <c r="P98" s="40"/>
      <c r="Q98" s="40"/>
      <c r="R98" s="40" t="s">
        <v>139</v>
      </c>
      <c r="S98" s="40" t="s">
        <v>356</v>
      </c>
      <c r="T98" s="40" t="s">
        <v>181</v>
      </c>
      <c r="U98" s="40"/>
      <c r="V98" s="40"/>
      <c r="W98" s="40"/>
      <c r="X98" s="40"/>
      <c r="Y98" s="40"/>
      <c r="Z98" s="40"/>
      <c r="AA98" s="40" t="s">
        <v>134</v>
      </c>
      <c r="AB98" s="53">
        <v>45988.568749999999</v>
      </c>
      <c r="AC98" s="40"/>
      <c r="AD98" s="40"/>
      <c r="AE98" s="40"/>
      <c r="AF98" s="40"/>
      <c r="AG98" s="40" t="s">
        <v>141</v>
      </c>
      <c r="AH98" s="10"/>
      <c r="AI98" s="87"/>
      <c r="AJ98" s="87" cm="1">
        <f t="array" ref="AJ98">IFERROR(_xlfn.XLOOKUP(TRUE,COUNTIF(Tabla[[#This Row],[Etiquetas]:[Etiquetas17]],Versiones!$G$2:$G$36)&gt;0,Versiones!$B$2:$B$36), "")</f>
        <v>23</v>
      </c>
      <c r="AK98" s="87" t="str" cm="1">
        <f t="array" ref="AK98">IFERROR(_xlfn.XLOOKUP(TRUE,COUNTIF(Tabla[[#This Row],[Etiquetas]:[Etiquetas17]],Versiones!$G$2:$G$36)&gt;0,Versiones!$A$2:$A$36), "")</f>
        <v>V0.13</v>
      </c>
      <c r="AL9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98" s="78" t="str">
        <f>IFERROR(_xlfn.XLOOKUP(Tabla[[#This Row],[¿En qué versión fue corregido?]],Versiones!$A$2:$A$34,Versiones!$B$2:$B$34),"No encontrado")</f>
        <v>No encontrado</v>
      </c>
      <c r="AN98" s="88" t="str" cm="1">
        <f t="array" ref="AN98">IFERROR(_xlfn.XLOOKUP(TRUE,COUNTIF(Tabla[[#This Row],[Etiquetas]:[Etiquetas17]],Categorías!$A$2:$A$12)&gt;0,Categorías!$A$2:$A$12),"No encontrado")</f>
        <v>Funcional</v>
      </c>
      <c r="AO98" s="87" t="str" cm="1">
        <f t="array" ref="AO98">IFERROR(INDEX(Funcionalidades!$A$2:$A$80,MATCH(TRUE, COUNTIF(Reporte_Gral!R98:Z98,Funcionalidades!$A$2:$A$80)&gt;0,0)),"No encontrado")</f>
        <v>Realizar-Pedido-Eficiente</v>
      </c>
      <c r="AP98" s="87" t="str">
        <f>IF(AND(COUNTIF(Tabla[[#This Row],[Etiquetas]:[Etiquetas17]],"*UAT_V*")&gt;0,COUNTIF(Tabla[[#This Row],[Etiquetas]:[Etiquetas17]],"*QA-Integración*")=0),"SI","")</f>
        <v/>
      </c>
      <c r="AQ98" s="88" t="str" cm="1">
        <f t="array" ref="AQ98">IF(Tabla[[#This Row],[Fue encontrado durante UAT?]]="SI",IFERROR(_xlfn.XLOOKUP(TRUE,ISNUMBER(SEARCH("UAT_V",Tabla[[#This Row],[Etiquetas]:[Etiquetas17]])),Tabla[[#This Row],[Etiquetas]:[Etiquetas17]]),""),"")</f>
        <v/>
      </c>
      <c r="AR98" s="87" t="str">
        <f>IF(COUNTIF(Tabla[[#This Row],[Etiquetas]:[Etiquetas17]],"*Devuelto*")&gt;0,"SI","")</f>
        <v/>
      </c>
      <c r="AS98" s="167">
        <f>COUNTIF(Tabla[[#This Row],[Etiquetas]:[Etiquetas17]],"*Devuelto*")</f>
        <v>0</v>
      </c>
    </row>
    <row r="99" spans="1:45" s="87" customFormat="1">
      <c r="A99" s="40" t="s">
        <v>128</v>
      </c>
      <c r="B99" s="40" t="s">
        <v>400</v>
      </c>
      <c r="C99" s="40">
        <v>115636</v>
      </c>
      <c r="D99" s="40" t="s">
        <v>401</v>
      </c>
      <c r="E99" s="40" t="s">
        <v>37</v>
      </c>
      <c r="F99" s="40" t="s">
        <v>27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 t="s">
        <v>132</v>
      </c>
      <c r="S99" s="40" t="s">
        <v>356</v>
      </c>
      <c r="T99" s="40" t="s">
        <v>181</v>
      </c>
      <c r="U99" s="40"/>
      <c r="V99" s="40"/>
      <c r="W99" s="40"/>
      <c r="X99" s="40"/>
      <c r="Y99" s="40"/>
      <c r="Z99" s="40"/>
      <c r="AA99" s="40" t="s">
        <v>134</v>
      </c>
      <c r="AB99" s="53">
        <v>45988.541666666664</v>
      </c>
      <c r="AC99" s="40"/>
      <c r="AD99" s="40"/>
      <c r="AE99" s="40"/>
      <c r="AF99" s="40"/>
      <c r="AG99" s="40" t="s">
        <v>141</v>
      </c>
      <c r="AH99" s="10"/>
      <c r="AJ99" s="87" cm="1">
        <f t="array" ref="AJ99">IFERROR(_xlfn.XLOOKUP(TRUE,COUNTIF(Tabla[[#This Row],[Etiquetas]:[Etiquetas17]],Versiones!$G$2:$G$36)&gt;0,Versiones!$B$2:$B$36), "")</f>
        <v>23</v>
      </c>
      <c r="AK99" s="87" t="str" cm="1">
        <f t="array" ref="AK99">IFERROR(_xlfn.XLOOKUP(TRUE,COUNTIF(Tabla[[#This Row],[Etiquetas]:[Etiquetas17]],Versiones!$G$2:$G$36)&gt;0,Versiones!$A$2:$A$36), "")</f>
        <v>V0.13</v>
      </c>
      <c r="AL9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99" s="78" t="str">
        <f>IFERROR(_xlfn.XLOOKUP(Tabla[[#This Row],[¿En qué versión fue corregido?]],Versiones!$A$2:$A$34,Versiones!$B$2:$B$34),"No encontrado")</f>
        <v>No encontrado</v>
      </c>
      <c r="AN99" s="88" t="str" cm="1">
        <f t="array" ref="AN99">IFERROR(_xlfn.XLOOKUP(TRUE,COUNTIF(Tabla[[#This Row],[Etiquetas]:[Etiquetas17]],Categorías!$A$2:$A$12)&gt;0,Categorías!$A$2:$A$12),"No encontrado")</f>
        <v>Look&amp;Feel</v>
      </c>
      <c r="AO99" s="87" t="str" cm="1">
        <f t="array" ref="AO99">IFERROR(INDEX(Funcionalidades!$A$2:$A$80,MATCH(TRUE, COUNTIF(Reporte_Gral!R99:Z99,Funcionalidades!$A$2:$A$80)&gt;0,0)),"No encontrado")</f>
        <v>Realizar-Pedido-Eficiente</v>
      </c>
      <c r="AP99" s="87" t="str">
        <f>IF(AND(COUNTIF(Tabla[[#This Row],[Etiquetas]:[Etiquetas17]],"*UAT_V*")&gt;0,COUNTIF(Tabla[[#This Row],[Etiquetas]:[Etiquetas17]],"*QA-Integración*")=0),"SI","")</f>
        <v/>
      </c>
      <c r="AQ99" s="88" t="str" cm="1">
        <f t="array" ref="AQ99">IF(Tabla[[#This Row],[Fue encontrado durante UAT?]]="SI",IFERROR(_xlfn.XLOOKUP(TRUE,ISNUMBER(SEARCH("UAT_V",Tabla[[#This Row],[Etiquetas]:[Etiquetas17]])),Tabla[[#This Row],[Etiquetas]:[Etiquetas17]]),""),"")</f>
        <v/>
      </c>
      <c r="AR99" s="87" t="str">
        <f>IF(COUNTIF(Tabla[[#This Row],[Etiquetas]:[Etiquetas17]],"*Devuelto*")&gt;0,"SI","")</f>
        <v/>
      </c>
      <c r="AS99" s="167">
        <f>COUNTIF(Tabla[[#This Row],[Etiquetas]:[Etiquetas17]],"*Devuelto*")</f>
        <v>0</v>
      </c>
    </row>
    <row r="100" spans="1:45">
      <c r="A100" s="40" t="s">
        <v>128</v>
      </c>
      <c r="B100" s="40" t="s">
        <v>402</v>
      </c>
      <c r="C100" s="40">
        <v>115607</v>
      </c>
      <c r="D100" s="40" t="s">
        <v>403</v>
      </c>
      <c r="E100" s="40" t="s">
        <v>37</v>
      </c>
      <c r="F100" s="40" t="s">
        <v>26</v>
      </c>
      <c r="G100" s="40" t="s">
        <v>307</v>
      </c>
      <c r="H100" s="40" t="s">
        <v>224</v>
      </c>
      <c r="I100" s="40" t="s">
        <v>151</v>
      </c>
      <c r="J100" s="40"/>
      <c r="K100" s="40"/>
      <c r="L100" s="40"/>
      <c r="M100" s="40"/>
      <c r="N100" s="40"/>
      <c r="O100" s="40"/>
      <c r="P100" s="40"/>
      <c r="Q100" s="40"/>
      <c r="R100" s="40" t="s">
        <v>332</v>
      </c>
      <c r="S100" s="40" t="s">
        <v>139</v>
      </c>
      <c r="T100" s="40" t="s">
        <v>356</v>
      </c>
      <c r="U100" s="40" t="s">
        <v>226</v>
      </c>
      <c r="V100" s="40" t="s">
        <v>154</v>
      </c>
      <c r="W100" s="40"/>
      <c r="X100" s="40"/>
      <c r="Y100" s="40"/>
      <c r="Z100" s="40"/>
      <c r="AA100" s="40" t="s">
        <v>348</v>
      </c>
      <c r="AB100" s="53">
        <v>45988.499305555553</v>
      </c>
      <c r="AC100" s="40" t="s">
        <v>329</v>
      </c>
      <c r="AD100" s="40"/>
      <c r="AE100" s="40"/>
      <c r="AF100" s="40"/>
      <c r="AG100" s="40" t="s">
        <v>135</v>
      </c>
      <c r="AH100" s="10"/>
      <c r="AI100" s="87"/>
      <c r="AJ100" s="87" cm="1">
        <f t="array" ref="AJ100">IFERROR(_xlfn.XLOOKUP(TRUE,COUNTIF(Tabla[[#This Row],[Etiquetas]:[Etiquetas17]],Versiones!$G$2:$G$36)&gt;0,Versiones!$B$2:$B$36), "")</f>
        <v>23</v>
      </c>
      <c r="AK100" s="87" t="str" cm="1">
        <f t="array" ref="AK100">IFERROR(_xlfn.XLOOKUP(TRUE,COUNTIF(Tabla[[#This Row],[Etiquetas]:[Etiquetas17]],Versiones!$G$2:$G$36)&gt;0,Versiones!$A$2:$A$36), "")</f>
        <v>V0.13</v>
      </c>
      <c r="AL10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00" s="78">
        <f>IFERROR(_xlfn.XLOOKUP(Tabla[[#This Row],[¿En qué versión fue corregido?]],Versiones!$A$2:$A$34,Versiones!$B$2:$B$34),"No encontrado")</f>
        <v>24</v>
      </c>
      <c r="AN100" s="88" t="str" cm="1">
        <f t="array" ref="AN100">IFERROR(_xlfn.XLOOKUP(TRUE,COUNTIF(Tabla[[#This Row],[Etiquetas]:[Etiquetas17]],Categorías!$A$2:$A$12)&gt;0,Categorías!$A$2:$A$12),"No encontrado")</f>
        <v>Funcional</v>
      </c>
      <c r="AO100" s="87" t="str" cm="1">
        <f t="array" ref="AO100">IFERROR(INDEX(Funcionalidades!$A$2:$A$80,MATCH(TRUE, COUNTIF(Reporte_Gral!R100:Z100,Funcionalidades!$A$2:$A$80)&gt;0,0)),"No encontrado")</f>
        <v>Cobro-De-Productos-Peso-Variable</v>
      </c>
      <c r="AP100" s="87" t="str">
        <f>IF(AND(COUNTIF(Tabla[[#This Row],[Etiquetas]:[Etiquetas17]],"*UAT_V*")&gt;0,COUNTIF(Tabla[[#This Row],[Etiquetas]:[Etiquetas17]],"*QA-Integración*")=0),"SI","")</f>
        <v/>
      </c>
      <c r="AQ100" s="88" t="str" cm="1">
        <f t="array" ref="AQ100">IF(Tabla[[#This Row],[Fue encontrado durante UAT?]]="SI",IFERROR(_xlfn.XLOOKUP(TRUE,ISNUMBER(SEARCH("UAT_V",Tabla[[#This Row],[Etiquetas]:[Etiquetas17]])),Tabla[[#This Row],[Etiquetas]:[Etiquetas17]]),""),"")</f>
        <v/>
      </c>
      <c r="AR100" s="87" t="str">
        <f>IF(COUNTIF(Tabla[[#This Row],[Etiquetas]:[Etiquetas17]],"*Devuelto*")&gt;0,"SI","")</f>
        <v/>
      </c>
      <c r="AS100" s="167">
        <f>COUNTIF(Tabla[[#This Row],[Etiquetas]:[Etiquetas17]],"*Devuelto*")</f>
        <v>0</v>
      </c>
    </row>
    <row r="101" spans="1:45">
      <c r="A101" s="40" t="s">
        <v>128</v>
      </c>
      <c r="B101" s="40" t="s">
        <v>404</v>
      </c>
      <c r="C101" s="40">
        <v>115122</v>
      </c>
      <c r="D101" s="40" t="s">
        <v>405</v>
      </c>
      <c r="E101" s="40" t="s">
        <v>37</v>
      </c>
      <c r="F101" s="40" t="s">
        <v>27</v>
      </c>
      <c r="G101" s="40" t="s">
        <v>224</v>
      </c>
      <c r="H101" s="40" t="s">
        <v>151</v>
      </c>
      <c r="I101" s="40"/>
      <c r="J101" s="40"/>
      <c r="K101" s="40"/>
      <c r="L101" s="40"/>
      <c r="M101" s="40"/>
      <c r="N101" s="40"/>
      <c r="O101" s="40"/>
      <c r="P101" s="40"/>
      <c r="Q101" s="40"/>
      <c r="R101" s="40" t="s">
        <v>273</v>
      </c>
      <c r="S101" s="40" t="s">
        <v>162</v>
      </c>
      <c r="T101" s="40" t="s">
        <v>132</v>
      </c>
      <c r="U101" s="40" t="s">
        <v>356</v>
      </c>
      <c r="V101" s="40" t="s">
        <v>204</v>
      </c>
      <c r="W101" s="40" t="s">
        <v>154</v>
      </c>
      <c r="X101" s="40"/>
      <c r="Y101" s="40"/>
      <c r="Z101" s="40"/>
      <c r="AA101" s="40" t="s">
        <v>134</v>
      </c>
      <c r="AB101" s="53">
        <v>45987.526388888888</v>
      </c>
      <c r="AC101" s="40" t="s">
        <v>174</v>
      </c>
      <c r="AD101" s="40"/>
      <c r="AE101" s="40"/>
      <c r="AF101" s="40"/>
      <c r="AG101" s="40" t="s">
        <v>141</v>
      </c>
      <c r="AH101" s="10"/>
      <c r="AI101" s="87"/>
      <c r="AJ101" s="87" cm="1">
        <f t="array" ref="AJ101">IFERROR(_xlfn.XLOOKUP(TRUE,COUNTIF(Tabla[[#This Row],[Etiquetas]:[Etiquetas17]],Versiones!$G$2:$G$36)&gt;0,Versiones!$B$2:$B$36), "")</f>
        <v>23</v>
      </c>
      <c r="AK101" s="87" t="str" cm="1">
        <f t="array" ref="AK101">IFERROR(_xlfn.XLOOKUP(TRUE,COUNTIF(Tabla[[#This Row],[Etiquetas]:[Etiquetas17]],Versiones!$G$2:$G$36)&gt;0,Versiones!$A$2:$A$36), "")</f>
        <v>V0.13</v>
      </c>
      <c r="AL10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01" s="78">
        <f>IFERROR(_xlfn.XLOOKUP(Tabla[[#This Row],[¿En qué versión fue corregido?]],Versiones!$A$2:$A$34,Versiones!$B$2:$B$34),"No encontrado")</f>
        <v>25</v>
      </c>
      <c r="AN101" s="88" t="str" cm="1">
        <f t="array" ref="AN101">IFERROR(_xlfn.XLOOKUP(TRUE,COUNTIF(Tabla[[#This Row],[Etiquetas]:[Etiquetas17]],Categorías!$A$2:$A$12)&gt;0,Categorías!$A$2:$A$12),"No encontrado")</f>
        <v>Look&amp;Feel</v>
      </c>
      <c r="AO101" s="87" t="str" cm="1">
        <f t="array" ref="AO101">IFERROR(INDEX(Funcionalidades!$A$2:$A$80,MATCH(TRUE, COUNTIF(Reporte_Gral!R101:Z101,Funcionalidades!$A$2:$A$80)&gt;0,0)),"No encontrado")</f>
        <v>Imprimir-Cambios-De-Precio</v>
      </c>
      <c r="AP101" s="87" t="str">
        <f>IF(AND(COUNTIF(Tabla[[#This Row],[Etiquetas]:[Etiquetas17]],"*UAT_V*")&gt;0,COUNTIF(Tabla[[#This Row],[Etiquetas]:[Etiquetas17]],"*QA-Integración*")=0),"SI","")</f>
        <v/>
      </c>
      <c r="AQ101" s="88" t="str" cm="1">
        <f t="array" ref="AQ101">IF(Tabla[[#This Row],[Fue encontrado durante UAT?]]="SI",IFERROR(_xlfn.XLOOKUP(TRUE,ISNUMBER(SEARCH("UAT_V",Tabla[[#This Row],[Etiquetas]:[Etiquetas17]])),Tabla[[#This Row],[Etiquetas]:[Etiquetas17]]),""),"")</f>
        <v/>
      </c>
      <c r="AR101" s="87" t="str">
        <f>IF(COUNTIF(Tabla[[#This Row],[Etiquetas]:[Etiquetas17]],"*Devuelto*")&gt;0,"SI","")</f>
        <v>SI</v>
      </c>
      <c r="AS101" s="167">
        <f>COUNTIF(Tabla[[#This Row],[Etiquetas]:[Etiquetas17]],"*Devuelto*")</f>
        <v>1</v>
      </c>
    </row>
    <row r="102" spans="1:45">
      <c r="A102" s="40" t="s">
        <v>128</v>
      </c>
      <c r="B102" s="40" t="s">
        <v>406</v>
      </c>
      <c r="C102" s="40">
        <v>115113</v>
      </c>
      <c r="D102" s="40" t="s">
        <v>407</v>
      </c>
      <c r="E102" s="40" t="s">
        <v>37</v>
      </c>
      <c r="F102" s="40" t="s">
        <v>27</v>
      </c>
      <c r="G102" s="40" t="s">
        <v>224</v>
      </c>
      <c r="H102" s="40" t="s">
        <v>151</v>
      </c>
      <c r="I102" s="40"/>
      <c r="J102" s="40"/>
      <c r="K102" s="40"/>
      <c r="L102" s="40"/>
      <c r="M102" s="40"/>
      <c r="N102" s="40"/>
      <c r="O102" s="40"/>
      <c r="P102" s="40"/>
      <c r="Q102" s="40"/>
      <c r="R102" s="40" t="s">
        <v>162</v>
      </c>
      <c r="S102" s="40" t="s">
        <v>132</v>
      </c>
      <c r="T102" s="40" t="s">
        <v>356</v>
      </c>
      <c r="U102" s="40" t="s">
        <v>204</v>
      </c>
      <c r="V102" s="40" t="s">
        <v>154</v>
      </c>
      <c r="W102" s="40"/>
      <c r="X102" s="40"/>
      <c r="Y102" s="40"/>
      <c r="Z102" s="40"/>
      <c r="AA102" s="40" t="s">
        <v>134</v>
      </c>
      <c r="AB102" s="53">
        <v>45987.509722222225</v>
      </c>
      <c r="AC102" s="40" t="s">
        <v>174</v>
      </c>
      <c r="AD102" s="40"/>
      <c r="AE102" s="40"/>
      <c r="AF102" s="40"/>
      <c r="AG102" s="40" t="s">
        <v>141</v>
      </c>
      <c r="AH102" s="10"/>
      <c r="AI102" s="87"/>
      <c r="AJ102" s="87" cm="1">
        <f t="array" ref="AJ102">IFERROR(_xlfn.XLOOKUP(TRUE,COUNTIF(Tabla[[#This Row],[Etiquetas]:[Etiquetas17]],Versiones!$G$2:$G$36)&gt;0,Versiones!$B$2:$B$36), "")</f>
        <v>23</v>
      </c>
      <c r="AK102" s="87" t="str" cm="1">
        <f t="array" ref="AK102">IFERROR(_xlfn.XLOOKUP(TRUE,COUNTIF(Tabla[[#This Row],[Etiquetas]:[Etiquetas17]],Versiones!$G$2:$G$36)&gt;0,Versiones!$A$2:$A$36), "")</f>
        <v>V0.13</v>
      </c>
      <c r="AL10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02" s="78">
        <f>IFERROR(_xlfn.XLOOKUP(Tabla[[#This Row],[¿En qué versión fue corregido?]],Versiones!$A$2:$A$34,Versiones!$B$2:$B$34),"No encontrado")</f>
        <v>25</v>
      </c>
      <c r="AN102" s="88" t="str" cm="1">
        <f t="array" ref="AN102">IFERROR(_xlfn.XLOOKUP(TRUE,COUNTIF(Tabla[[#This Row],[Etiquetas]:[Etiquetas17]],Categorías!$A$2:$A$12)&gt;0,Categorías!$A$2:$A$12),"No encontrado")</f>
        <v>Look&amp;Feel</v>
      </c>
      <c r="AO102" s="87" t="str" cm="1">
        <f t="array" ref="AO102">IFERROR(INDEX(Funcionalidades!$A$2:$A$80,MATCH(TRUE, COUNTIF(Reporte_Gral!R102:Z102,Funcionalidades!$A$2:$A$80)&gt;0,0)),"No encontrado")</f>
        <v>Imprimir-Cambios-De-Precio</v>
      </c>
      <c r="AP102" s="87" t="str">
        <f>IF(AND(COUNTIF(Tabla[[#This Row],[Etiquetas]:[Etiquetas17]],"*UAT_V*")&gt;0,COUNTIF(Tabla[[#This Row],[Etiquetas]:[Etiquetas17]],"*QA-Integración*")=0),"SI","")</f>
        <v/>
      </c>
      <c r="AQ102" s="88" t="str" cm="1">
        <f t="array" ref="AQ102">IF(Tabla[[#This Row],[Fue encontrado durante UAT?]]="SI",IFERROR(_xlfn.XLOOKUP(TRUE,ISNUMBER(SEARCH("UAT_V",Tabla[[#This Row],[Etiquetas]:[Etiquetas17]])),Tabla[[#This Row],[Etiquetas]:[Etiquetas17]]),""),"")</f>
        <v/>
      </c>
      <c r="AR102" s="87" t="str">
        <f>IF(COUNTIF(Tabla[[#This Row],[Etiquetas]:[Etiquetas17]],"*Devuelto*")&gt;0,"SI","")</f>
        <v/>
      </c>
      <c r="AS102" s="167">
        <f>COUNTIF(Tabla[[#This Row],[Etiquetas]:[Etiquetas17]],"*Devuelto*")</f>
        <v>0</v>
      </c>
    </row>
    <row r="103" spans="1:45">
      <c r="A103" s="40" t="s">
        <v>128</v>
      </c>
      <c r="B103" s="40" t="s">
        <v>408</v>
      </c>
      <c r="C103" s="40">
        <v>115058</v>
      </c>
      <c r="D103" s="40" t="s">
        <v>409</v>
      </c>
      <c r="E103" s="40" t="s">
        <v>37</v>
      </c>
      <c r="F103" s="40" t="s">
        <v>27</v>
      </c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 t="s">
        <v>162</v>
      </c>
      <c r="S103" s="40" t="s">
        <v>132</v>
      </c>
      <c r="T103" s="40" t="s">
        <v>356</v>
      </c>
      <c r="U103" s="40"/>
      <c r="V103" s="40"/>
      <c r="W103" s="40"/>
      <c r="X103" s="40"/>
      <c r="Y103" s="40"/>
      <c r="Z103" s="40"/>
      <c r="AA103" s="40" t="s">
        <v>134</v>
      </c>
      <c r="AB103" s="53">
        <v>45987.460416666669</v>
      </c>
      <c r="AC103" s="40"/>
      <c r="AD103" s="40"/>
      <c r="AE103" s="40"/>
      <c r="AF103" s="40"/>
      <c r="AG103" s="40" t="s">
        <v>141</v>
      </c>
      <c r="AH103" s="10"/>
      <c r="AI103" s="87"/>
      <c r="AJ103" s="87" cm="1">
        <f t="array" ref="AJ103">IFERROR(_xlfn.XLOOKUP(TRUE,COUNTIF(Tabla[[#This Row],[Etiquetas]:[Etiquetas17]],Versiones!$G$2:$G$36)&gt;0,Versiones!$B$2:$B$36), "")</f>
        <v>23</v>
      </c>
      <c r="AK103" s="87" t="str" cm="1">
        <f t="array" ref="AK103">IFERROR(_xlfn.XLOOKUP(TRUE,COUNTIF(Tabla[[#This Row],[Etiquetas]:[Etiquetas17]],Versiones!$G$2:$G$36)&gt;0,Versiones!$A$2:$A$36), "")</f>
        <v>V0.13</v>
      </c>
      <c r="AL10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03" s="78" t="str">
        <f>IFERROR(_xlfn.XLOOKUP(Tabla[[#This Row],[¿En qué versión fue corregido?]],Versiones!$A$2:$A$34,Versiones!$B$2:$B$34),"No encontrado")</f>
        <v>No encontrado</v>
      </c>
      <c r="AN103" s="88" t="str" cm="1">
        <f t="array" ref="AN103">IFERROR(_xlfn.XLOOKUP(TRUE,COUNTIF(Tabla[[#This Row],[Etiquetas]:[Etiquetas17]],Categorías!$A$2:$A$12)&gt;0,Categorías!$A$2:$A$12),"No encontrado")</f>
        <v>Look&amp;Feel</v>
      </c>
      <c r="AO103" s="87" t="str" cm="1">
        <f t="array" ref="AO103">IFERROR(INDEX(Funcionalidades!$A$2:$A$80,MATCH(TRUE, COUNTIF(Reporte_Gral!R103:Z103,Funcionalidades!$A$2:$A$80)&gt;0,0)),"No encontrado")</f>
        <v>Imprimir-Cambios-De-Precio</v>
      </c>
      <c r="AP103" s="87" t="str">
        <f>IF(AND(COUNTIF(Tabla[[#This Row],[Etiquetas]:[Etiquetas17]],"*UAT_V*")&gt;0,COUNTIF(Tabla[[#This Row],[Etiquetas]:[Etiquetas17]],"*QA-Integración*")=0),"SI","")</f>
        <v/>
      </c>
      <c r="AQ103" s="88" t="str" cm="1">
        <f t="array" ref="AQ103">IF(Tabla[[#This Row],[Fue encontrado durante UAT?]]="SI",IFERROR(_xlfn.XLOOKUP(TRUE,ISNUMBER(SEARCH("UAT_V",Tabla[[#This Row],[Etiquetas]:[Etiquetas17]])),Tabla[[#This Row],[Etiquetas]:[Etiquetas17]]),""),"")</f>
        <v/>
      </c>
      <c r="AR103" s="87" t="str">
        <f>IF(COUNTIF(Tabla[[#This Row],[Etiquetas]:[Etiquetas17]],"*Devuelto*")&gt;0,"SI","")</f>
        <v/>
      </c>
      <c r="AS103" s="167">
        <f>COUNTIF(Tabla[[#This Row],[Etiquetas]:[Etiquetas17]],"*Devuelto*")</f>
        <v>0</v>
      </c>
    </row>
    <row r="104" spans="1:45">
      <c r="A104" s="40" t="s">
        <v>128</v>
      </c>
      <c r="B104" s="40" t="s">
        <v>410</v>
      </c>
      <c r="C104" s="40">
        <v>114999</v>
      </c>
      <c r="D104" s="40" t="s">
        <v>411</v>
      </c>
      <c r="E104" s="40" t="s">
        <v>36</v>
      </c>
      <c r="F104" s="40" t="s">
        <v>242</v>
      </c>
      <c r="G104" s="40" t="s">
        <v>224</v>
      </c>
      <c r="H104" s="40" t="s">
        <v>151</v>
      </c>
      <c r="I104" s="40"/>
      <c r="J104" s="40"/>
      <c r="K104" s="40"/>
      <c r="L104" s="40"/>
      <c r="M104" s="40"/>
      <c r="N104" s="40"/>
      <c r="O104" s="40"/>
      <c r="P104" s="40"/>
      <c r="Q104" s="40"/>
      <c r="R104" s="40" t="s">
        <v>162</v>
      </c>
      <c r="S104" s="40" t="s">
        <v>132</v>
      </c>
      <c r="T104" s="40" t="s">
        <v>356</v>
      </c>
      <c r="U104" s="40" t="s">
        <v>194</v>
      </c>
      <c r="V104" s="40" t="s">
        <v>204</v>
      </c>
      <c r="W104" s="40" t="s">
        <v>154</v>
      </c>
      <c r="X104" s="40"/>
      <c r="Y104" s="40"/>
      <c r="Z104" s="40"/>
      <c r="AA104" s="40" t="s">
        <v>134</v>
      </c>
      <c r="AB104" s="53">
        <v>45987.412499999999</v>
      </c>
      <c r="AC104" s="40" t="s">
        <v>155</v>
      </c>
      <c r="AD104" s="40"/>
      <c r="AE104" s="40"/>
      <c r="AF104" s="40"/>
      <c r="AG104" s="40" t="s">
        <v>141</v>
      </c>
      <c r="AH104" s="10"/>
      <c r="AI104" s="87"/>
      <c r="AJ104" s="87" cm="1">
        <f t="array" ref="AJ104">IFERROR(_xlfn.XLOOKUP(TRUE,COUNTIF(Tabla[[#This Row],[Etiquetas]:[Etiquetas17]],Versiones!$G$2:$G$36)&gt;0,Versiones!$B$2:$B$36), "")</f>
        <v>23</v>
      </c>
      <c r="AK104" s="87" t="str" cm="1">
        <f t="array" ref="AK104">IFERROR(_xlfn.XLOOKUP(TRUE,COUNTIF(Tabla[[#This Row],[Etiquetas]:[Etiquetas17]],Versiones!$G$2:$G$36)&gt;0,Versiones!$A$2:$A$36), "")</f>
        <v>V0.13</v>
      </c>
      <c r="AL10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04" s="78">
        <f>IFERROR(_xlfn.XLOOKUP(Tabla[[#This Row],[¿En qué versión fue corregido?]],Versiones!$A$2:$A$34,Versiones!$B$2:$B$34),"No encontrado")</f>
        <v>0</v>
      </c>
      <c r="AN104" s="88" t="str" cm="1">
        <f t="array" ref="AN104">IFERROR(_xlfn.XLOOKUP(TRUE,COUNTIF(Tabla[[#This Row],[Etiquetas]:[Etiquetas17]],Categorías!$A$2:$A$12)&gt;0,Categorías!$A$2:$A$12),"No encontrado")</f>
        <v>Look&amp;Feel</v>
      </c>
      <c r="AO104" s="87" t="str" cm="1">
        <f t="array" ref="AO104">IFERROR(INDEX(Funcionalidades!$A$2:$A$80,MATCH(TRUE, COUNTIF(Reporte_Gral!R104:Z104,Funcionalidades!$A$2:$A$80)&gt;0,0)),"No encontrado")</f>
        <v>Imprimir-Cambios-De-Precio</v>
      </c>
      <c r="AP104" s="87" t="str">
        <f>IF(AND(COUNTIF(Tabla[[#This Row],[Etiquetas]:[Etiquetas17]],"*UAT_V*")&gt;0,COUNTIF(Tabla[[#This Row],[Etiquetas]:[Etiquetas17]],"*QA-Integración*")=0),"SI","")</f>
        <v/>
      </c>
      <c r="AQ104" s="88" t="str" cm="1">
        <f t="array" ref="AQ104">IF(Tabla[[#This Row],[Fue encontrado durante UAT?]]="SI",IFERROR(_xlfn.XLOOKUP(TRUE,ISNUMBER(SEARCH("UAT_V",Tabla[[#This Row],[Etiquetas]:[Etiquetas17]])),Tabla[[#This Row],[Etiquetas]:[Etiquetas17]]),""),"")</f>
        <v/>
      </c>
      <c r="AR104" s="87" t="str">
        <f>IF(COUNTIF(Tabla[[#This Row],[Etiquetas]:[Etiquetas17]],"*Devuelto*")&gt;0,"SI","")</f>
        <v/>
      </c>
      <c r="AS104" s="167">
        <f>COUNTIF(Tabla[[#This Row],[Etiquetas]:[Etiquetas17]],"*Devuelto*")</f>
        <v>0</v>
      </c>
    </row>
    <row r="105" spans="1:45">
      <c r="A105" s="40" t="s">
        <v>128</v>
      </c>
      <c r="B105" s="40" t="s">
        <v>412</v>
      </c>
      <c r="C105" s="40">
        <v>114986</v>
      </c>
      <c r="D105" s="40" t="s">
        <v>413</v>
      </c>
      <c r="E105" s="40" t="s">
        <v>36</v>
      </c>
      <c r="F105" s="40" t="s">
        <v>27</v>
      </c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 t="s">
        <v>414</v>
      </c>
      <c r="S105" s="40" t="s">
        <v>287</v>
      </c>
      <c r="T105" s="40" t="s">
        <v>415</v>
      </c>
      <c r="U105" s="40" t="s">
        <v>356</v>
      </c>
      <c r="V105" s="40" t="s">
        <v>366</v>
      </c>
      <c r="W105" s="40" t="s">
        <v>194</v>
      </c>
      <c r="X105" s="40"/>
      <c r="Y105" s="40"/>
      <c r="Z105" s="40"/>
      <c r="AA105" s="40" t="s">
        <v>134</v>
      </c>
      <c r="AB105" s="53">
        <v>45987.375</v>
      </c>
      <c r="AC105" s="40"/>
      <c r="AD105" s="40"/>
      <c r="AE105" s="40"/>
      <c r="AF105" s="40"/>
      <c r="AG105" s="40" t="s">
        <v>141</v>
      </c>
      <c r="AH105" s="10"/>
      <c r="AI105" s="87"/>
      <c r="AJ105" s="87" cm="1">
        <f t="array" ref="AJ105">IFERROR(_xlfn.XLOOKUP(TRUE,COUNTIF(Tabla[[#This Row],[Etiquetas]:[Etiquetas17]],Versiones!$G$2:$G$36)&gt;0,Versiones!$B$2:$B$36), "")</f>
        <v>23</v>
      </c>
      <c r="AK105" s="87" t="str" cm="1">
        <f t="array" ref="AK105">IFERROR(_xlfn.XLOOKUP(TRUE,COUNTIF(Tabla[[#This Row],[Etiquetas]:[Etiquetas17]],Versiones!$G$2:$G$36)&gt;0,Versiones!$A$2:$A$36), "")</f>
        <v>V0.13</v>
      </c>
      <c r="AL10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05" s="78" t="str">
        <f>IFERROR(_xlfn.XLOOKUP(Tabla[[#This Row],[¿En qué versión fue corregido?]],Versiones!$A$2:$A$34,Versiones!$B$2:$B$34),"No encontrado")</f>
        <v>No encontrado</v>
      </c>
      <c r="AN105" s="88" t="str" cm="1">
        <f t="array" ref="AN105">IFERROR(_xlfn.XLOOKUP(TRUE,COUNTIF(Tabla[[#This Row],[Etiquetas]:[Etiquetas17]],Categorías!$A$2:$A$12)&gt;0,Categorías!$A$2:$A$12),"No encontrado")</f>
        <v>Eventos_iOT</v>
      </c>
      <c r="AO105" s="87" t="str" cm="1">
        <f t="array" ref="AO105">IFERROR(INDEX(Funcionalidades!$A$2:$A$80,MATCH(TRUE, COUNTIF(Reporte_Gral!R105:Z105,Funcionalidades!$A$2:$A$80)&gt;0,0)),"No encontrado")</f>
        <v>Recibir-Mercancía-Pie-De-Camión</v>
      </c>
      <c r="AP105" s="87" t="str">
        <f>IF(AND(COUNTIF(Tabla[[#This Row],[Etiquetas]:[Etiquetas17]],"*UAT_V*")&gt;0,COUNTIF(Tabla[[#This Row],[Etiquetas]:[Etiquetas17]],"*QA-Integración*")=0),"SI","")</f>
        <v/>
      </c>
      <c r="AQ105" s="88" t="str" cm="1">
        <f t="array" ref="AQ105">IF(Tabla[[#This Row],[Fue encontrado durante UAT?]]="SI",IFERROR(_xlfn.XLOOKUP(TRUE,ISNUMBER(SEARCH("UAT_V",Tabla[[#This Row],[Etiquetas]:[Etiquetas17]])),Tabla[[#This Row],[Etiquetas]:[Etiquetas17]]),""),"")</f>
        <v/>
      </c>
      <c r="AR105" s="87" t="str">
        <f>IF(COUNTIF(Tabla[[#This Row],[Etiquetas]:[Etiquetas17]],"*Devuelto*")&gt;0,"SI","")</f>
        <v/>
      </c>
      <c r="AS105" s="167">
        <f>COUNTIF(Tabla[[#This Row],[Etiquetas]:[Etiquetas17]],"*Devuelto*")</f>
        <v>0</v>
      </c>
    </row>
    <row r="106" spans="1:45">
      <c r="A106" s="40" t="s">
        <v>128</v>
      </c>
      <c r="B106" s="40" t="s">
        <v>416</v>
      </c>
      <c r="C106" s="40">
        <v>114793</v>
      </c>
      <c r="D106" s="40" t="s">
        <v>417</v>
      </c>
      <c r="E106" s="40" t="s">
        <v>41</v>
      </c>
      <c r="F106" s="40" t="s">
        <v>26</v>
      </c>
      <c r="G106" s="40" t="s">
        <v>307</v>
      </c>
      <c r="H106" s="40" t="s">
        <v>224</v>
      </c>
      <c r="I106" s="40" t="s">
        <v>151</v>
      </c>
      <c r="J106" s="40"/>
      <c r="K106" s="40"/>
      <c r="L106" s="40"/>
      <c r="M106" s="40"/>
      <c r="N106" s="40"/>
      <c r="O106" s="40"/>
      <c r="P106" s="40"/>
      <c r="Q106" s="40"/>
      <c r="R106" s="40" t="s">
        <v>139</v>
      </c>
      <c r="S106" s="40" t="s">
        <v>162</v>
      </c>
      <c r="T106" s="40" t="s">
        <v>356</v>
      </c>
      <c r="U106" s="40" t="s">
        <v>204</v>
      </c>
      <c r="V106" s="40" t="s">
        <v>154</v>
      </c>
      <c r="W106" s="40"/>
      <c r="X106" s="40"/>
      <c r="Y106" s="40"/>
      <c r="Z106" s="40"/>
      <c r="AA106" s="40" t="s">
        <v>217</v>
      </c>
      <c r="AB106" s="53">
        <v>45986.614583333336</v>
      </c>
      <c r="AC106" s="40" t="s">
        <v>329</v>
      </c>
      <c r="AD106" s="40"/>
      <c r="AE106" s="40"/>
      <c r="AF106" s="40"/>
      <c r="AG106" s="40" t="s">
        <v>141</v>
      </c>
      <c r="AH106" s="10"/>
      <c r="AI106" s="87"/>
      <c r="AJ106" s="87" cm="1">
        <f t="array" ref="AJ106">IFERROR(_xlfn.XLOOKUP(TRUE,COUNTIF(Tabla[[#This Row],[Etiquetas]:[Etiquetas17]],Versiones!$G$2:$G$36)&gt;0,Versiones!$B$2:$B$36), "")</f>
        <v>23</v>
      </c>
      <c r="AK106" s="87" t="str" cm="1">
        <f t="array" ref="AK106">IFERROR(_xlfn.XLOOKUP(TRUE,COUNTIF(Tabla[[#This Row],[Etiquetas]:[Etiquetas17]],Versiones!$G$2:$G$36)&gt;0,Versiones!$A$2:$A$36), "")</f>
        <v>V0.13</v>
      </c>
      <c r="AL10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06" s="78">
        <f>IFERROR(_xlfn.XLOOKUP(Tabla[[#This Row],[¿En qué versión fue corregido?]],Versiones!$A$2:$A$34,Versiones!$B$2:$B$34),"No encontrado")</f>
        <v>24</v>
      </c>
      <c r="AN106" s="88" t="str" cm="1">
        <f t="array" ref="AN106">IFERROR(_xlfn.XLOOKUP(TRUE,COUNTIF(Tabla[[#This Row],[Etiquetas]:[Etiquetas17]],Categorías!$A$2:$A$12)&gt;0,Categorías!$A$2:$A$12),"No encontrado")</f>
        <v>Funcional</v>
      </c>
      <c r="AO106" s="87" t="str" cm="1">
        <f t="array" ref="AO106">IFERROR(INDEX(Funcionalidades!$A$2:$A$80,MATCH(TRUE, COUNTIF(Reporte_Gral!R106:Z106,Funcionalidades!$A$2:$A$80)&gt;0,0)),"No encontrado")</f>
        <v>Imprimir-Cambios-De-Precio</v>
      </c>
      <c r="AP106" s="87" t="str">
        <f>IF(AND(COUNTIF(Tabla[[#This Row],[Etiquetas]:[Etiquetas17]],"*UAT_V*")&gt;0,COUNTIF(Tabla[[#This Row],[Etiquetas]:[Etiquetas17]],"*QA-Integración*")=0),"SI","")</f>
        <v/>
      </c>
      <c r="AQ106" s="88" t="str" cm="1">
        <f t="array" ref="AQ106">IF(Tabla[[#This Row],[Fue encontrado durante UAT?]]="SI",IFERROR(_xlfn.XLOOKUP(TRUE,ISNUMBER(SEARCH("UAT_V",Tabla[[#This Row],[Etiquetas]:[Etiquetas17]])),Tabla[[#This Row],[Etiquetas]:[Etiquetas17]]),""),"")</f>
        <v/>
      </c>
      <c r="AR106" s="87" t="str">
        <f>IF(COUNTIF(Tabla[[#This Row],[Etiquetas]:[Etiquetas17]],"*Devuelto*")&gt;0,"SI","")</f>
        <v/>
      </c>
      <c r="AS106" s="167">
        <f>COUNTIF(Tabla[[#This Row],[Etiquetas]:[Etiquetas17]],"*Devuelto*")</f>
        <v>0</v>
      </c>
    </row>
    <row r="107" spans="1:45">
      <c r="A107" s="40" t="s">
        <v>128</v>
      </c>
      <c r="B107" s="40" t="s">
        <v>418</v>
      </c>
      <c r="C107" s="40">
        <v>114784</v>
      </c>
      <c r="D107" s="40" t="s">
        <v>419</v>
      </c>
      <c r="E107" s="40" t="s">
        <v>41</v>
      </c>
      <c r="F107" s="40" t="s">
        <v>26</v>
      </c>
      <c r="G107" s="40" t="s">
        <v>224</v>
      </c>
      <c r="H107" s="40" t="s">
        <v>151</v>
      </c>
      <c r="I107" s="40"/>
      <c r="J107" s="40"/>
      <c r="K107" s="40"/>
      <c r="L107" s="40"/>
      <c r="M107" s="40"/>
      <c r="N107" s="40"/>
      <c r="O107" s="40"/>
      <c r="P107" s="40"/>
      <c r="Q107" s="40"/>
      <c r="R107" s="40" t="s">
        <v>420</v>
      </c>
      <c r="S107" s="40" t="s">
        <v>371</v>
      </c>
      <c r="T107" s="40" t="s">
        <v>162</v>
      </c>
      <c r="U107" s="40" t="s">
        <v>132</v>
      </c>
      <c r="V107" s="40" t="s">
        <v>356</v>
      </c>
      <c r="W107" s="40" t="s">
        <v>204</v>
      </c>
      <c r="X107" s="40" t="s">
        <v>154</v>
      </c>
      <c r="Y107" s="40"/>
      <c r="Z107" s="40"/>
      <c r="AA107" s="40" t="s">
        <v>217</v>
      </c>
      <c r="AB107" s="53">
        <v>45986.59652777778</v>
      </c>
      <c r="AC107" s="40" t="s">
        <v>174</v>
      </c>
      <c r="AD107" s="40"/>
      <c r="AE107" s="40"/>
      <c r="AF107" s="40"/>
      <c r="AG107" s="40" t="s">
        <v>141</v>
      </c>
      <c r="AH107" s="10"/>
      <c r="AI107" s="87"/>
      <c r="AJ107" s="87" cm="1">
        <f t="array" ref="AJ107">IFERROR(_xlfn.XLOOKUP(TRUE,COUNTIF(Tabla[[#This Row],[Etiquetas]:[Etiquetas17]],Versiones!$G$2:$G$36)&gt;0,Versiones!$B$2:$B$36), "")</f>
        <v>23</v>
      </c>
      <c r="AK107" s="87" t="str" cm="1">
        <f t="array" ref="AK107">IFERROR(_xlfn.XLOOKUP(TRUE,COUNTIF(Tabla[[#This Row],[Etiquetas]:[Etiquetas17]],Versiones!$G$2:$G$36)&gt;0,Versiones!$A$2:$A$36), "")</f>
        <v>V0.13</v>
      </c>
      <c r="AL10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07" s="78">
        <f>IFERROR(_xlfn.XLOOKUP(Tabla[[#This Row],[¿En qué versión fue corregido?]],Versiones!$A$2:$A$34,Versiones!$B$2:$B$34),"No encontrado")</f>
        <v>25</v>
      </c>
      <c r="AN107" s="88" t="str" cm="1">
        <f t="array" ref="AN107">IFERROR(_xlfn.XLOOKUP(TRUE,COUNTIF(Tabla[[#This Row],[Etiquetas]:[Etiquetas17]],Categorías!$A$2:$A$12)&gt;0,Categorías!$A$2:$A$12),"No encontrado")</f>
        <v>Look&amp;Feel</v>
      </c>
      <c r="AO107" s="87" t="str" cm="1">
        <f t="array" ref="AO107">IFERROR(INDEX(Funcionalidades!$A$2:$A$80,MATCH(TRUE, COUNTIF(Reporte_Gral!R107:Z107,Funcionalidades!$A$2:$A$80)&gt;0,0)),"No encontrado")</f>
        <v>Imprimir-Cambios-De-Precio</v>
      </c>
      <c r="AP107" s="87" t="str">
        <f>IF(AND(COUNTIF(Tabla[[#This Row],[Etiquetas]:[Etiquetas17]],"*UAT_V*")&gt;0,COUNTIF(Tabla[[#This Row],[Etiquetas]:[Etiquetas17]],"*QA-Integración*")=0),"SI","")</f>
        <v/>
      </c>
      <c r="AQ107" s="88" t="str" cm="1">
        <f t="array" ref="AQ107">IF(Tabla[[#This Row],[Fue encontrado durante UAT?]]="SI",IFERROR(_xlfn.XLOOKUP(TRUE,ISNUMBER(SEARCH("UAT_V",Tabla[[#This Row],[Etiquetas]:[Etiquetas17]])),Tabla[[#This Row],[Etiquetas]:[Etiquetas17]]),""),"")</f>
        <v/>
      </c>
      <c r="AR107" s="87" t="str">
        <f>IF(COUNTIF(Tabla[[#This Row],[Etiquetas]:[Etiquetas17]],"*Devuelto*")&gt;0,"SI","")</f>
        <v>SI</v>
      </c>
      <c r="AS107" s="167">
        <f>COUNTIF(Tabla[[#This Row],[Etiquetas]:[Etiquetas17]],"*Devuelto*")</f>
        <v>1</v>
      </c>
    </row>
    <row r="108" spans="1:45">
      <c r="A108" s="40" t="s">
        <v>128</v>
      </c>
      <c r="B108" s="40" t="s">
        <v>421</v>
      </c>
      <c r="C108" s="40">
        <v>114776</v>
      </c>
      <c r="D108" s="40" t="s">
        <v>422</v>
      </c>
      <c r="E108" s="40" t="s">
        <v>37</v>
      </c>
      <c r="F108" s="40" t="s">
        <v>27</v>
      </c>
      <c r="G108" s="40" t="s">
        <v>224</v>
      </c>
      <c r="H108" s="40" t="s">
        <v>151</v>
      </c>
      <c r="I108" s="40"/>
      <c r="J108" s="40"/>
      <c r="K108" s="40"/>
      <c r="L108" s="40"/>
      <c r="M108" s="40"/>
      <c r="N108" s="40"/>
      <c r="O108" s="40"/>
      <c r="P108" s="40"/>
      <c r="Q108" s="40"/>
      <c r="R108" s="40" t="s">
        <v>139</v>
      </c>
      <c r="S108" s="40" t="s">
        <v>162</v>
      </c>
      <c r="T108" s="40" t="s">
        <v>356</v>
      </c>
      <c r="U108" s="40" t="s">
        <v>204</v>
      </c>
      <c r="V108" s="40" t="s">
        <v>154</v>
      </c>
      <c r="W108" s="40"/>
      <c r="X108" s="40"/>
      <c r="Y108" s="40"/>
      <c r="Z108" s="40"/>
      <c r="AA108" s="40" t="s">
        <v>217</v>
      </c>
      <c r="AB108" s="53">
        <v>45986.585416666669</v>
      </c>
      <c r="AC108" s="40" t="s">
        <v>174</v>
      </c>
      <c r="AD108" s="40"/>
      <c r="AE108" s="40"/>
      <c r="AF108" s="40"/>
      <c r="AG108" s="40" t="s">
        <v>141</v>
      </c>
      <c r="AH108" s="10"/>
      <c r="AI108" s="87"/>
      <c r="AJ108" s="87" cm="1">
        <f t="array" ref="AJ108">IFERROR(_xlfn.XLOOKUP(TRUE,COUNTIF(Tabla[[#This Row],[Etiquetas]:[Etiquetas17]],Versiones!$G$2:$G$36)&gt;0,Versiones!$B$2:$B$36), "")</f>
        <v>23</v>
      </c>
      <c r="AK108" s="87" t="str" cm="1">
        <f t="array" ref="AK108">IFERROR(_xlfn.XLOOKUP(TRUE,COUNTIF(Tabla[[#This Row],[Etiquetas]:[Etiquetas17]],Versiones!$G$2:$G$36)&gt;0,Versiones!$A$2:$A$36), "")</f>
        <v>V0.13</v>
      </c>
      <c r="AL10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08" s="78">
        <f>IFERROR(_xlfn.XLOOKUP(Tabla[[#This Row],[¿En qué versión fue corregido?]],Versiones!$A$2:$A$34,Versiones!$B$2:$B$34),"No encontrado")</f>
        <v>25</v>
      </c>
      <c r="AN108" s="88" t="str" cm="1">
        <f t="array" ref="AN108">IFERROR(_xlfn.XLOOKUP(TRUE,COUNTIF(Tabla[[#This Row],[Etiquetas]:[Etiquetas17]],Categorías!$A$2:$A$12)&gt;0,Categorías!$A$2:$A$12),"No encontrado")</f>
        <v>Funcional</v>
      </c>
      <c r="AO108" s="87" t="str" cm="1">
        <f t="array" ref="AO108">IFERROR(INDEX(Funcionalidades!$A$2:$A$80,MATCH(TRUE, COUNTIF(Reporte_Gral!R108:Z108,Funcionalidades!$A$2:$A$80)&gt;0,0)),"No encontrado")</f>
        <v>Imprimir-Cambios-De-Precio</v>
      </c>
      <c r="AP108" s="87" t="str">
        <f>IF(AND(COUNTIF(Tabla[[#This Row],[Etiquetas]:[Etiquetas17]],"*UAT_V*")&gt;0,COUNTIF(Tabla[[#This Row],[Etiquetas]:[Etiquetas17]],"*QA-Integración*")=0),"SI","")</f>
        <v/>
      </c>
      <c r="AQ108" s="88" t="str" cm="1">
        <f t="array" ref="AQ108">IF(Tabla[[#This Row],[Fue encontrado durante UAT?]]="SI",IFERROR(_xlfn.XLOOKUP(TRUE,ISNUMBER(SEARCH("UAT_V",Tabla[[#This Row],[Etiquetas]:[Etiquetas17]])),Tabla[[#This Row],[Etiquetas]:[Etiquetas17]]),""),"")</f>
        <v/>
      </c>
      <c r="AR108" s="87" t="str">
        <f>IF(COUNTIF(Tabla[[#This Row],[Etiquetas]:[Etiquetas17]],"*Devuelto*")&gt;0,"SI","")</f>
        <v/>
      </c>
      <c r="AS108" s="167">
        <f>COUNTIF(Tabla[[#This Row],[Etiquetas]:[Etiquetas17]],"*Devuelto*")</f>
        <v>0</v>
      </c>
    </row>
    <row r="109" spans="1:45">
      <c r="A109" s="40" t="s">
        <v>128</v>
      </c>
      <c r="B109" s="40" t="s">
        <v>423</v>
      </c>
      <c r="C109" s="40">
        <v>114769</v>
      </c>
      <c r="D109" s="40" t="s">
        <v>424</v>
      </c>
      <c r="E109" s="40" t="s">
        <v>36</v>
      </c>
      <c r="F109" s="40" t="s">
        <v>27</v>
      </c>
      <c r="G109" s="40" t="s">
        <v>224</v>
      </c>
      <c r="H109" s="40" t="s">
        <v>151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 t="s">
        <v>162</v>
      </c>
      <c r="S109" s="40" t="s">
        <v>132</v>
      </c>
      <c r="T109" s="40" t="s">
        <v>356</v>
      </c>
      <c r="U109" s="40" t="s">
        <v>204</v>
      </c>
      <c r="V109" s="40" t="s">
        <v>154</v>
      </c>
      <c r="W109" s="40"/>
      <c r="X109" s="40"/>
      <c r="Y109" s="40"/>
      <c r="Z109" s="40"/>
      <c r="AA109" s="40" t="s">
        <v>217</v>
      </c>
      <c r="AB109" s="53">
        <v>45986.572916666664</v>
      </c>
      <c r="AC109" s="40" t="s">
        <v>174</v>
      </c>
      <c r="AD109" s="40"/>
      <c r="AE109" s="40"/>
      <c r="AF109" s="40"/>
      <c r="AG109" s="40" t="s">
        <v>141</v>
      </c>
      <c r="AH109" s="10"/>
      <c r="AI109" s="87"/>
      <c r="AJ109" s="87" cm="1">
        <f t="array" ref="AJ109">IFERROR(_xlfn.XLOOKUP(TRUE,COUNTIF(Tabla[[#This Row],[Etiquetas]:[Etiquetas17]],Versiones!$G$2:$G$36)&gt;0,Versiones!$B$2:$B$36), "")</f>
        <v>23</v>
      </c>
      <c r="AK109" s="87" t="str" cm="1">
        <f t="array" ref="AK109">IFERROR(_xlfn.XLOOKUP(TRUE,COUNTIF(Tabla[[#This Row],[Etiquetas]:[Etiquetas17]],Versiones!$G$2:$G$36)&gt;0,Versiones!$A$2:$A$36), "")</f>
        <v>V0.13</v>
      </c>
      <c r="AL10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09" s="78">
        <f>IFERROR(_xlfn.XLOOKUP(Tabla[[#This Row],[¿En qué versión fue corregido?]],Versiones!$A$2:$A$34,Versiones!$B$2:$B$34),"No encontrado")</f>
        <v>25</v>
      </c>
      <c r="AN109" s="88" t="str" cm="1">
        <f t="array" ref="AN109">IFERROR(_xlfn.XLOOKUP(TRUE,COUNTIF(Tabla[[#This Row],[Etiquetas]:[Etiquetas17]],Categorías!$A$2:$A$12)&gt;0,Categorías!$A$2:$A$12),"No encontrado")</f>
        <v>Look&amp;Feel</v>
      </c>
      <c r="AO109" s="87" t="str" cm="1">
        <f t="array" ref="AO109">IFERROR(INDEX(Funcionalidades!$A$2:$A$80,MATCH(TRUE, COUNTIF(Reporte_Gral!R109:Z109,Funcionalidades!$A$2:$A$80)&gt;0,0)),"No encontrado")</f>
        <v>Imprimir-Cambios-De-Precio</v>
      </c>
      <c r="AP109" s="87" t="str">
        <f>IF(AND(COUNTIF(Tabla[[#This Row],[Etiquetas]:[Etiquetas17]],"*UAT_V*")&gt;0,COUNTIF(Tabla[[#This Row],[Etiquetas]:[Etiquetas17]],"*QA-Integración*")=0),"SI","")</f>
        <v/>
      </c>
      <c r="AQ109" s="88" t="str" cm="1">
        <f t="array" ref="AQ109">IF(Tabla[[#This Row],[Fue encontrado durante UAT?]]="SI",IFERROR(_xlfn.XLOOKUP(TRUE,ISNUMBER(SEARCH("UAT_V",Tabla[[#This Row],[Etiquetas]:[Etiquetas17]])),Tabla[[#This Row],[Etiquetas]:[Etiquetas17]]),""),"")</f>
        <v/>
      </c>
      <c r="AR109" s="87" t="str">
        <f>IF(COUNTIF(Tabla[[#This Row],[Etiquetas]:[Etiquetas17]],"*Devuelto*")&gt;0,"SI","")</f>
        <v/>
      </c>
      <c r="AS109" s="167">
        <f>COUNTIF(Tabla[[#This Row],[Etiquetas]:[Etiquetas17]],"*Devuelto*")</f>
        <v>0</v>
      </c>
    </row>
    <row r="110" spans="1:45">
      <c r="A110" s="40" t="s">
        <v>128</v>
      </c>
      <c r="B110" s="40" t="s">
        <v>425</v>
      </c>
      <c r="C110" s="40">
        <v>114523</v>
      </c>
      <c r="D110" s="40" t="s">
        <v>426</v>
      </c>
      <c r="E110" s="40" t="s">
        <v>41</v>
      </c>
      <c r="F110" s="40" t="s">
        <v>26</v>
      </c>
      <c r="G110" s="40" t="s">
        <v>307</v>
      </c>
      <c r="H110" s="40" t="s">
        <v>224</v>
      </c>
      <c r="I110" s="40" t="s">
        <v>151</v>
      </c>
      <c r="J110" s="40"/>
      <c r="K110" s="40"/>
      <c r="L110" s="40"/>
      <c r="M110" s="40"/>
      <c r="N110" s="40"/>
      <c r="O110" s="40"/>
      <c r="P110" s="40"/>
      <c r="Q110" s="40"/>
      <c r="R110" s="40" t="s">
        <v>332</v>
      </c>
      <c r="S110" s="40" t="s">
        <v>139</v>
      </c>
      <c r="T110" s="40" t="s">
        <v>356</v>
      </c>
      <c r="U110" s="40" t="s">
        <v>281</v>
      </c>
      <c r="V110" s="40" t="s">
        <v>226</v>
      </c>
      <c r="W110" s="40" t="s">
        <v>154</v>
      </c>
      <c r="X110" s="40"/>
      <c r="Y110" s="40"/>
      <c r="Z110" s="40"/>
      <c r="AA110" s="40" t="s">
        <v>217</v>
      </c>
      <c r="AB110" s="53">
        <v>45985.668055555558</v>
      </c>
      <c r="AC110" s="40" t="s">
        <v>329</v>
      </c>
      <c r="AD110" s="40"/>
      <c r="AE110" s="40"/>
      <c r="AF110" s="40"/>
      <c r="AG110" s="40" t="s">
        <v>135</v>
      </c>
      <c r="AH110" s="10"/>
      <c r="AI110" s="87"/>
      <c r="AJ110" s="87" cm="1">
        <f t="array" ref="AJ110">IFERROR(_xlfn.XLOOKUP(TRUE,COUNTIF(Tabla[[#This Row],[Etiquetas]:[Etiquetas17]],Versiones!$G$2:$G$36)&gt;0,Versiones!$B$2:$B$36), "")</f>
        <v>23</v>
      </c>
      <c r="AK110" s="87" t="str" cm="1">
        <f t="array" ref="AK110">IFERROR(_xlfn.XLOOKUP(TRUE,COUNTIF(Tabla[[#This Row],[Etiquetas]:[Etiquetas17]],Versiones!$G$2:$G$36)&gt;0,Versiones!$A$2:$A$36), "")</f>
        <v>V0.13</v>
      </c>
      <c r="AL11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10" s="78">
        <f>IFERROR(_xlfn.XLOOKUP(Tabla[[#This Row],[¿En qué versión fue corregido?]],Versiones!$A$2:$A$34,Versiones!$B$2:$B$34),"No encontrado")</f>
        <v>24</v>
      </c>
      <c r="AN110" s="88" t="str" cm="1">
        <f t="array" ref="AN110">IFERROR(_xlfn.XLOOKUP(TRUE,COUNTIF(Tabla[[#This Row],[Etiquetas]:[Etiquetas17]],Categorías!$A$2:$A$12)&gt;0,Categorías!$A$2:$A$12),"No encontrado")</f>
        <v>Funcional</v>
      </c>
      <c r="AO110" s="87" t="str" cm="1">
        <f t="array" ref="AO110">IFERROR(INDEX(Funcionalidades!$A$2:$A$80,MATCH(TRUE, COUNTIF(Reporte_Gral!R110:Z110,Funcionalidades!$A$2:$A$80)&gt;0,0)),"No encontrado")</f>
        <v>Cobro-De-Productos-Peso-Variable</v>
      </c>
      <c r="AP110" s="87" t="str">
        <f>IF(AND(COUNTIF(Tabla[[#This Row],[Etiquetas]:[Etiquetas17]],"*UAT_V*")&gt;0,COUNTIF(Tabla[[#This Row],[Etiquetas]:[Etiquetas17]],"*QA-Integración*")=0),"SI","")</f>
        <v/>
      </c>
      <c r="AQ110" s="88" t="str" cm="1">
        <f t="array" ref="AQ110">IF(Tabla[[#This Row],[Fue encontrado durante UAT?]]="SI",IFERROR(_xlfn.XLOOKUP(TRUE,ISNUMBER(SEARCH("UAT_V",Tabla[[#This Row],[Etiquetas]:[Etiquetas17]])),Tabla[[#This Row],[Etiquetas]:[Etiquetas17]]),""),"")</f>
        <v/>
      </c>
      <c r="AR110" s="87" t="str">
        <f>IF(COUNTIF(Tabla[[#This Row],[Etiquetas]:[Etiquetas17]],"*Devuelto*")&gt;0,"SI","")</f>
        <v/>
      </c>
      <c r="AS110" s="167">
        <f>COUNTIF(Tabla[[#This Row],[Etiquetas]:[Etiquetas17]],"*Devuelto*")</f>
        <v>0</v>
      </c>
    </row>
    <row r="111" spans="1:45">
      <c r="A111" s="40" t="s">
        <v>128</v>
      </c>
      <c r="B111" s="40" t="s">
        <v>427</v>
      </c>
      <c r="C111" s="40">
        <v>113747</v>
      </c>
      <c r="D111" s="40" t="s">
        <v>428</v>
      </c>
      <c r="E111" s="40" t="s">
        <v>36</v>
      </c>
      <c r="F111" s="40" t="s">
        <v>26</v>
      </c>
      <c r="G111" s="40" t="s">
        <v>429</v>
      </c>
      <c r="H111" s="40" t="s">
        <v>307</v>
      </c>
      <c r="I111" s="40" t="s">
        <v>224</v>
      </c>
      <c r="J111" s="40" t="s">
        <v>151</v>
      </c>
      <c r="K111" s="40"/>
      <c r="L111" s="40"/>
      <c r="M111" s="40"/>
      <c r="N111" s="40"/>
      <c r="O111" s="40"/>
      <c r="P111" s="40"/>
      <c r="Q111" s="40"/>
      <c r="R111" s="40" t="s">
        <v>139</v>
      </c>
      <c r="S111" s="40" t="s">
        <v>148</v>
      </c>
      <c r="T111" s="40" t="s">
        <v>204</v>
      </c>
      <c r="U111" s="40" t="s">
        <v>154</v>
      </c>
      <c r="V111" s="40" t="s">
        <v>188</v>
      </c>
      <c r="W111" s="40" t="s">
        <v>31</v>
      </c>
      <c r="X111" s="40"/>
      <c r="Y111" s="40"/>
      <c r="Z111" s="40"/>
      <c r="AA111" s="40" t="s">
        <v>217</v>
      </c>
      <c r="AB111" s="53">
        <v>45982.350694444445</v>
      </c>
      <c r="AC111" s="40" t="s">
        <v>329</v>
      </c>
      <c r="AD111" s="40"/>
      <c r="AE111" s="40"/>
      <c r="AF111" s="40"/>
      <c r="AG111" s="40" t="s">
        <v>141</v>
      </c>
      <c r="AH111" s="10" t="s">
        <v>184</v>
      </c>
      <c r="AI111" s="87"/>
      <c r="AJ111" s="87" cm="1">
        <f t="array" ref="AJ111">IFERROR(_xlfn.XLOOKUP(TRUE,COUNTIF(Tabla[[#This Row],[Etiquetas]:[Etiquetas17]],Versiones!$G$2:$G$36)&gt;0,Versiones!$B$2:$B$36), "")</f>
        <v>23</v>
      </c>
      <c r="AK111" s="87" t="str" cm="1">
        <f t="array" ref="AK111">IFERROR(_xlfn.XLOOKUP(TRUE,COUNTIF(Tabla[[#This Row],[Etiquetas]:[Etiquetas17]],Versiones!$G$2:$G$36)&gt;0,Versiones!$A$2:$A$36), "")</f>
        <v>V0.12</v>
      </c>
      <c r="AL11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11" s="78">
        <f>IFERROR(_xlfn.XLOOKUP(Tabla[[#This Row],[¿En qué versión fue corregido?]],Versiones!$A$2:$A$34,Versiones!$B$2:$B$34),"No encontrado")</f>
        <v>24</v>
      </c>
      <c r="AN111" s="88" t="str" cm="1">
        <f t="array" ref="AN111">IFERROR(_xlfn.XLOOKUP(TRUE,COUNTIF(Tabla[[#This Row],[Etiquetas]:[Etiquetas17]],Categorías!$A$2:$A$12)&gt;0,Categorías!$A$2:$A$12),"No encontrado")</f>
        <v>Funcional</v>
      </c>
      <c r="AO111" s="87" t="str" cm="1">
        <f t="array" ref="AO111">IFERROR(INDEX(Funcionalidades!$A$2:$A$80,MATCH(TRUE, COUNTIF(Reporte_Gral!R111:Z111,Funcionalidades!$A$2:$A$80)&gt;0,0)),"No encontrado")</f>
        <v>Recibir-Mercancía-Almacén-Tienda</v>
      </c>
      <c r="AP111" s="87" t="str">
        <f>IF(AND(COUNTIF(Tabla[[#This Row],[Etiquetas]:[Etiquetas17]],"*UAT_V*")&gt;0,COUNTIF(Tabla[[#This Row],[Etiquetas]:[Etiquetas17]],"*QA-Integración*")=0),"SI","")</f>
        <v>SI</v>
      </c>
      <c r="AQ111" s="88" t="str" cm="1">
        <f t="array" ref="AQ111">IF(Tabla[[#This Row],[Fue encontrado durante UAT?]]="SI",IFERROR(_xlfn.XLOOKUP(TRUE,ISNUMBER(SEARCH("UAT_V",Tabla[[#This Row],[Etiquetas]:[Etiquetas17]])),Tabla[[#This Row],[Etiquetas]:[Etiquetas17]]),""),"")</f>
        <v>UAT_V0.12</v>
      </c>
      <c r="AR111" s="87" t="str">
        <f>IF(COUNTIF(Tabla[[#This Row],[Etiquetas]:[Etiquetas17]],"*Devuelto*")&gt;0,"SI","")</f>
        <v/>
      </c>
      <c r="AS111" s="167">
        <f>COUNTIF(Tabla[[#This Row],[Etiquetas]:[Etiquetas17]],"*Devuelto*")</f>
        <v>0</v>
      </c>
    </row>
    <row r="112" spans="1:45">
      <c r="A112" s="40" t="s">
        <v>128</v>
      </c>
      <c r="B112" s="40" t="s">
        <v>430</v>
      </c>
      <c r="C112" s="40">
        <v>113744</v>
      </c>
      <c r="D112" s="40" t="s">
        <v>431</v>
      </c>
      <c r="E112" s="40" t="s">
        <v>37</v>
      </c>
      <c r="F112" s="40" t="s">
        <v>24</v>
      </c>
      <c r="G112" s="40" t="s">
        <v>429</v>
      </c>
      <c r="H112" s="40" t="s">
        <v>224</v>
      </c>
      <c r="I112" s="40" t="s">
        <v>151</v>
      </c>
      <c r="J112" s="40"/>
      <c r="K112" s="40"/>
      <c r="L112" s="40"/>
      <c r="M112" s="40"/>
      <c r="N112" s="40"/>
      <c r="O112" s="40"/>
      <c r="P112" s="40"/>
      <c r="Q112" s="40"/>
      <c r="R112" s="40" t="s">
        <v>139</v>
      </c>
      <c r="S112" s="40" t="s">
        <v>432</v>
      </c>
      <c r="T112" s="40" t="s">
        <v>366</v>
      </c>
      <c r="U112" s="40" t="s">
        <v>188</v>
      </c>
      <c r="V112" s="40" t="s">
        <v>31</v>
      </c>
      <c r="W112" s="40"/>
      <c r="X112" s="40"/>
      <c r="Y112" s="40"/>
      <c r="Z112" s="40"/>
      <c r="AA112" s="40" t="s">
        <v>217</v>
      </c>
      <c r="AB112" s="53">
        <v>45982.344444444447</v>
      </c>
      <c r="AC112" s="40"/>
      <c r="AD112" s="40"/>
      <c r="AE112" s="40"/>
      <c r="AF112" s="40"/>
      <c r="AG112" s="40" t="s">
        <v>141</v>
      </c>
      <c r="AH112" s="10"/>
      <c r="AI112" s="87"/>
      <c r="AJ112" s="87" cm="1">
        <f t="array" ref="AJ112">IFERROR(_xlfn.XLOOKUP(TRUE,COUNTIF(Tabla[[#This Row],[Etiquetas]:[Etiquetas17]],Versiones!$G$2:$G$36)&gt;0,Versiones!$B$2:$B$36), "")</f>
        <v>23</v>
      </c>
      <c r="AK112" s="87" t="str" cm="1">
        <f t="array" ref="AK112">IFERROR(_xlfn.XLOOKUP(TRUE,COUNTIF(Tabla[[#This Row],[Etiquetas]:[Etiquetas17]],Versiones!$G$2:$G$36)&gt;0,Versiones!$A$2:$A$36), "")</f>
        <v>V0.12</v>
      </c>
      <c r="AL11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2" s="78" t="str">
        <f>IFERROR(_xlfn.XLOOKUP(Tabla[[#This Row],[¿En qué versión fue corregido?]],Versiones!$A$2:$A$34,Versiones!$B$2:$B$34),"No encontrado")</f>
        <v>No encontrado</v>
      </c>
      <c r="AN112" s="88" t="str" cm="1">
        <f t="array" ref="AN112">IFERROR(_xlfn.XLOOKUP(TRUE,COUNTIF(Tabla[[#This Row],[Etiquetas]:[Etiquetas17]],Categorías!$A$2:$A$12)&gt;0,Categorías!$A$2:$A$12),"No encontrado")</f>
        <v>Funcional</v>
      </c>
      <c r="AO112" s="87" t="str" cm="1">
        <f t="array" ref="AO112">IFERROR(INDEX(Funcionalidades!$A$2:$A$80,MATCH(TRUE, COUNTIF(Reporte_Gral!R112:Z112,Funcionalidades!$A$2:$A$80)&gt;0,0)),"No encontrado")</f>
        <v>Recibir-Mercancía-Pie-De-Camión</v>
      </c>
      <c r="AP112" s="87" t="str">
        <f>IF(AND(COUNTIF(Tabla[[#This Row],[Etiquetas]:[Etiquetas17]],"*UAT_V*")&gt;0,COUNTIF(Tabla[[#This Row],[Etiquetas]:[Etiquetas17]],"*QA-Integración*")=0),"SI","")</f>
        <v/>
      </c>
      <c r="AQ112" s="88" t="str" cm="1">
        <f t="array" ref="AQ112">IF(Tabla[[#This Row],[Fue encontrado durante UAT?]]="SI",IFERROR(_xlfn.XLOOKUP(TRUE,ISNUMBER(SEARCH("UAT_V",Tabla[[#This Row],[Etiquetas]:[Etiquetas17]])),Tabla[[#This Row],[Etiquetas]:[Etiquetas17]]),""),"")</f>
        <v/>
      </c>
      <c r="AR112" s="87" t="str">
        <f>IF(COUNTIF(Tabla[[#This Row],[Etiquetas]:[Etiquetas17]],"*Devuelto*")&gt;0,"SI","")</f>
        <v/>
      </c>
      <c r="AS112" s="167">
        <f>COUNTIF(Tabla[[#This Row],[Etiquetas]:[Etiquetas17]],"*Devuelto*")</f>
        <v>0</v>
      </c>
    </row>
    <row r="113" spans="1:45">
      <c r="A113" s="40" t="s">
        <v>128</v>
      </c>
      <c r="B113" s="40" t="s">
        <v>433</v>
      </c>
      <c r="C113" s="40">
        <v>113741</v>
      </c>
      <c r="D113" s="40" t="s">
        <v>434</v>
      </c>
      <c r="E113" s="40" t="s">
        <v>36</v>
      </c>
      <c r="F113" s="40" t="s">
        <v>24</v>
      </c>
      <c r="G113" s="40" t="s">
        <v>429</v>
      </c>
      <c r="H113" s="40" t="s">
        <v>307</v>
      </c>
      <c r="I113" s="40" t="s">
        <v>224</v>
      </c>
      <c r="J113" s="40" t="s">
        <v>151</v>
      </c>
      <c r="K113" s="40"/>
      <c r="L113" s="40"/>
      <c r="M113" s="40"/>
      <c r="N113" s="40"/>
      <c r="O113" s="40"/>
      <c r="P113" s="40"/>
      <c r="Q113" s="40"/>
      <c r="R113" s="40" t="s">
        <v>435</v>
      </c>
      <c r="S113" s="40" t="s">
        <v>139</v>
      </c>
      <c r="T113" s="40" t="s">
        <v>432</v>
      </c>
      <c r="U113" s="40"/>
      <c r="V113" s="40"/>
      <c r="W113" s="40"/>
      <c r="X113" s="40"/>
      <c r="Y113" s="40"/>
      <c r="Z113" s="40"/>
      <c r="AA113" s="40" t="s">
        <v>217</v>
      </c>
      <c r="AB113" s="53">
        <v>45982.320833333331</v>
      </c>
      <c r="AC113" s="40"/>
      <c r="AD113" s="40"/>
      <c r="AE113" s="40"/>
      <c r="AF113" s="40"/>
      <c r="AG113" s="40" t="s">
        <v>135</v>
      </c>
      <c r="AH113" s="10"/>
      <c r="AI113" s="87"/>
      <c r="AJ113" s="87" cm="1">
        <f t="array" ref="AJ113">IFERROR(_xlfn.XLOOKUP(TRUE,COUNTIF(Tabla[[#This Row],[Etiquetas]:[Etiquetas17]],Versiones!$G$2:$G$36)&gt;0,Versiones!$B$2:$B$36), "")</f>
        <v>23</v>
      </c>
      <c r="AK113" s="87" t="str" cm="1">
        <f t="array" ref="AK113">IFERROR(_xlfn.XLOOKUP(TRUE,COUNTIF(Tabla[[#This Row],[Etiquetas]:[Etiquetas17]],Versiones!$G$2:$G$36)&gt;0,Versiones!$A$2:$A$36), "")</f>
        <v>V0.12</v>
      </c>
      <c r="AL11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3" s="78" t="str">
        <f>IFERROR(_xlfn.XLOOKUP(Tabla[[#This Row],[¿En qué versión fue corregido?]],Versiones!$A$2:$A$34,Versiones!$B$2:$B$34),"No encontrado")</f>
        <v>No encontrado</v>
      </c>
      <c r="AN113" s="88" t="str" cm="1">
        <f t="array" ref="AN113">IFERROR(_xlfn.XLOOKUP(TRUE,COUNTIF(Tabla[[#This Row],[Etiquetas]:[Etiquetas17]],Categorías!$A$2:$A$12)&gt;0,Categorías!$A$2:$A$12),"No encontrado")</f>
        <v>Funcional</v>
      </c>
      <c r="AO113" s="87" t="str" cm="1">
        <f t="array" ref="AO113">IFERROR(INDEX(Funcionalidades!$A$2:$A$80,MATCH(TRUE, COUNTIF(Reporte_Gral!R113:Z113,Funcionalidades!$A$2:$A$80)&gt;0,0)),"No encontrado")</f>
        <v>Bloqueo-De-Sesión</v>
      </c>
      <c r="AP113" s="87" t="str">
        <f>IF(AND(COUNTIF(Tabla[[#This Row],[Etiquetas]:[Etiquetas17]],"*UAT_V*")&gt;0,COUNTIF(Tabla[[#This Row],[Etiquetas]:[Etiquetas17]],"*QA-Integración*")=0),"SI","")</f>
        <v/>
      </c>
      <c r="AQ113" s="88" t="str" cm="1">
        <f t="array" ref="AQ113">IF(Tabla[[#This Row],[Fue encontrado durante UAT?]]="SI",IFERROR(_xlfn.XLOOKUP(TRUE,ISNUMBER(SEARCH("UAT_V",Tabla[[#This Row],[Etiquetas]:[Etiquetas17]])),Tabla[[#This Row],[Etiquetas]:[Etiquetas17]]),""),"")</f>
        <v/>
      </c>
      <c r="AR113" s="87" t="str">
        <f>IF(COUNTIF(Tabla[[#This Row],[Etiquetas]:[Etiquetas17]],"*Devuelto*")&gt;0,"SI","")</f>
        <v/>
      </c>
      <c r="AS113" s="167">
        <f>COUNTIF(Tabla[[#This Row],[Etiquetas]:[Etiquetas17]],"*Devuelto*")</f>
        <v>0</v>
      </c>
    </row>
    <row r="114" spans="1:45">
      <c r="A114" s="40" t="s">
        <v>128</v>
      </c>
      <c r="B114" s="40" t="s">
        <v>436</v>
      </c>
      <c r="C114" s="40">
        <v>113739</v>
      </c>
      <c r="D114" s="40" t="s">
        <v>437</v>
      </c>
      <c r="E114" s="40" t="s">
        <v>36</v>
      </c>
      <c r="F114" s="40" t="s">
        <v>24</v>
      </c>
      <c r="G114" s="40" t="s">
        <v>429</v>
      </c>
      <c r="H114" s="40" t="s">
        <v>224</v>
      </c>
      <c r="I114" s="40" t="s">
        <v>151</v>
      </c>
      <c r="J114" s="40"/>
      <c r="K114" s="40"/>
      <c r="L114" s="40"/>
      <c r="M114" s="40"/>
      <c r="N114" s="40"/>
      <c r="O114" s="40"/>
      <c r="P114" s="40"/>
      <c r="Q114" s="40"/>
      <c r="R114" s="40" t="s">
        <v>139</v>
      </c>
      <c r="S114" s="40" t="s">
        <v>432</v>
      </c>
      <c r="T114" s="40" t="s">
        <v>366</v>
      </c>
      <c r="U114" s="40" t="s">
        <v>188</v>
      </c>
      <c r="V114" s="40" t="s">
        <v>31</v>
      </c>
      <c r="W114" s="40"/>
      <c r="X114" s="40"/>
      <c r="Y114" s="40"/>
      <c r="Z114" s="40"/>
      <c r="AA114" s="40" t="s">
        <v>217</v>
      </c>
      <c r="AB114" s="53">
        <v>45982.290972222225</v>
      </c>
      <c r="AC114" s="40"/>
      <c r="AD114" s="40"/>
      <c r="AE114" s="40"/>
      <c r="AF114" s="40"/>
      <c r="AG114" s="40" t="s">
        <v>141</v>
      </c>
      <c r="AH114" s="10"/>
      <c r="AI114" s="87"/>
      <c r="AJ114" s="87" cm="1">
        <f t="array" ref="AJ114">IFERROR(_xlfn.XLOOKUP(TRUE,COUNTIF(Tabla[[#This Row],[Etiquetas]:[Etiquetas17]],Versiones!$G$2:$G$36)&gt;0,Versiones!$B$2:$B$36), "")</f>
        <v>23</v>
      </c>
      <c r="AK114" s="87" t="str" cm="1">
        <f t="array" ref="AK114">IFERROR(_xlfn.XLOOKUP(TRUE,COUNTIF(Tabla[[#This Row],[Etiquetas]:[Etiquetas17]],Versiones!$G$2:$G$36)&gt;0,Versiones!$A$2:$A$36), "")</f>
        <v>V0.12</v>
      </c>
      <c r="AL11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4" s="78" t="str">
        <f>IFERROR(_xlfn.XLOOKUP(Tabla[[#This Row],[¿En qué versión fue corregido?]],Versiones!$A$2:$A$34,Versiones!$B$2:$B$34),"No encontrado")</f>
        <v>No encontrado</v>
      </c>
      <c r="AN114" s="88" t="str" cm="1">
        <f t="array" ref="AN114">IFERROR(_xlfn.XLOOKUP(TRUE,COUNTIF(Tabla[[#This Row],[Etiquetas]:[Etiquetas17]],Categorías!$A$2:$A$12)&gt;0,Categorías!$A$2:$A$12),"No encontrado")</f>
        <v>Funcional</v>
      </c>
      <c r="AO114" s="87" t="str" cm="1">
        <f t="array" ref="AO114">IFERROR(INDEX(Funcionalidades!$A$2:$A$80,MATCH(TRUE, COUNTIF(Reporte_Gral!R114:Z114,Funcionalidades!$A$2:$A$80)&gt;0,0)),"No encontrado")</f>
        <v>Recibir-Mercancía-Pie-De-Camión</v>
      </c>
      <c r="AP114" s="87" t="str">
        <f>IF(AND(COUNTIF(Tabla[[#This Row],[Etiquetas]:[Etiquetas17]],"*UAT_V*")&gt;0,COUNTIF(Tabla[[#This Row],[Etiquetas]:[Etiquetas17]],"*QA-Integración*")=0),"SI","")</f>
        <v/>
      </c>
      <c r="AQ114" s="88" t="str" cm="1">
        <f t="array" ref="AQ114">IF(Tabla[[#This Row],[Fue encontrado durante UAT?]]="SI",IFERROR(_xlfn.XLOOKUP(TRUE,ISNUMBER(SEARCH("UAT_V",Tabla[[#This Row],[Etiquetas]:[Etiquetas17]])),Tabla[[#This Row],[Etiquetas]:[Etiquetas17]]),""),"")</f>
        <v/>
      </c>
      <c r="AR114" s="87" t="str">
        <f>IF(COUNTIF(Tabla[[#This Row],[Etiquetas]:[Etiquetas17]],"*Devuelto*")&gt;0,"SI","")</f>
        <v/>
      </c>
      <c r="AS114" s="167">
        <f>COUNTIF(Tabla[[#This Row],[Etiquetas]:[Etiquetas17]],"*Devuelto*")</f>
        <v>0</v>
      </c>
    </row>
    <row r="115" spans="1:45">
      <c r="A115" s="40" t="s">
        <v>128</v>
      </c>
      <c r="B115" s="40" t="s">
        <v>438</v>
      </c>
      <c r="C115" s="40">
        <v>113737</v>
      </c>
      <c r="D115" s="40" t="s">
        <v>439</v>
      </c>
      <c r="E115" s="40" t="s">
        <v>37</v>
      </c>
      <c r="F115" s="40" t="s">
        <v>24</v>
      </c>
      <c r="G115" s="40" t="s">
        <v>429</v>
      </c>
      <c r="H115" s="40" t="s">
        <v>307</v>
      </c>
      <c r="I115" s="40" t="s">
        <v>224</v>
      </c>
      <c r="J115" s="40" t="s">
        <v>151</v>
      </c>
      <c r="K115" s="40"/>
      <c r="L115" s="40"/>
      <c r="M115" s="40"/>
      <c r="N115" s="40"/>
      <c r="O115" s="40"/>
      <c r="P115" s="40"/>
      <c r="Q115" s="40"/>
      <c r="R115" s="40" t="s">
        <v>139</v>
      </c>
      <c r="S115" s="40" t="s">
        <v>197</v>
      </c>
      <c r="T115" s="40" t="s">
        <v>432</v>
      </c>
      <c r="U115" s="40" t="s">
        <v>188</v>
      </c>
      <c r="V115" s="40"/>
      <c r="W115" s="40"/>
      <c r="X115" s="40"/>
      <c r="Y115" s="40"/>
      <c r="Z115" s="40"/>
      <c r="AA115" s="40" t="s">
        <v>217</v>
      </c>
      <c r="AB115" s="53">
        <v>45982.281944444447</v>
      </c>
      <c r="AC115" s="40"/>
      <c r="AD115" s="40"/>
      <c r="AE115" s="40"/>
      <c r="AF115" s="40"/>
      <c r="AG115" s="40" t="s">
        <v>141</v>
      </c>
      <c r="AH115" s="10"/>
      <c r="AI115" s="87"/>
      <c r="AJ115" s="87" cm="1">
        <f t="array" ref="AJ115">IFERROR(_xlfn.XLOOKUP(TRUE,COUNTIF(Tabla[[#This Row],[Etiquetas]:[Etiquetas17]],Versiones!$G$2:$G$36)&gt;0,Versiones!$B$2:$B$36), "")</f>
        <v>23</v>
      </c>
      <c r="AK115" s="87" t="str" cm="1">
        <f t="array" ref="AK115">IFERROR(_xlfn.XLOOKUP(TRUE,COUNTIF(Tabla[[#This Row],[Etiquetas]:[Etiquetas17]],Versiones!$G$2:$G$36)&gt;0,Versiones!$A$2:$A$36), "")</f>
        <v>V0.12</v>
      </c>
      <c r="AL11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5" s="78" t="str">
        <f>IFERROR(_xlfn.XLOOKUP(Tabla[[#This Row],[¿En qué versión fue corregido?]],Versiones!$A$2:$A$34,Versiones!$B$2:$B$34),"No encontrado")</f>
        <v>No encontrado</v>
      </c>
      <c r="AN115" s="88" t="str" cm="1">
        <f t="array" ref="AN115">IFERROR(_xlfn.XLOOKUP(TRUE,COUNTIF(Tabla[[#This Row],[Etiquetas]:[Etiquetas17]],Categorías!$A$2:$A$12)&gt;0,Categorías!$A$2:$A$12),"No encontrado")</f>
        <v>Funcional</v>
      </c>
      <c r="AO115" s="87" t="str" cm="1">
        <f t="array" ref="AO115">IFERROR(INDEX(Funcionalidades!$A$2:$A$80,MATCH(TRUE, COUNTIF(Reporte_Gral!R115:Z115,Funcionalidades!$A$2:$A$80)&gt;0,0)),"No encontrado")</f>
        <v>Pago-CODI</v>
      </c>
      <c r="AP115" s="87" t="str">
        <f>IF(AND(COUNTIF(Tabla[[#This Row],[Etiquetas]:[Etiquetas17]],"*UAT_V*")&gt;0,COUNTIF(Tabla[[#This Row],[Etiquetas]:[Etiquetas17]],"*QA-Integración*")=0),"SI","")</f>
        <v/>
      </c>
      <c r="AQ115" s="88" t="str" cm="1">
        <f t="array" ref="AQ115">IF(Tabla[[#This Row],[Fue encontrado durante UAT?]]="SI",IFERROR(_xlfn.XLOOKUP(TRUE,ISNUMBER(SEARCH("UAT_V",Tabla[[#This Row],[Etiquetas]:[Etiquetas17]])),Tabla[[#This Row],[Etiquetas]:[Etiquetas17]]),""),"")</f>
        <v/>
      </c>
      <c r="AR115" s="87" t="str">
        <f>IF(COUNTIF(Tabla[[#This Row],[Etiquetas]:[Etiquetas17]],"*Devuelto*")&gt;0,"SI","")</f>
        <v/>
      </c>
      <c r="AS115" s="167">
        <f>COUNTIF(Tabla[[#This Row],[Etiquetas]:[Etiquetas17]],"*Devuelto*")</f>
        <v>0</v>
      </c>
    </row>
    <row r="116" spans="1:45">
      <c r="A116" s="40" t="s">
        <v>128</v>
      </c>
      <c r="B116" s="40" t="s">
        <v>440</v>
      </c>
      <c r="C116" s="40">
        <v>112691</v>
      </c>
      <c r="D116" s="40" t="s">
        <v>441</v>
      </c>
      <c r="E116" s="40" t="s">
        <v>36</v>
      </c>
      <c r="F116" s="40" t="s">
        <v>27</v>
      </c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 t="s">
        <v>139</v>
      </c>
      <c r="S116" s="40" t="s">
        <v>442</v>
      </c>
      <c r="T116" s="40" t="s">
        <v>432</v>
      </c>
      <c r="U116" s="40" t="s">
        <v>194</v>
      </c>
      <c r="V116" s="40" t="s">
        <v>188</v>
      </c>
      <c r="W116" s="40" t="s">
        <v>31</v>
      </c>
      <c r="X116" s="40"/>
      <c r="Y116" s="40"/>
      <c r="Z116" s="40"/>
      <c r="AA116" s="40" t="s">
        <v>217</v>
      </c>
      <c r="AB116" s="53">
        <v>45981.679861111108</v>
      </c>
      <c r="AC116" s="40"/>
      <c r="AD116" s="40"/>
      <c r="AE116" s="40"/>
      <c r="AF116" s="40"/>
      <c r="AG116" s="40" t="s">
        <v>141</v>
      </c>
      <c r="AH116" s="10"/>
      <c r="AI116" s="87"/>
      <c r="AJ116" s="87" cm="1">
        <f t="array" ref="AJ116">IFERROR(_xlfn.XLOOKUP(TRUE,COUNTIF(Tabla[[#This Row],[Etiquetas]:[Etiquetas17]],Versiones!$G$2:$G$36)&gt;0,Versiones!$B$2:$B$36), "")</f>
        <v>23</v>
      </c>
      <c r="AK116" s="87" t="str" cm="1">
        <f t="array" ref="AK116">IFERROR(_xlfn.XLOOKUP(TRUE,COUNTIF(Tabla[[#This Row],[Etiquetas]:[Etiquetas17]],Versiones!$G$2:$G$36)&gt;0,Versiones!$A$2:$A$36), "")</f>
        <v>V0.12</v>
      </c>
      <c r="AL11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6" s="78" t="str">
        <f>IFERROR(_xlfn.XLOOKUP(Tabla[[#This Row],[¿En qué versión fue corregido?]],Versiones!$A$2:$A$34,Versiones!$B$2:$B$34),"No encontrado")</f>
        <v>No encontrado</v>
      </c>
      <c r="AN116" s="88" t="str" cm="1">
        <f t="array" ref="AN116">IFERROR(_xlfn.XLOOKUP(TRUE,COUNTIF(Tabla[[#This Row],[Etiquetas]:[Etiquetas17]],Categorías!$A$2:$A$12)&gt;0,Categorías!$A$2:$A$12),"No encontrado")</f>
        <v>Funcional</v>
      </c>
      <c r="AO116" s="87" t="str" cm="1">
        <f t="array" ref="AO116">IFERROR(INDEX(Funcionalidades!$A$2:$A$80,MATCH(TRUE, COUNTIF(Reporte_Gral!R116:Z116,Funcionalidades!$A$2:$A$80)&gt;0,0)),"No encontrado")</f>
        <v>Login</v>
      </c>
      <c r="AP116" s="87" t="str">
        <f>IF(AND(COUNTIF(Tabla[[#This Row],[Etiquetas]:[Etiquetas17]],"*UAT_V*")&gt;0,COUNTIF(Tabla[[#This Row],[Etiquetas]:[Etiquetas17]],"*QA-Integración*")=0),"SI","")</f>
        <v/>
      </c>
      <c r="AQ116" s="88" t="str" cm="1">
        <f t="array" ref="AQ116">IF(Tabla[[#This Row],[Fue encontrado durante UAT?]]="SI",IFERROR(_xlfn.XLOOKUP(TRUE,ISNUMBER(SEARCH("UAT_V",Tabla[[#This Row],[Etiquetas]:[Etiquetas17]])),Tabla[[#This Row],[Etiquetas]:[Etiquetas17]]),""),"")</f>
        <v/>
      </c>
      <c r="AR116" s="87" t="str">
        <f>IF(COUNTIF(Tabla[[#This Row],[Etiquetas]:[Etiquetas17]],"*Devuelto*")&gt;0,"SI","")</f>
        <v/>
      </c>
      <c r="AS116" s="167">
        <f>COUNTIF(Tabla[[#This Row],[Etiquetas]:[Etiquetas17]],"*Devuelto*")</f>
        <v>0</v>
      </c>
    </row>
    <row r="117" spans="1:45">
      <c r="A117" s="40" t="s">
        <v>128</v>
      </c>
      <c r="B117" s="40" t="s">
        <v>443</v>
      </c>
      <c r="C117" s="40">
        <v>112662</v>
      </c>
      <c r="D117" s="40" t="s">
        <v>444</v>
      </c>
      <c r="E117" s="40" t="s">
        <v>40</v>
      </c>
      <c r="F117" s="40" t="s">
        <v>27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 t="s">
        <v>445</v>
      </c>
      <c r="S117" s="40" t="s">
        <v>132</v>
      </c>
      <c r="T117" s="40" t="s">
        <v>432</v>
      </c>
      <c r="U117" s="40"/>
      <c r="V117" s="40"/>
      <c r="W117" s="40"/>
      <c r="X117" s="40"/>
      <c r="Y117" s="40"/>
      <c r="Z117" s="40"/>
      <c r="AA117" s="40" t="s">
        <v>134</v>
      </c>
      <c r="AB117" s="53">
        <v>45981.618055555555</v>
      </c>
      <c r="AC117" s="40"/>
      <c r="AD117" s="40"/>
      <c r="AE117" s="40"/>
      <c r="AF117" s="40"/>
      <c r="AG117" s="40" t="s">
        <v>135</v>
      </c>
      <c r="AH117" s="10"/>
      <c r="AI117" s="87"/>
      <c r="AJ117" s="87" cm="1">
        <f t="array" ref="AJ117">IFERROR(_xlfn.XLOOKUP(TRUE,COUNTIF(Tabla[[#This Row],[Etiquetas]:[Etiquetas17]],Versiones!$G$2:$G$36)&gt;0,Versiones!$B$2:$B$36), "")</f>
        <v>23</v>
      </c>
      <c r="AK117" s="87" t="str" cm="1">
        <f t="array" ref="AK117">IFERROR(_xlfn.XLOOKUP(TRUE,COUNTIF(Tabla[[#This Row],[Etiquetas]:[Etiquetas17]],Versiones!$G$2:$G$36)&gt;0,Versiones!$A$2:$A$36), "")</f>
        <v>V0.12</v>
      </c>
      <c r="AL11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7" s="78" t="str">
        <f>IFERROR(_xlfn.XLOOKUP(Tabla[[#This Row],[¿En qué versión fue corregido?]],Versiones!$A$2:$A$34,Versiones!$B$2:$B$34),"No encontrado")</f>
        <v>No encontrado</v>
      </c>
      <c r="AN117" s="88" t="str" cm="1">
        <f t="array" ref="AN117">IFERROR(_xlfn.XLOOKUP(TRUE,COUNTIF(Tabla[[#This Row],[Etiquetas]:[Etiquetas17]],Categorías!$A$2:$A$12)&gt;0,Categorías!$A$2:$A$12),"No encontrado")</f>
        <v>Look&amp;Feel</v>
      </c>
      <c r="AO117" s="87" t="str" cm="1">
        <f t="array" ref="AO117">IFERROR(INDEX(Funcionalidades!$A$2:$A$80,MATCH(TRUE, COUNTIF(Reporte_Gral!R117:Z117,Funcionalidades!$A$2:$A$80)&gt;0,0)),"No encontrado")</f>
        <v>Catálogo-De-Productos-Sin-Código</v>
      </c>
      <c r="AP117" s="87" t="str">
        <f>IF(AND(COUNTIF(Tabla[[#This Row],[Etiquetas]:[Etiquetas17]],"*UAT_V*")&gt;0,COUNTIF(Tabla[[#This Row],[Etiquetas]:[Etiquetas17]],"*QA-Integración*")=0),"SI","")</f>
        <v/>
      </c>
      <c r="AQ117" s="88" t="str" cm="1">
        <f t="array" ref="AQ117">IF(Tabla[[#This Row],[Fue encontrado durante UAT?]]="SI",IFERROR(_xlfn.XLOOKUP(TRUE,ISNUMBER(SEARCH("UAT_V",Tabla[[#This Row],[Etiquetas]:[Etiquetas17]])),Tabla[[#This Row],[Etiquetas]:[Etiquetas17]]),""),"")</f>
        <v/>
      </c>
      <c r="AR117" s="87" t="str">
        <f>IF(COUNTIF(Tabla[[#This Row],[Etiquetas]:[Etiquetas17]],"*Devuelto*")&gt;0,"SI","")</f>
        <v/>
      </c>
      <c r="AS117" s="167">
        <f>COUNTIF(Tabla[[#This Row],[Etiquetas]:[Etiquetas17]],"*Devuelto*")</f>
        <v>0</v>
      </c>
    </row>
    <row r="118" spans="1:45">
      <c r="A118" s="40" t="s">
        <v>128</v>
      </c>
      <c r="B118" s="40" t="s">
        <v>446</v>
      </c>
      <c r="C118" s="40">
        <v>112652</v>
      </c>
      <c r="D118" s="40" t="s">
        <v>447</v>
      </c>
      <c r="E118" s="40" t="s">
        <v>40</v>
      </c>
      <c r="F118" s="40" t="s">
        <v>27</v>
      </c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 t="s">
        <v>132</v>
      </c>
      <c r="S118" s="40" t="s">
        <v>237</v>
      </c>
      <c r="T118" s="40" t="s">
        <v>432</v>
      </c>
      <c r="U118" s="40" t="s">
        <v>188</v>
      </c>
      <c r="V118" s="40" t="s">
        <v>31</v>
      </c>
      <c r="W118" s="40"/>
      <c r="X118" s="40"/>
      <c r="Y118" s="40"/>
      <c r="Z118" s="40"/>
      <c r="AA118" s="40" t="s">
        <v>217</v>
      </c>
      <c r="AB118" s="53">
        <v>45981.579861111109</v>
      </c>
      <c r="AC118" s="40" t="s">
        <v>448</v>
      </c>
      <c r="AD118" s="40"/>
      <c r="AE118" s="40"/>
      <c r="AF118" s="40"/>
      <c r="AG118" s="40" t="s">
        <v>141</v>
      </c>
      <c r="AH118" s="10"/>
      <c r="AI118" s="87"/>
      <c r="AJ118" s="87" cm="1">
        <f t="array" ref="AJ118">IFERROR(_xlfn.XLOOKUP(TRUE,COUNTIF(Tabla[[#This Row],[Etiquetas]:[Etiquetas17]],Versiones!$G$2:$G$36)&gt;0,Versiones!$B$2:$B$36), "")</f>
        <v>23</v>
      </c>
      <c r="AK118" s="87" t="str" cm="1">
        <f t="array" ref="AK118">IFERROR(_xlfn.XLOOKUP(TRUE,COUNTIF(Tabla[[#This Row],[Etiquetas]:[Etiquetas17]],Versiones!$G$2:$G$36)&gt;0,Versiones!$A$2:$A$36), "")</f>
        <v>V0.12</v>
      </c>
      <c r="AL11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V0.12</v>
      </c>
      <c r="AM118" s="78">
        <f>IFERROR(_xlfn.XLOOKUP(Tabla[[#This Row],[¿En qué versión fue corregido?]],Versiones!$A$2:$A$34,Versiones!$B$2:$B$34),"No encontrado")</f>
        <v>23</v>
      </c>
      <c r="AN118" s="88" t="str" cm="1">
        <f t="array" ref="AN118">IFERROR(_xlfn.XLOOKUP(TRUE,COUNTIF(Tabla[[#This Row],[Etiquetas]:[Etiquetas17]],Categorías!$A$2:$A$12)&gt;0,Categorías!$A$2:$A$12),"No encontrado")</f>
        <v>Look&amp;Feel</v>
      </c>
      <c r="AO118" s="87" t="str" cm="1">
        <f t="array" ref="AO118">IFERROR(INDEX(Funcionalidades!$A$2:$A$80,MATCH(TRUE, COUNTIF(Reporte_Gral!R118:Z118,Funcionalidades!$A$2:$A$80)&gt;0,0)),"No encontrado")</f>
        <v>Main-Dashboard</v>
      </c>
      <c r="AP118" s="87" t="str">
        <f>IF(AND(COUNTIF(Tabla[[#This Row],[Etiquetas]:[Etiquetas17]],"*UAT_V*")&gt;0,COUNTIF(Tabla[[#This Row],[Etiquetas]:[Etiquetas17]],"*QA-Integración*")=0),"SI","")</f>
        <v/>
      </c>
      <c r="AQ118" s="88" t="str" cm="1">
        <f t="array" ref="AQ118">IF(Tabla[[#This Row],[Fue encontrado durante UAT?]]="SI",IFERROR(_xlfn.XLOOKUP(TRUE,ISNUMBER(SEARCH("UAT_V",Tabla[[#This Row],[Etiquetas]:[Etiquetas17]])),Tabla[[#This Row],[Etiquetas]:[Etiquetas17]]),""),"")</f>
        <v/>
      </c>
      <c r="AR118" s="87" t="str">
        <f>IF(COUNTIF(Tabla[[#This Row],[Etiquetas]:[Etiquetas17]],"*Devuelto*")&gt;0,"SI","")</f>
        <v/>
      </c>
      <c r="AS118" s="167">
        <f>COUNTIF(Tabla[[#This Row],[Etiquetas]:[Etiquetas17]],"*Devuelto*")</f>
        <v>0</v>
      </c>
    </row>
    <row r="119" spans="1:45">
      <c r="A119" s="40" t="s">
        <v>128</v>
      </c>
      <c r="B119" s="40" t="s">
        <v>449</v>
      </c>
      <c r="C119" s="40">
        <v>112635</v>
      </c>
      <c r="D119" s="40" t="s">
        <v>450</v>
      </c>
      <c r="E119" s="40" t="s">
        <v>37</v>
      </c>
      <c r="F119" s="40" t="s">
        <v>27</v>
      </c>
      <c r="G119" s="40" t="s">
        <v>429</v>
      </c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 t="s">
        <v>139</v>
      </c>
      <c r="S119" s="40" t="s">
        <v>187</v>
      </c>
      <c r="T119" s="40" t="s">
        <v>432</v>
      </c>
      <c r="U119" s="40" t="s">
        <v>188</v>
      </c>
      <c r="V119" s="40" t="s">
        <v>31</v>
      </c>
      <c r="W119" s="40"/>
      <c r="X119" s="40"/>
      <c r="Y119" s="40"/>
      <c r="Z119" s="40"/>
      <c r="AA119" s="40" t="s">
        <v>217</v>
      </c>
      <c r="AB119" s="53">
        <v>45981.552777777775</v>
      </c>
      <c r="AC119" s="40"/>
      <c r="AD119" s="40"/>
      <c r="AE119" s="40"/>
      <c r="AF119" s="40"/>
      <c r="AG119" s="40" t="s">
        <v>135</v>
      </c>
      <c r="AH119" s="10"/>
      <c r="AI119" s="87"/>
      <c r="AJ119" s="87" cm="1">
        <f t="array" ref="AJ119">IFERROR(_xlfn.XLOOKUP(TRUE,COUNTIF(Tabla[[#This Row],[Etiquetas]:[Etiquetas17]],Versiones!$G$2:$G$36)&gt;0,Versiones!$B$2:$B$36), "")</f>
        <v>23</v>
      </c>
      <c r="AK119" s="87" t="str" cm="1">
        <f t="array" ref="AK119">IFERROR(_xlfn.XLOOKUP(TRUE,COUNTIF(Tabla[[#This Row],[Etiquetas]:[Etiquetas17]],Versiones!$G$2:$G$36)&gt;0,Versiones!$A$2:$A$36), "")</f>
        <v>V0.12</v>
      </c>
      <c r="AL11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19" s="78" t="str">
        <f>IFERROR(_xlfn.XLOOKUP(Tabla[[#This Row],[¿En qué versión fue corregido?]],Versiones!$A$2:$A$34,Versiones!$B$2:$B$34),"No encontrado")</f>
        <v>No encontrado</v>
      </c>
      <c r="AN119" s="88" t="str" cm="1">
        <f t="array" ref="AN119">IFERROR(_xlfn.XLOOKUP(TRUE,COUNTIF(Tabla[[#This Row],[Etiquetas]:[Etiquetas17]],Categorías!$A$2:$A$12)&gt;0,Categorías!$A$2:$A$12),"No encontrado")</f>
        <v>Funcional</v>
      </c>
      <c r="AO119" s="87" t="str" cm="1">
        <f t="array" ref="AO119">IFERROR(INDEX(Funcionalidades!$A$2:$A$80,MATCH(TRUE, COUNTIF(Reporte_Gral!R119:Z119,Funcionalidades!$A$2:$A$80)&gt;0,0)),"No encontrado")</f>
        <v>Multiplicar-Producto</v>
      </c>
      <c r="AP119" s="87" t="str">
        <f>IF(AND(COUNTIF(Tabla[[#This Row],[Etiquetas]:[Etiquetas17]],"*UAT_V*")&gt;0,COUNTIF(Tabla[[#This Row],[Etiquetas]:[Etiquetas17]],"*QA-Integración*")=0),"SI","")</f>
        <v/>
      </c>
      <c r="AQ119" s="88" t="str" cm="1">
        <f t="array" ref="AQ119">IF(Tabla[[#This Row],[Fue encontrado durante UAT?]]="SI",IFERROR(_xlfn.XLOOKUP(TRUE,ISNUMBER(SEARCH("UAT_V",Tabla[[#This Row],[Etiquetas]:[Etiquetas17]])),Tabla[[#This Row],[Etiquetas]:[Etiquetas17]]),""),"")</f>
        <v/>
      </c>
      <c r="AR119" s="87" t="str">
        <f>IF(COUNTIF(Tabla[[#This Row],[Etiquetas]:[Etiquetas17]],"*Devuelto*")&gt;0,"SI","")</f>
        <v/>
      </c>
      <c r="AS119" s="167">
        <f>COUNTIF(Tabla[[#This Row],[Etiquetas]:[Etiquetas17]],"*Devuelto*")</f>
        <v>0</v>
      </c>
    </row>
    <row r="120" spans="1:45">
      <c r="A120" s="40" t="s">
        <v>128</v>
      </c>
      <c r="B120" s="40" t="s">
        <v>451</v>
      </c>
      <c r="C120" s="40">
        <v>112628</v>
      </c>
      <c r="D120" s="40" t="s">
        <v>452</v>
      </c>
      <c r="E120" s="40" t="s">
        <v>36</v>
      </c>
      <c r="F120" s="40" t="s">
        <v>26</v>
      </c>
      <c r="G120" s="40" t="s">
        <v>307</v>
      </c>
      <c r="H120" s="40" t="s">
        <v>224</v>
      </c>
      <c r="I120" s="40" t="s">
        <v>151</v>
      </c>
      <c r="J120" s="40"/>
      <c r="K120" s="40"/>
      <c r="L120" s="40"/>
      <c r="M120" s="40"/>
      <c r="N120" s="40"/>
      <c r="O120" s="40"/>
      <c r="P120" s="40"/>
      <c r="Q120" s="40"/>
      <c r="R120" s="40" t="s">
        <v>139</v>
      </c>
      <c r="S120" s="40" t="s">
        <v>345</v>
      </c>
      <c r="T120" s="40" t="s">
        <v>432</v>
      </c>
      <c r="U120" s="40" t="s">
        <v>226</v>
      </c>
      <c r="V120" s="40" t="s">
        <v>154</v>
      </c>
      <c r="W120" s="40" t="s">
        <v>188</v>
      </c>
      <c r="X120" s="40" t="s">
        <v>31</v>
      </c>
      <c r="Y120" s="40"/>
      <c r="Z120" s="40"/>
      <c r="AA120" s="40" t="s">
        <v>217</v>
      </c>
      <c r="AB120" s="53">
        <v>45981.540277777778</v>
      </c>
      <c r="AC120" s="40" t="s">
        <v>329</v>
      </c>
      <c r="AD120" s="40"/>
      <c r="AE120" s="40"/>
      <c r="AF120" s="40"/>
      <c r="AG120" s="40" t="s">
        <v>135</v>
      </c>
      <c r="AH120" s="10"/>
      <c r="AI120" s="87"/>
      <c r="AJ120" s="87" cm="1">
        <f t="array" ref="AJ120">IFERROR(_xlfn.XLOOKUP(TRUE,COUNTIF(Tabla[[#This Row],[Etiquetas]:[Etiquetas17]],Versiones!$G$2:$G$36)&gt;0,Versiones!$B$2:$B$36), "")</f>
        <v>23</v>
      </c>
      <c r="AK120" s="87" t="str" cm="1">
        <f t="array" ref="AK120">IFERROR(_xlfn.XLOOKUP(TRUE,COUNTIF(Tabla[[#This Row],[Etiquetas]:[Etiquetas17]],Versiones!$G$2:$G$36)&gt;0,Versiones!$A$2:$A$36), "")</f>
        <v>V0.12</v>
      </c>
      <c r="AL12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20" s="78">
        <f>IFERROR(_xlfn.XLOOKUP(Tabla[[#This Row],[¿En qué versión fue corregido?]],Versiones!$A$2:$A$34,Versiones!$B$2:$B$34),"No encontrado")</f>
        <v>24</v>
      </c>
      <c r="AN120" s="88" t="str" cm="1">
        <f t="array" ref="AN120">IFERROR(_xlfn.XLOOKUP(TRUE,COUNTIF(Tabla[[#This Row],[Etiquetas]:[Etiquetas17]],Categorías!$A$2:$A$12)&gt;0,Categorías!$A$2:$A$12),"No encontrado")</f>
        <v>Funcional</v>
      </c>
      <c r="AO120" s="87" t="str" cm="1">
        <f t="array" ref="AO120">IFERROR(INDEX(Funcionalidades!$A$2:$A$80,MATCH(TRUE, COUNTIF(Reporte_Gral!R120:Z120,Funcionalidades!$A$2:$A$80)&gt;0,0)),"No encontrado")</f>
        <v>Inicio-De-Turno</v>
      </c>
      <c r="AP120" s="87" t="str">
        <f>IF(AND(COUNTIF(Tabla[[#This Row],[Etiquetas]:[Etiquetas17]],"*UAT_V*")&gt;0,COUNTIF(Tabla[[#This Row],[Etiquetas]:[Etiquetas17]],"*QA-Integración*")=0),"SI","")</f>
        <v/>
      </c>
      <c r="AQ120" s="88" t="str" cm="1">
        <f t="array" ref="AQ120">IF(Tabla[[#This Row],[Fue encontrado durante UAT?]]="SI",IFERROR(_xlfn.XLOOKUP(TRUE,ISNUMBER(SEARCH("UAT_V",Tabla[[#This Row],[Etiquetas]:[Etiquetas17]])),Tabla[[#This Row],[Etiquetas]:[Etiquetas17]]),""),"")</f>
        <v/>
      </c>
      <c r="AR120" s="87" t="str">
        <f>IF(COUNTIF(Tabla[[#This Row],[Etiquetas]:[Etiquetas17]],"*Devuelto*")&gt;0,"SI","")</f>
        <v/>
      </c>
      <c r="AS120" s="167">
        <f>COUNTIF(Tabla[[#This Row],[Etiquetas]:[Etiquetas17]],"*Devuelto*")</f>
        <v>0</v>
      </c>
    </row>
    <row r="121" spans="1:45">
      <c r="A121" s="40" t="s">
        <v>128</v>
      </c>
      <c r="B121" s="40" t="s">
        <v>453</v>
      </c>
      <c r="C121" s="40">
        <v>112622</v>
      </c>
      <c r="D121" s="40" t="s">
        <v>454</v>
      </c>
      <c r="E121" s="40" t="s">
        <v>37</v>
      </c>
      <c r="F121" s="40" t="s">
        <v>24</v>
      </c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 t="s">
        <v>302</v>
      </c>
      <c r="S121" s="40" t="s">
        <v>132</v>
      </c>
      <c r="T121" s="40" t="s">
        <v>432</v>
      </c>
      <c r="U121" s="40" t="s">
        <v>188</v>
      </c>
      <c r="V121" s="40" t="s">
        <v>31</v>
      </c>
      <c r="W121" s="40"/>
      <c r="X121" s="40"/>
      <c r="Y121" s="40"/>
      <c r="Z121" s="40"/>
      <c r="AA121" s="40" t="s">
        <v>134</v>
      </c>
      <c r="AB121" s="53">
        <v>45981.533333333333</v>
      </c>
      <c r="AC121" s="40"/>
      <c r="AD121" s="40"/>
      <c r="AE121" s="40"/>
      <c r="AF121" s="40"/>
      <c r="AG121" s="40" t="s">
        <v>135</v>
      </c>
      <c r="AH121" s="10"/>
      <c r="AI121" s="87"/>
      <c r="AJ121" s="87" cm="1">
        <f t="array" ref="AJ121">IFERROR(_xlfn.XLOOKUP(TRUE,COUNTIF(Tabla[[#This Row],[Etiquetas]:[Etiquetas17]],Versiones!$G$2:$G$36)&gt;0,Versiones!$B$2:$B$36), "")</f>
        <v>23</v>
      </c>
      <c r="AK121" s="87" t="str" cm="1">
        <f t="array" ref="AK121">IFERROR(_xlfn.XLOOKUP(TRUE,COUNTIF(Tabla[[#This Row],[Etiquetas]:[Etiquetas17]],Versiones!$G$2:$G$36)&gt;0,Versiones!$A$2:$A$36), "")</f>
        <v>V0.12</v>
      </c>
      <c r="AL12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21" s="78" t="str">
        <f>IFERROR(_xlfn.XLOOKUP(Tabla[[#This Row],[¿En qué versión fue corregido?]],Versiones!$A$2:$A$34,Versiones!$B$2:$B$34),"No encontrado")</f>
        <v>No encontrado</v>
      </c>
      <c r="AN121" s="88" t="str" cm="1">
        <f t="array" ref="AN121">IFERROR(_xlfn.XLOOKUP(TRUE,COUNTIF(Tabla[[#This Row],[Etiquetas]:[Etiquetas17]],Categorías!$A$2:$A$12)&gt;0,Categorías!$A$2:$A$12),"No encontrado")</f>
        <v>Look&amp;Feel</v>
      </c>
      <c r="AO121" s="87" t="str" cm="1">
        <f t="array" ref="AO121">IFERROR(INDEX(Funcionalidades!$A$2:$A$80,MATCH(TRUE, COUNTIF(Reporte_Gral!R121:Z121,Funcionalidades!$A$2:$A$80)&gt;0,0)),"No encontrado")</f>
        <v>Devoluciones</v>
      </c>
      <c r="AP121" s="87" t="str">
        <f>IF(AND(COUNTIF(Tabla[[#This Row],[Etiquetas]:[Etiquetas17]],"*UAT_V*")&gt;0,COUNTIF(Tabla[[#This Row],[Etiquetas]:[Etiquetas17]],"*QA-Integración*")=0),"SI","")</f>
        <v/>
      </c>
      <c r="AQ121" s="88" t="str" cm="1">
        <f t="array" ref="AQ121">IF(Tabla[[#This Row],[Fue encontrado durante UAT?]]="SI",IFERROR(_xlfn.XLOOKUP(TRUE,ISNUMBER(SEARCH("UAT_V",Tabla[[#This Row],[Etiquetas]:[Etiquetas17]])),Tabla[[#This Row],[Etiquetas]:[Etiquetas17]]),""),"")</f>
        <v/>
      </c>
      <c r="AR121" s="87" t="str">
        <f>IF(COUNTIF(Tabla[[#This Row],[Etiquetas]:[Etiquetas17]],"*Devuelto*")&gt;0,"SI","")</f>
        <v/>
      </c>
      <c r="AS121" s="167">
        <f>COUNTIF(Tabla[[#This Row],[Etiquetas]:[Etiquetas17]],"*Devuelto*")</f>
        <v>0</v>
      </c>
    </row>
    <row r="122" spans="1:45">
      <c r="A122" s="40" t="s">
        <v>128</v>
      </c>
      <c r="B122" s="40" t="s">
        <v>455</v>
      </c>
      <c r="C122" s="40">
        <v>112609</v>
      </c>
      <c r="D122" s="40" t="s">
        <v>456</v>
      </c>
      <c r="E122" s="40" t="s">
        <v>36</v>
      </c>
      <c r="F122" s="40" t="s">
        <v>24</v>
      </c>
      <c r="G122" s="40" t="s">
        <v>429</v>
      </c>
      <c r="H122" s="40" t="s">
        <v>307</v>
      </c>
      <c r="I122" s="40" t="s">
        <v>224</v>
      </c>
      <c r="J122" s="40" t="s">
        <v>151</v>
      </c>
      <c r="K122" s="40"/>
      <c r="L122" s="40"/>
      <c r="M122" s="40"/>
      <c r="N122" s="40"/>
      <c r="O122" s="40"/>
      <c r="P122" s="40"/>
      <c r="Q122" s="40"/>
      <c r="R122" s="40" t="s">
        <v>345</v>
      </c>
      <c r="S122" s="40" t="s">
        <v>132</v>
      </c>
      <c r="T122" s="40" t="s">
        <v>432</v>
      </c>
      <c r="U122" s="40" t="s">
        <v>188</v>
      </c>
      <c r="V122" s="40" t="s">
        <v>31</v>
      </c>
      <c r="W122" s="40"/>
      <c r="X122" s="40"/>
      <c r="Y122" s="40"/>
      <c r="Z122" s="40"/>
      <c r="AA122" s="40" t="s">
        <v>217</v>
      </c>
      <c r="AB122" s="53">
        <v>45981.522222222222</v>
      </c>
      <c r="AC122" s="40"/>
      <c r="AD122" s="40"/>
      <c r="AE122" s="40"/>
      <c r="AF122" s="40"/>
      <c r="AG122" s="40" t="s">
        <v>135</v>
      </c>
      <c r="AH122" s="10"/>
      <c r="AI122" s="87"/>
      <c r="AJ122" s="87" cm="1">
        <f t="array" ref="AJ122">IFERROR(_xlfn.XLOOKUP(TRUE,COUNTIF(Tabla[[#This Row],[Etiquetas]:[Etiquetas17]],Versiones!$G$2:$G$36)&gt;0,Versiones!$B$2:$B$36), "")</f>
        <v>23</v>
      </c>
      <c r="AK122" s="87" t="str" cm="1">
        <f t="array" ref="AK122">IFERROR(_xlfn.XLOOKUP(TRUE,COUNTIF(Tabla[[#This Row],[Etiquetas]:[Etiquetas17]],Versiones!$G$2:$G$36)&gt;0,Versiones!$A$2:$A$36), "")</f>
        <v>V0.12</v>
      </c>
      <c r="AL12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22" s="78" t="str">
        <f>IFERROR(_xlfn.XLOOKUP(Tabla[[#This Row],[¿En qué versión fue corregido?]],Versiones!$A$2:$A$34,Versiones!$B$2:$B$34),"No encontrado")</f>
        <v>No encontrado</v>
      </c>
      <c r="AN122" s="88" t="str" cm="1">
        <f t="array" ref="AN122">IFERROR(_xlfn.XLOOKUP(TRUE,COUNTIF(Tabla[[#This Row],[Etiquetas]:[Etiquetas17]],Categorías!$A$2:$A$12)&gt;0,Categorías!$A$2:$A$12),"No encontrado")</f>
        <v>Look&amp;Feel</v>
      </c>
      <c r="AO122" s="87" t="str" cm="1">
        <f t="array" ref="AO122">IFERROR(INDEX(Funcionalidades!$A$2:$A$80,MATCH(TRUE, COUNTIF(Reporte_Gral!R122:Z122,Funcionalidades!$A$2:$A$80)&gt;0,0)),"No encontrado")</f>
        <v>Inicio-De-Turno</v>
      </c>
      <c r="AP122" s="87" t="str">
        <f>IF(AND(COUNTIF(Tabla[[#This Row],[Etiquetas]:[Etiquetas17]],"*UAT_V*")&gt;0,COUNTIF(Tabla[[#This Row],[Etiquetas]:[Etiquetas17]],"*QA-Integración*")=0),"SI","")</f>
        <v/>
      </c>
      <c r="AQ122" s="88" t="str" cm="1">
        <f t="array" ref="AQ122">IF(Tabla[[#This Row],[Fue encontrado durante UAT?]]="SI",IFERROR(_xlfn.XLOOKUP(TRUE,ISNUMBER(SEARCH("UAT_V",Tabla[[#This Row],[Etiquetas]:[Etiquetas17]])),Tabla[[#This Row],[Etiquetas]:[Etiquetas17]]),""),"")</f>
        <v/>
      </c>
      <c r="AR122" s="87" t="str">
        <f>IF(COUNTIF(Tabla[[#This Row],[Etiquetas]:[Etiquetas17]],"*Devuelto*")&gt;0,"SI","")</f>
        <v/>
      </c>
      <c r="AS122" s="167">
        <f>COUNTIF(Tabla[[#This Row],[Etiquetas]:[Etiquetas17]],"*Devuelto*")</f>
        <v>0</v>
      </c>
    </row>
    <row r="123" spans="1:45">
      <c r="A123" s="40" t="s">
        <v>128</v>
      </c>
      <c r="B123" s="40" t="s">
        <v>457</v>
      </c>
      <c r="C123" s="40">
        <v>112487</v>
      </c>
      <c r="D123" s="40" t="s">
        <v>458</v>
      </c>
      <c r="E123" s="40" t="s">
        <v>41</v>
      </c>
      <c r="F123" s="40" t="s">
        <v>26</v>
      </c>
      <c r="G123" s="40" t="s">
        <v>307</v>
      </c>
      <c r="H123" s="40" t="s">
        <v>224</v>
      </c>
      <c r="I123" s="40" t="s">
        <v>151</v>
      </c>
      <c r="J123" s="40"/>
      <c r="K123" s="40"/>
      <c r="L123" s="40"/>
      <c r="M123" s="40"/>
      <c r="N123" s="40"/>
      <c r="O123" s="40"/>
      <c r="P123" s="40"/>
      <c r="Q123" s="40"/>
      <c r="R123" s="179" t="s">
        <v>459</v>
      </c>
      <c r="S123" s="40" t="s">
        <v>460</v>
      </c>
      <c r="T123" s="40" t="s">
        <v>139</v>
      </c>
      <c r="U123" s="40" t="s">
        <v>135</v>
      </c>
      <c r="V123" s="40" t="s">
        <v>432</v>
      </c>
      <c r="W123" s="40" t="s">
        <v>226</v>
      </c>
      <c r="X123" s="40" t="s">
        <v>154</v>
      </c>
      <c r="Y123" s="40" t="s">
        <v>188</v>
      </c>
      <c r="Z123" s="40" t="s">
        <v>31</v>
      </c>
      <c r="AA123" s="40" t="s">
        <v>134</v>
      </c>
      <c r="AB123" s="53">
        <v>45981.38958333333</v>
      </c>
      <c r="AC123" s="40" t="s">
        <v>329</v>
      </c>
      <c r="AD123" s="40"/>
      <c r="AE123" s="40"/>
      <c r="AF123" s="40"/>
      <c r="AG123" s="40" t="s">
        <v>135</v>
      </c>
      <c r="AH123" s="10"/>
      <c r="AI123" s="87"/>
      <c r="AJ123" s="87" cm="1">
        <f t="array" ref="AJ123">IFERROR(_xlfn.XLOOKUP(TRUE,COUNTIF(Tabla[[#This Row],[Etiquetas]:[Etiquetas17]],Versiones!$G$2:$G$36)&gt;0,Versiones!$B$2:$B$36), "")</f>
        <v>23</v>
      </c>
      <c r="AK123" s="87" t="str" cm="1">
        <f t="array" ref="AK123">IFERROR(_xlfn.XLOOKUP(TRUE,COUNTIF(Tabla[[#This Row],[Etiquetas]:[Etiquetas17]],Versiones!$G$2:$G$36)&gt;0,Versiones!$A$2:$A$36), "")</f>
        <v>V0.12</v>
      </c>
      <c r="AL12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23" s="78">
        <f>IFERROR(_xlfn.XLOOKUP(Tabla[[#This Row],[¿En qué versión fue corregido?]],Versiones!$A$2:$A$34,Versiones!$B$2:$B$34),"No encontrado")</f>
        <v>24</v>
      </c>
      <c r="AN123" s="88" t="str" cm="1">
        <f t="array" ref="AN123">IFERROR(_xlfn.XLOOKUP(TRUE,COUNTIF(Tabla[[#This Row],[Etiquetas]:[Etiquetas17]],Categorías!$A$2:$A$12)&gt;0,Categorías!$A$2:$A$12),"No encontrado")</f>
        <v>Funcional</v>
      </c>
      <c r="AO123" s="87" t="str" cm="1">
        <f t="array" ref="AO123">IFERROR(INDEX(Funcionalidades!$A$2:$A$80,MATCH(TRUE, COUNTIF(Reporte_Gral!R123:Z123,Funcionalidades!$A$2:$A$80)&gt;0,0)),"No encontrado")</f>
        <v>Cancelar-Venta</v>
      </c>
      <c r="AP123" s="87" t="str">
        <f>IF(AND(COUNTIF(Tabla[[#This Row],[Etiquetas]:[Etiquetas17]],"*UAT_V*")&gt;0,COUNTIF(Tabla[[#This Row],[Etiquetas]:[Etiquetas17]],"*QA-Integración*")=0),"SI","")</f>
        <v/>
      </c>
      <c r="AQ123" s="88" t="str" cm="1">
        <f t="array" ref="AQ123">IF(Tabla[[#This Row],[Fue encontrado durante UAT?]]="SI",IFERROR(_xlfn.XLOOKUP(TRUE,ISNUMBER(SEARCH("UAT_V",Tabla[[#This Row],[Etiquetas]:[Etiquetas17]])),Tabla[[#This Row],[Etiquetas]:[Etiquetas17]]),""),"")</f>
        <v/>
      </c>
      <c r="AR123" s="87" t="str">
        <f>IF(COUNTIF(Tabla[[#This Row],[Etiquetas]:[Etiquetas17]],"*Devuelto*")&gt;0,"SI","")</f>
        <v/>
      </c>
      <c r="AS123" s="167">
        <f>COUNTIF(Tabla[[#This Row],[Etiquetas]:[Etiquetas17]],"*Devuelto*")</f>
        <v>0</v>
      </c>
    </row>
    <row r="124" spans="1:45">
      <c r="A124" s="40" t="s">
        <v>128</v>
      </c>
      <c r="B124" s="40" t="s">
        <v>461</v>
      </c>
      <c r="C124" s="40">
        <v>112471</v>
      </c>
      <c r="D124" s="40" t="s">
        <v>462</v>
      </c>
      <c r="E124" s="40" t="s">
        <v>40</v>
      </c>
      <c r="F124" s="40" t="s">
        <v>26</v>
      </c>
      <c r="G124" s="40" t="s">
        <v>307</v>
      </c>
      <c r="H124" s="40" t="s">
        <v>224</v>
      </c>
      <c r="I124" s="40" t="s">
        <v>151</v>
      </c>
      <c r="J124" s="40"/>
      <c r="K124" s="40"/>
      <c r="L124" s="40"/>
      <c r="M124" s="40"/>
      <c r="N124" s="40"/>
      <c r="O124" s="40"/>
      <c r="P124" s="40"/>
      <c r="Q124" s="40"/>
      <c r="R124" s="40" t="s">
        <v>292</v>
      </c>
      <c r="S124" s="40" t="s">
        <v>273</v>
      </c>
      <c r="T124" s="40" t="s">
        <v>139</v>
      </c>
      <c r="U124" s="40" t="s">
        <v>371</v>
      </c>
      <c r="V124" s="40" t="s">
        <v>432</v>
      </c>
      <c r="W124" s="40" t="s">
        <v>226</v>
      </c>
      <c r="X124" s="40" t="s">
        <v>188</v>
      </c>
      <c r="Y124" s="40" t="s">
        <v>31</v>
      </c>
      <c r="Z124" s="40"/>
      <c r="AA124" s="40" t="s">
        <v>134</v>
      </c>
      <c r="AB124" s="53">
        <v>45981.363194444442</v>
      </c>
      <c r="AC124" s="40" t="s">
        <v>174</v>
      </c>
      <c r="AD124" s="40"/>
      <c r="AE124" s="40"/>
      <c r="AF124" s="40"/>
      <c r="AG124" s="40" t="s">
        <v>135</v>
      </c>
      <c r="AH124" s="10"/>
      <c r="AI124" s="87"/>
      <c r="AJ124" s="87" cm="1">
        <f t="array" ref="AJ124">IFERROR(_xlfn.XLOOKUP(TRUE,COUNTIF(Tabla[[#This Row],[Etiquetas]:[Etiquetas17]],Versiones!$G$2:$G$36)&gt;0,Versiones!$B$2:$B$36), "")</f>
        <v>23</v>
      </c>
      <c r="AK124" s="87" t="str" cm="1">
        <f t="array" ref="AK124">IFERROR(_xlfn.XLOOKUP(TRUE,COUNTIF(Tabla[[#This Row],[Etiquetas]:[Etiquetas17]],Versiones!$G$2:$G$36)&gt;0,Versiones!$A$2:$A$36), "")</f>
        <v>V0.12</v>
      </c>
      <c r="AL12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24" s="78">
        <f>IFERROR(_xlfn.XLOOKUP(Tabla[[#This Row],[¿En qué versión fue corregido?]],Versiones!$A$2:$A$34,Versiones!$B$2:$B$34),"No encontrado")</f>
        <v>25</v>
      </c>
      <c r="AN124" s="88" t="str" cm="1">
        <f t="array" ref="AN124">IFERROR(_xlfn.XLOOKUP(TRUE,COUNTIF(Tabla[[#This Row],[Etiquetas]:[Etiquetas17]],Categorías!$A$2:$A$12)&gt;0,Categorías!$A$2:$A$12),"No encontrado")</f>
        <v>Funcional</v>
      </c>
      <c r="AO124" s="87" t="str" cm="1">
        <f t="array" ref="AO124">IFERROR(INDEX(Funcionalidades!$A$2:$A$80,MATCH(TRUE, COUNTIF(Reporte_Gral!R124:Z124,Funcionalidades!$A$2:$A$80)&gt;0,0)),"No encontrado")</f>
        <v>Atajos-Teclado</v>
      </c>
      <c r="AP124" s="87" t="str">
        <f>IF(AND(COUNTIF(Tabla[[#This Row],[Etiquetas]:[Etiquetas17]],"*UAT_V*")&gt;0,COUNTIF(Tabla[[#This Row],[Etiquetas]:[Etiquetas17]],"*QA-Integración*")=0),"SI","")</f>
        <v/>
      </c>
      <c r="AQ124" s="88" t="str" cm="1">
        <f t="array" ref="AQ124">IF(Tabla[[#This Row],[Fue encontrado durante UAT?]]="SI",IFERROR(_xlfn.XLOOKUP(TRUE,ISNUMBER(SEARCH("UAT_V",Tabla[[#This Row],[Etiquetas]:[Etiquetas17]])),Tabla[[#This Row],[Etiquetas]:[Etiquetas17]]),""),"")</f>
        <v/>
      </c>
      <c r="AR124" s="87" t="str">
        <f>IF(COUNTIF(Tabla[[#This Row],[Etiquetas]:[Etiquetas17]],"*Devuelto*")&gt;0,"SI","")</f>
        <v>SI</v>
      </c>
      <c r="AS124" s="167">
        <f>COUNTIF(Tabla[[#This Row],[Etiquetas]:[Etiquetas17]],"*Devuelto*")</f>
        <v>1</v>
      </c>
    </row>
    <row r="125" spans="1:45">
      <c r="A125" s="40" t="s">
        <v>128</v>
      </c>
      <c r="B125" s="40" t="s">
        <v>463</v>
      </c>
      <c r="C125" s="40">
        <v>112460</v>
      </c>
      <c r="D125" s="40" t="s">
        <v>464</v>
      </c>
      <c r="E125" s="40" t="s">
        <v>36</v>
      </c>
      <c r="F125" s="40" t="s">
        <v>23</v>
      </c>
      <c r="G125" s="40" t="s">
        <v>307</v>
      </c>
      <c r="H125" s="40" t="s">
        <v>224</v>
      </c>
      <c r="I125" s="40" t="s">
        <v>151</v>
      </c>
      <c r="J125" s="40"/>
      <c r="K125" s="40"/>
      <c r="L125" s="40"/>
      <c r="M125" s="40"/>
      <c r="N125" s="40"/>
      <c r="O125" s="40"/>
      <c r="P125" s="40"/>
      <c r="Q125" s="40"/>
      <c r="R125" s="40" t="s">
        <v>420</v>
      </c>
      <c r="S125" s="40" t="s">
        <v>139</v>
      </c>
      <c r="T125" s="40" t="s">
        <v>371</v>
      </c>
      <c r="U125" s="40" t="s">
        <v>237</v>
      </c>
      <c r="V125" s="40" t="s">
        <v>432</v>
      </c>
      <c r="W125" s="40" t="s">
        <v>204</v>
      </c>
      <c r="X125" s="40" t="s">
        <v>154</v>
      </c>
      <c r="Y125" s="40" t="s">
        <v>188</v>
      </c>
      <c r="Z125" s="40" t="s">
        <v>31</v>
      </c>
      <c r="AA125" s="40" t="s">
        <v>134</v>
      </c>
      <c r="AB125" s="53">
        <v>45981.296527777777</v>
      </c>
      <c r="AC125" s="40" t="s">
        <v>155</v>
      </c>
      <c r="AD125" s="40"/>
      <c r="AE125" s="40"/>
      <c r="AF125" s="40"/>
      <c r="AG125" s="40" t="s">
        <v>141</v>
      </c>
      <c r="AH125" s="10"/>
      <c r="AI125" s="87"/>
      <c r="AJ125" s="87" cm="1">
        <f t="array" ref="AJ125">IFERROR(_xlfn.XLOOKUP(TRUE,COUNTIF(Tabla[[#This Row],[Etiquetas]:[Etiquetas17]],Versiones!$G$2:$G$36)&gt;0,Versiones!$B$2:$B$36), "")</f>
        <v>23</v>
      </c>
      <c r="AK125" s="87" t="str" cm="1">
        <f t="array" ref="AK125">IFERROR(_xlfn.XLOOKUP(TRUE,COUNTIF(Tabla[[#This Row],[Etiquetas]:[Etiquetas17]],Versiones!$G$2:$G$36)&gt;0,Versiones!$A$2:$A$36), "")</f>
        <v>V0.12</v>
      </c>
      <c r="AL12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25" s="78">
        <f>IFERROR(_xlfn.XLOOKUP(Tabla[[#This Row],[¿En qué versión fue corregido?]],Versiones!$A$2:$A$34,Versiones!$B$2:$B$34),"No encontrado")</f>
        <v>0</v>
      </c>
      <c r="AN125" s="88" t="str" cm="1">
        <f t="array" ref="AN125">IFERROR(_xlfn.XLOOKUP(TRUE,COUNTIF(Tabla[[#This Row],[Etiquetas]:[Etiquetas17]],Categorías!$A$2:$A$12)&gt;0,Categorías!$A$2:$A$12),"No encontrado")</f>
        <v>Funcional</v>
      </c>
      <c r="AO125" s="87" t="str" cm="1">
        <f t="array" ref="AO125">IFERROR(INDEX(Funcionalidades!$A$2:$A$80,MATCH(TRUE, COUNTIF(Reporte_Gral!R125:Z125,Funcionalidades!$A$2:$A$80)&gt;0,0)),"No encontrado")</f>
        <v>Main-Dashboard</v>
      </c>
      <c r="AP125" s="87" t="str">
        <f>IF(AND(COUNTIF(Tabla[[#This Row],[Etiquetas]:[Etiquetas17]],"*UAT_V*")&gt;0,COUNTIF(Tabla[[#This Row],[Etiquetas]:[Etiquetas17]],"*QA-Integración*")=0),"SI","")</f>
        <v/>
      </c>
      <c r="AQ125" s="88" t="str" cm="1">
        <f t="array" ref="AQ125">IF(Tabla[[#This Row],[Fue encontrado durante UAT?]]="SI",IFERROR(_xlfn.XLOOKUP(TRUE,ISNUMBER(SEARCH("UAT_V",Tabla[[#This Row],[Etiquetas]:[Etiquetas17]])),Tabla[[#This Row],[Etiquetas]:[Etiquetas17]]),""),"")</f>
        <v/>
      </c>
      <c r="AR125" s="87" t="str">
        <f>IF(COUNTIF(Tabla[[#This Row],[Etiquetas]:[Etiquetas17]],"*Devuelto*")&gt;0,"SI","")</f>
        <v>SI</v>
      </c>
      <c r="AS125" s="167">
        <f>COUNTIF(Tabla[[#This Row],[Etiquetas]:[Etiquetas17]],"*Devuelto*")</f>
        <v>1</v>
      </c>
    </row>
    <row r="126" spans="1:45" ht="15" customHeight="1">
      <c r="A126" s="40" t="s">
        <v>128</v>
      </c>
      <c r="B126" s="40" t="s">
        <v>465</v>
      </c>
      <c r="C126" s="40">
        <v>111990</v>
      </c>
      <c r="D126" s="40" t="s">
        <v>466</v>
      </c>
      <c r="E126" s="40" t="s">
        <v>41</v>
      </c>
      <c r="F126" s="40" t="s">
        <v>26</v>
      </c>
      <c r="G126" s="40" t="s">
        <v>307</v>
      </c>
      <c r="H126" s="40" t="s">
        <v>224</v>
      </c>
      <c r="I126" s="40" t="s">
        <v>151</v>
      </c>
      <c r="J126" s="40"/>
      <c r="K126" s="40"/>
      <c r="L126" s="40"/>
      <c r="M126" s="40"/>
      <c r="N126" s="40"/>
      <c r="O126" s="40"/>
      <c r="P126" s="40"/>
      <c r="Q126" s="40"/>
      <c r="R126" s="40" t="s">
        <v>467</v>
      </c>
      <c r="S126" s="40" t="s">
        <v>139</v>
      </c>
      <c r="T126" s="40" t="s">
        <v>468</v>
      </c>
      <c r="U126" s="40" t="s">
        <v>226</v>
      </c>
      <c r="V126" s="40" t="s">
        <v>154</v>
      </c>
      <c r="W126" s="40"/>
      <c r="X126" s="40"/>
      <c r="Y126" s="40"/>
      <c r="Z126" s="40"/>
      <c r="AA126" s="40" t="s">
        <v>217</v>
      </c>
      <c r="AB126" s="53">
        <v>45979.672222222223</v>
      </c>
      <c r="AC126" s="40" t="s">
        <v>329</v>
      </c>
      <c r="AD126" s="40"/>
      <c r="AE126" s="40"/>
      <c r="AF126" s="40"/>
      <c r="AG126" s="40" t="s">
        <v>135</v>
      </c>
      <c r="AH126" s="10"/>
      <c r="AI126" s="87"/>
      <c r="AJ126" s="87" cm="1">
        <f t="array" ref="AJ126">IFERROR(_xlfn.XLOOKUP(TRUE,COUNTIF(Tabla[[#This Row],[Etiquetas]:[Etiquetas17]],Versiones!$G$2:$G$36)&gt;0,Versiones!$B$2:$B$36), "")</f>
        <v>22</v>
      </c>
      <c r="AK126" s="87" t="str" cm="1">
        <f t="array" ref="AK126">IFERROR(_xlfn.XLOOKUP(TRUE,COUNTIF(Tabla[[#This Row],[Etiquetas]:[Etiquetas17]],Versiones!$G$2:$G$36)&gt;0,Versiones!$A$2:$A$36), "")</f>
        <v>V0.11</v>
      </c>
      <c r="AL12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26" s="78">
        <f>IFERROR(_xlfn.XLOOKUP(Tabla[[#This Row],[¿En qué versión fue corregido?]],Versiones!$A$2:$A$34,Versiones!$B$2:$B$34),"No encontrado")</f>
        <v>24</v>
      </c>
      <c r="AN126" s="88" t="str" cm="1">
        <f t="array" ref="AN126">IFERROR(_xlfn.XLOOKUP(TRUE,COUNTIF(Tabla[[#This Row],[Etiquetas]:[Etiquetas17]],Categorías!$A$2:$A$12)&gt;0,Categorías!$A$2:$A$12),"No encontrado")</f>
        <v>Funcional</v>
      </c>
      <c r="AO126" s="87" t="str" cm="1">
        <f t="array" ref="AO126">IFERROR(INDEX(Funcionalidades!$A$2:$A$80,MATCH(TRUE, COUNTIF(Reporte_Gral!R126:Z126,Funcionalidades!$A$2:$A$80)&gt;0,0)),"No encontrado")</f>
        <v>Consulta-Transacción-SANTANDER</v>
      </c>
      <c r="AP126" s="87" t="str">
        <f>IF(AND(COUNTIF(Tabla[[#This Row],[Etiquetas]:[Etiquetas17]],"*UAT_V*")&gt;0,COUNTIF(Tabla[[#This Row],[Etiquetas]:[Etiquetas17]],"*QA-Integración*")=0),"SI","")</f>
        <v/>
      </c>
      <c r="AQ126" s="88" t="str" cm="1">
        <f t="array" ref="AQ126">IF(Tabla[[#This Row],[Fue encontrado durante UAT?]]="SI",IFERROR(_xlfn.XLOOKUP(TRUE,ISNUMBER(SEARCH("UAT_V",Tabla[[#This Row],[Etiquetas]:[Etiquetas17]])),Tabla[[#This Row],[Etiquetas]:[Etiquetas17]]),""),"")</f>
        <v/>
      </c>
      <c r="AR126" s="87" t="str">
        <f>IF(COUNTIF(Tabla[[#This Row],[Etiquetas]:[Etiquetas17]],"*Devuelto*")&gt;0,"SI","")</f>
        <v/>
      </c>
      <c r="AS126" s="167">
        <f>COUNTIF(Tabla[[#This Row],[Etiquetas]:[Etiquetas17]],"*Devuelto*")</f>
        <v>0</v>
      </c>
    </row>
    <row r="127" spans="1:45" ht="15" customHeight="1">
      <c r="A127" s="40" t="s">
        <v>128</v>
      </c>
      <c r="B127" s="40" t="s">
        <v>469</v>
      </c>
      <c r="C127" s="40">
        <v>111986</v>
      </c>
      <c r="D127" s="40" t="s">
        <v>470</v>
      </c>
      <c r="E127" s="40" t="s">
        <v>36</v>
      </c>
      <c r="F127" s="40" t="s">
        <v>27</v>
      </c>
      <c r="G127" s="40" t="s">
        <v>224</v>
      </c>
      <c r="H127" s="40" t="s">
        <v>151</v>
      </c>
      <c r="I127" s="40"/>
      <c r="J127" s="40"/>
      <c r="K127" s="40"/>
      <c r="L127" s="40"/>
      <c r="M127" s="40"/>
      <c r="N127" s="40"/>
      <c r="O127" s="40"/>
      <c r="P127" s="40"/>
      <c r="Q127" s="40"/>
      <c r="R127" s="40" t="s">
        <v>139</v>
      </c>
      <c r="S127" s="40" t="s">
        <v>371</v>
      </c>
      <c r="T127" s="40" t="s">
        <v>432</v>
      </c>
      <c r="U127" s="40" t="s">
        <v>152</v>
      </c>
      <c r="V127" s="40" t="s">
        <v>471</v>
      </c>
      <c r="W127" s="40" t="s">
        <v>204</v>
      </c>
      <c r="X127" s="40" t="s">
        <v>154</v>
      </c>
      <c r="Y127" s="40"/>
      <c r="Z127" s="40"/>
      <c r="AA127" s="40" t="s">
        <v>217</v>
      </c>
      <c r="AB127" s="53">
        <v>45979.669444444444</v>
      </c>
      <c r="AC127" s="40"/>
      <c r="AD127" s="40"/>
      <c r="AE127" s="40"/>
      <c r="AF127" s="40"/>
      <c r="AG127" s="40" t="s">
        <v>141</v>
      </c>
      <c r="AH127" s="10"/>
      <c r="AI127" s="87"/>
      <c r="AJ127" s="87" cm="1">
        <f t="array" ref="AJ127">IFERROR(_xlfn.XLOOKUP(TRUE,COUNTIF(Tabla[[#This Row],[Etiquetas]:[Etiquetas17]],Versiones!$G$2:$G$36)&gt;0,Versiones!$B$2:$B$36), "")</f>
        <v>23</v>
      </c>
      <c r="AK127" s="87" t="str" cm="1">
        <f t="array" ref="AK127">IFERROR(_xlfn.XLOOKUP(TRUE,COUNTIF(Tabla[[#This Row],[Etiquetas]:[Etiquetas17]],Versiones!$G$2:$G$36)&gt;0,Versiones!$A$2:$A$36), "")</f>
        <v>V0.12</v>
      </c>
      <c r="AL12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27" s="78" t="str">
        <f>IFERROR(_xlfn.XLOOKUP(Tabla[[#This Row],[¿En qué versión fue corregido?]],Versiones!$A$2:$A$34,Versiones!$B$2:$B$34),"No encontrado")</f>
        <v>No encontrado</v>
      </c>
      <c r="AN127" s="88" t="str" cm="1">
        <f t="array" ref="AN127">IFERROR(_xlfn.XLOOKUP(TRUE,COUNTIF(Tabla[[#This Row],[Etiquetas]:[Etiquetas17]],Categorías!$A$2:$A$12)&gt;0,Categorías!$A$2:$A$12),"No encontrado")</f>
        <v>Funcional</v>
      </c>
      <c r="AO127" s="87" t="str" cm="1">
        <f t="array" ref="AO127">IFERROR(INDEX(Funcionalidades!$A$2:$A$80,MATCH(TRUE, COUNTIF(Reporte_Gral!R127:Z127,Funcionalidades!$A$2:$A$80)&gt;0,0)),"No encontrado")</f>
        <v>Registrar-Merma</v>
      </c>
      <c r="AP127" s="87" t="str">
        <f>IF(AND(COUNTIF(Tabla[[#This Row],[Etiquetas]:[Etiquetas17]],"*UAT_V*")&gt;0,COUNTIF(Tabla[[#This Row],[Etiquetas]:[Etiquetas17]],"*QA-Integración*")=0),"SI","")</f>
        <v/>
      </c>
      <c r="AQ127" s="88" t="str" cm="1">
        <f t="array" ref="AQ127">IF(Tabla[[#This Row],[Fue encontrado durante UAT?]]="SI",IFERROR(_xlfn.XLOOKUP(TRUE,ISNUMBER(SEARCH("UAT_V",Tabla[[#This Row],[Etiquetas]:[Etiquetas17]])),Tabla[[#This Row],[Etiquetas]:[Etiquetas17]]),""),"")</f>
        <v/>
      </c>
      <c r="AR127" s="87" t="str">
        <f>IF(COUNTIF(Tabla[[#This Row],[Etiquetas]:[Etiquetas17]],"*Devuelto*")&gt;0,"SI","")</f>
        <v/>
      </c>
      <c r="AS127" s="167">
        <f>COUNTIF(Tabla[[#This Row],[Etiquetas]:[Etiquetas17]],"*Devuelto*")</f>
        <v>0</v>
      </c>
    </row>
    <row r="128" spans="1:45" ht="15" customHeight="1">
      <c r="A128" s="40" t="s">
        <v>128</v>
      </c>
      <c r="B128" s="40" t="s">
        <v>472</v>
      </c>
      <c r="C128" s="40">
        <v>111799</v>
      </c>
      <c r="D128" s="40" t="s">
        <v>473</v>
      </c>
      <c r="E128" s="40" t="s">
        <v>37</v>
      </c>
      <c r="F128" s="40" t="s">
        <v>27</v>
      </c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 t="s">
        <v>139</v>
      </c>
      <c r="S128" s="40" t="s">
        <v>237</v>
      </c>
      <c r="T128" s="40" t="s">
        <v>188</v>
      </c>
      <c r="U128" s="40" t="s">
        <v>31</v>
      </c>
      <c r="V128" s="40"/>
      <c r="W128" s="40"/>
      <c r="X128" s="40"/>
      <c r="Y128" s="40"/>
      <c r="Z128" s="40"/>
      <c r="AA128" s="40" t="s">
        <v>324</v>
      </c>
      <c r="AB128" s="53">
        <v>45979.277777777781</v>
      </c>
      <c r="AC128" s="40"/>
      <c r="AD128" s="40"/>
      <c r="AE128" s="40"/>
      <c r="AF128" s="40"/>
      <c r="AG128" s="40" t="s">
        <v>135</v>
      </c>
      <c r="AH128" s="10"/>
      <c r="AI128" s="87"/>
      <c r="AJ128" s="87" cm="1">
        <f t="array" ref="AJ128">IFERROR(_xlfn.XLOOKUP(TRUE,COUNTIF(Tabla[[#This Row],[Etiquetas]:[Etiquetas17]],Versiones!$G$2:$G$36)&gt;0,Versiones!$B$2:$B$36), "")</f>
        <v>23</v>
      </c>
      <c r="AK128" s="87" t="str" cm="1">
        <f t="array" ref="AK128">IFERROR(_xlfn.XLOOKUP(TRUE,COUNTIF(Tabla[[#This Row],[Etiquetas]:[Etiquetas17]],Versiones!$G$2:$G$36)&gt;0,Versiones!$A$2:$A$36), "")</f>
        <v>V0.12</v>
      </c>
      <c r="AL12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28" s="78" t="str">
        <f>IFERROR(_xlfn.XLOOKUP(Tabla[[#This Row],[¿En qué versión fue corregido?]],Versiones!$A$2:$A$34,Versiones!$B$2:$B$34),"No encontrado")</f>
        <v>No encontrado</v>
      </c>
      <c r="AN128" s="88" t="str" cm="1">
        <f t="array" ref="AN128">IFERROR(_xlfn.XLOOKUP(TRUE,COUNTIF(Tabla[[#This Row],[Etiquetas]:[Etiquetas17]],Categorías!$A$2:$A$12)&gt;0,Categorías!$A$2:$A$12),"No encontrado")</f>
        <v>Funcional</v>
      </c>
      <c r="AO128" s="88" t="str" cm="1">
        <f t="array" ref="AO128">IFERROR(INDEX(Funcionalidades!$A$2:$A$80,MATCH(TRUE, COUNTIF(Reporte_Gral!R128:Z128,Funcionalidades!$A$2:$A$80)&gt;0,0)),"No encontrado")</f>
        <v>Main-Dashboard</v>
      </c>
      <c r="AP128" s="87" t="str">
        <f>IF(AND(COUNTIF(Tabla[[#This Row],[Etiquetas]:[Etiquetas17]],"*UAT_V*")&gt;0,COUNTIF(Tabla[[#This Row],[Etiquetas]:[Etiquetas17]],"*QA-Integración*")=0),"SI","")</f>
        <v>SI</v>
      </c>
      <c r="AQ128" s="88" t="str" cm="1">
        <f t="array" ref="AQ128">IF(Tabla[[#This Row],[Fue encontrado durante UAT?]]="SI",IFERROR(_xlfn.XLOOKUP(TRUE,ISNUMBER(SEARCH("UAT_V",Tabla[[#This Row],[Etiquetas]:[Etiquetas17]])),Tabla[[#This Row],[Etiquetas]:[Etiquetas17]]),""),"")</f>
        <v>UAT_V0.12</v>
      </c>
      <c r="AR128" s="87" t="str">
        <f>IF(COUNTIF(Tabla[[#This Row],[Etiquetas]:[Etiquetas17]],"*Devuelto*")&gt;0,"SI","")</f>
        <v/>
      </c>
      <c r="AS128" s="167">
        <f>COUNTIF(Tabla[[#This Row],[Etiquetas]:[Etiquetas17]],"*Devuelto*")</f>
        <v>0</v>
      </c>
    </row>
    <row r="129" spans="1:45" ht="15" customHeight="1">
      <c r="A129" s="40" t="s">
        <v>128</v>
      </c>
      <c r="B129" s="40" t="s">
        <v>474</v>
      </c>
      <c r="C129" s="40">
        <v>111798</v>
      </c>
      <c r="D129" s="40" t="s">
        <v>475</v>
      </c>
      <c r="E129" s="40" t="s">
        <v>36</v>
      </c>
      <c r="F129" s="40" t="s">
        <v>27</v>
      </c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 t="s">
        <v>139</v>
      </c>
      <c r="S129" s="40" t="s">
        <v>476</v>
      </c>
      <c r="T129" s="40" t="s">
        <v>194</v>
      </c>
      <c r="U129" s="40" t="s">
        <v>471</v>
      </c>
      <c r="V129" s="40" t="s">
        <v>188</v>
      </c>
      <c r="W129" s="40" t="s">
        <v>31</v>
      </c>
      <c r="X129" s="40"/>
      <c r="Y129" s="40"/>
      <c r="Z129" s="40"/>
      <c r="AA129" s="40" t="s">
        <v>324</v>
      </c>
      <c r="AB129" s="53">
        <v>45979.277083333334</v>
      </c>
      <c r="AC129" s="40"/>
      <c r="AD129" s="40"/>
      <c r="AE129" s="40"/>
      <c r="AF129" s="40"/>
      <c r="AG129" s="40" t="s">
        <v>135</v>
      </c>
      <c r="AH129" s="10"/>
      <c r="AI129" s="87"/>
      <c r="AJ129" s="87" cm="1">
        <f t="array" ref="AJ129">IFERROR(_xlfn.XLOOKUP(TRUE,COUNTIF(Tabla[[#This Row],[Etiquetas]:[Etiquetas17]],Versiones!$G$2:$G$36)&gt;0,Versiones!$B$2:$B$36), "")</f>
        <v>23</v>
      </c>
      <c r="AK129" s="87" t="str" cm="1">
        <f t="array" ref="AK129">IFERROR(_xlfn.XLOOKUP(TRUE,COUNTIF(Tabla[[#This Row],[Etiquetas]:[Etiquetas17]],Versiones!$G$2:$G$36)&gt;0,Versiones!$A$2:$A$36), "")</f>
        <v>V0.12</v>
      </c>
      <c r="AL12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29" s="78" t="str">
        <f>IFERROR(_xlfn.XLOOKUP(Tabla[[#This Row],[¿En qué versión fue corregido?]],Versiones!$A$2:$A$34,Versiones!$B$2:$B$34),"No encontrado")</f>
        <v>No encontrado</v>
      </c>
      <c r="AN129" s="88" t="str" cm="1">
        <f t="array" ref="AN129">IFERROR(_xlfn.XLOOKUP(TRUE,COUNTIF(Tabla[[#This Row],[Etiquetas]:[Etiquetas17]],Categorías!$A$2:$A$12)&gt;0,Categorías!$A$2:$A$12),"No encontrado")</f>
        <v>Funcional</v>
      </c>
      <c r="AO129" s="87" t="str" cm="1">
        <f t="array" ref="AO129">IFERROR(INDEX(Funcionalidades!$A$2:$A$80,MATCH(TRUE, COUNTIF(Reporte_Gral!R129:Z129,Funcionalidades!$A$2:$A$80)&gt;0,0)),"No encontrado")</f>
        <v>Pago-CODI</v>
      </c>
      <c r="AP129" s="87" t="str">
        <f>IF(AND(COUNTIF(Tabla[[#This Row],[Etiquetas]:[Etiquetas17]],"*UAT_V*")&gt;0,COUNTIF(Tabla[[#This Row],[Etiquetas]:[Etiquetas17]],"*QA-Integración*")=0),"SI","")</f>
        <v>SI</v>
      </c>
      <c r="AQ129" s="88" t="str" cm="1">
        <f t="array" ref="AQ129">IF(Tabla[[#This Row],[Fue encontrado durante UAT?]]="SI",IFERROR(_xlfn.XLOOKUP(TRUE,ISNUMBER(SEARCH("UAT_V",Tabla[[#This Row],[Etiquetas]:[Etiquetas17]])),Tabla[[#This Row],[Etiquetas]:[Etiquetas17]]),""),"")</f>
        <v>UAT_V0.12</v>
      </c>
      <c r="AR129" s="87" t="str">
        <f>IF(COUNTIF(Tabla[[#This Row],[Etiquetas]:[Etiquetas17]],"*Devuelto*")&gt;0,"SI","")</f>
        <v/>
      </c>
      <c r="AS129" s="167">
        <f>COUNTIF(Tabla[[#This Row],[Etiquetas]:[Etiquetas17]],"*Devuelto*")</f>
        <v>0</v>
      </c>
    </row>
    <row r="130" spans="1:45" ht="15" customHeight="1">
      <c r="A130" s="40" t="s">
        <v>128</v>
      </c>
      <c r="B130" s="40" t="s">
        <v>477</v>
      </c>
      <c r="C130" s="40">
        <v>111797</v>
      </c>
      <c r="D130" s="40" t="s">
        <v>478</v>
      </c>
      <c r="E130" s="40" t="s">
        <v>37</v>
      </c>
      <c r="F130" s="40" t="s">
        <v>27</v>
      </c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 t="s">
        <v>139</v>
      </c>
      <c r="S130" s="40" t="s">
        <v>152</v>
      </c>
      <c r="T130" s="40" t="s">
        <v>188</v>
      </c>
      <c r="U130" s="40" t="s">
        <v>31</v>
      </c>
      <c r="V130" s="40"/>
      <c r="W130" s="40"/>
      <c r="X130" s="40"/>
      <c r="Y130" s="40"/>
      <c r="Z130" s="40"/>
      <c r="AA130" s="40" t="s">
        <v>324</v>
      </c>
      <c r="AB130" s="53">
        <v>45979.275000000001</v>
      </c>
      <c r="AC130" s="40"/>
      <c r="AD130" s="40"/>
      <c r="AE130" s="40"/>
      <c r="AF130" s="40"/>
      <c r="AG130" s="40" t="s">
        <v>141</v>
      </c>
      <c r="AH130" s="10"/>
      <c r="AI130" s="87"/>
      <c r="AJ130" s="87" cm="1">
        <f t="array" ref="AJ130">IFERROR(_xlfn.XLOOKUP(TRUE,COUNTIF(Tabla[[#This Row],[Etiquetas]:[Etiquetas17]],Versiones!$G$2:$G$36)&gt;0,Versiones!$B$2:$B$36), "")</f>
        <v>23</v>
      </c>
      <c r="AK130" s="87" t="str" cm="1">
        <f t="array" ref="AK130">IFERROR(_xlfn.XLOOKUP(TRUE,COUNTIF(Tabla[[#This Row],[Etiquetas]:[Etiquetas17]],Versiones!$G$2:$G$36)&gt;0,Versiones!$A$2:$A$36), "")</f>
        <v>V0.12</v>
      </c>
      <c r="AL13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0" s="78" t="str">
        <f>IFERROR(_xlfn.XLOOKUP(Tabla[[#This Row],[¿En qué versión fue corregido?]],Versiones!$A$2:$A$34,Versiones!$B$2:$B$34),"No encontrado")</f>
        <v>No encontrado</v>
      </c>
      <c r="AN130" s="88" t="str" cm="1">
        <f t="array" ref="AN130">IFERROR(_xlfn.XLOOKUP(TRUE,COUNTIF(Tabla[[#This Row],[Etiquetas]:[Etiquetas17]],Categorías!$A$2:$A$12)&gt;0,Categorías!$A$2:$A$12),"No encontrado")</f>
        <v>Funcional</v>
      </c>
      <c r="AO130" s="87" t="str" cm="1">
        <f t="array" ref="AO130">IFERROR(INDEX(Funcionalidades!$A$2:$A$80,MATCH(TRUE, COUNTIF(Reporte_Gral!R130:Z130,Funcionalidades!$A$2:$A$80)&gt;0,0)),"No encontrado")</f>
        <v>Registrar-Merma</v>
      </c>
      <c r="AP130" s="87" t="str">
        <f>IF(AND(COUNTIF(Tabla[[#This Row],[Etiquetas]:[Etiquetas17]],"*UAT_V*")&gt;0,COUNTIF(Tabla[[#This Row],[Etiquetas]:[Etiquetas17]],"*QA-Integración*")=0),"SI","")</f>
        <v>SI</v>
      </c>
      <c r="AQ130" s="88" t="str" cm="1">
        <f t="array" ref="AQ130">IF(Tabla[[#This Row],[Fue encontrado durante UAT?]]="SI",IFERROR(_xlfn.XLOOKUP(TRUE,ISNUMBER(SEARCH("UAT_V",Tabla[[#This Row],[Etiquetas]:[Etiquetas17]])),Tabla[[#This Row],[Etiquetas]:[Etiquetas17]]),""),"")</f>
        <v>UAT_V0.12</v>
      </c>
      <c r="AR130" s="87" t="str">
        <f>IF(COUNTIF(Tabla[[#This Row],[Etiquetas]:[Etiquetas17]],"*Devuelto*")&gt;0,"SI","")</f>
        <v/>
      </c>
      <c r="AS130" s="167">
        <f>COUNTIF(Tabla[[#This Row],[Etiquetas]:[Etiquetas17]],"*Devuelto*")</f>
        <v>0</v>
      </c>
    </row>
    <row r="131" spans="1:45" ht="15" customHeight="1">
      <c r="A131" s="40" t="s">
        <v>128</v>
      </c>
      <c r="B131" s="40" t="s">
        <v>479</v>
      </c>
      <c r="C131" s="40">
        <v>111796</v>
      </c>
      <c r="D131" s="40" t="s">
        <v>480</v>
      </c>
      <c r="E131" s="40" t="s">
        <v>40</v>
      </c>
      <c r="F131" s="40" t="s">
        <v>26</v>
      </c>
      <c r="G131" s="40" t="s">
        <v>307</v>
      </c>
      <c r="H131" s="40" t="s">
        <v>224</v>
      </c>
      <c r="I131" s="40" t="s">
        <v>151</v>
      </c>
      <c r="J131" s="40"/>
      <c r="K131" s="40"/>
      <c r="L131" s="40"/>
      <c r="M131" s="40"/>
      <c r="N131" s="40"/>
      <c r="O131" s="40"/>
      <c r="P131" s="40"/>
      <c r="Q131" s="40"/>
      <c r="R131" s="40" t="s">
        <v>139</v>
      </c>
      <c r="S131" s="40" t="s">
        <v>481</v>
      </c>
      <c r="T131" s="40" t="s">
        <v>188</v>
      </c>
      <c r="U131" s="40" t="s">
        <v>31</v>
      </c>
      <c r="V131" s="40"/>
      <c r="W131" s="40"/>
      <c r="X131" s="40"/>
      <c r="Y131" s="40"/>
      <c r="Z131" s="40"/>
      <c r="AA131" s="40" t="s">
        <v>324</v>
      </c>
      <c r="AB131" s="53">
        <v>45979.273611111108</v>
      </c>
      <c r="AC131" s="40"/>
      <c r="AD131" s="40"/>
      <c r="AE131" s="40"/>
      <c r="AF131" s="40"/>
      <c r="AG131" s="40" t="s">
        <v>135</v>
      </c>
      <c r="AH131" s="10" t="s">
        <v>184</v>
      </c>
      <c r="AI131" s="87"/>
      <c r="AJ131" s="87" cm="1">
        <f t="array" ref="AJ131">IFERROR(_xlfn.XLOOKUP(TRUE,COUNTIF(Tabla[[#This Row],[Etiquetas]:[Etiquetas17]],Versiones!$G$2:$G$36)&gt;0,Versiones!$B$2:$B$36), "")</f>
        <v>23</v>
      </c>
      <c r="AK131" s="87" t="str" cm="1">
        <f t="array" ref="AK131">IFERROR(_xlfn.XLOOKUP(TRUE,COUNTIF(Tabla[[#This Row],[Etiquetas]:[Etiquetas17]],Versiones!$G$2:$G$36)&gt;0,Versiones!$A$2:$A$36), "")</f>
        <v>V0.12</v>
      </c>
      <c r="AL13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1" s="78" t="str">
        <f>IFERROR(_xlfn.XLOOKUP(Tabla[[#This Row],[¿En qué versión fue corregido?]],Versiones!$A$2:$A$34,Versiones!$B$2:$B$34),"No encontrado")</f>
        <v>No encontrado</v>
      </c>
      <c r="AN131" s="88" t="str" cm="1">
        <f t="array" ref="AN131">IFERROR(_xlfn.XLOOKUP(TRUE,COUNTIF(Tabla[[#This Row],[Etiquetas]:[Etiquetas17]],Categorías!$A$2:$A$12)&gt;0,Categorías!$A$2:$A$12),"No encontrado")</f>
        <v>Funcional</v>
      </c>
      <c r="AO131" s="87" t="str" cm="1">
        <f t="array" ref="AO131">IFERROR(INDEX(Funcionalidades!$A$2:$A$80,MATCH(TRUE, COUNTIF(Reporte_Gral!R131:Z131,Funcionalidades!$A$2:$A$80)&gt;0,0)),"No encontrado")</f>
        <v>Iniciar_Venta</v>
      </c>
      <c r="AP131" s="87" t="str">
        <f>IF(AND(COUNTIF(Tabla[[#This Row],[Etiquetas]:[Etiquetas17]],"*UAT_V*")&gt;0,COUNTIF(Tabla[[#This Row],[Etiquetas]:[Etiquetas17]],"*QA-Integración*")=0),"SI","")</f>
        <v>SI</v>
      </c>
      <c r="AQ131" s="88" t="str" cm="1">
        <f t="array" ref="AQ131">IF(Tabla[[#This Row],[Fue encontrado durante UAT?]]="SI",IFERROR(_xlfn.XLOOKUP(TRUE,ISNUMBER(SEARCH("UAT_V",Tabla[[#This Row],[Etiquetas]:[Etiquetas17]])),Tabla[[#This Row],[Etiquetas]:[Etiquetas17]]),""),"")</f>
        <v>UAT_V0.12</v>
      </c>
      <c r="AR131" s="87" t="str">
        <f>IF(COUNTIF(Tabla[[#This Row],[Etiquetas]:[Etiquetas17]],"*Devuelto*")&gt;0,"SI","")</f>
        <v/>
      </c>
      <c r="AS131" s="167">
        <f>COUNTIF(Tabla[[#This Row],[Etiquetas]:[Etiquetas17]],"*Devuelto*")</f>
        <v>0</v>
      </c>
    </row>
    <row r="132" spans="1:45" ht="15" customHeight="1">
      <c r="A132" s="40" t="s">
        <v>128</v>
      </c>
      <c r="B132" s="40" t="s">
        <v>482</v>
      </c>
      <c r="C132" s="40">
        <v>111795</v>
      </c>
      <c r="D132" s="40" t="s">
        <v>483</v>
      </c>
      <c r="E132" s="40" t="s">
        <v>36</v>
      </c>
      <c r="F132" s="40" t="s">
        <v>26</v>
      </c>
      <c r="G132" s="40" t="s">
        <v>307</v>
      </c>
      <c r="H132" s="40" t="s">
        <v>224</v>
      </c>
      <c r="I132" s="40" t="s">
        <v>151</v>
      </c>
      <c r="J132" s="40"/>
      <c r="K132" s="40"/>
      <c r="L132" s="40"/>
      <c r="M132" s="40"/>
      <c r="N132" s="40"/>
      <c r="O132" s="40"/>
      <c r="P132" s="40"/>
      <c r="Q132" s="40"/>
      <c r="R132" s="40" t="s">
        <v>292</v>
      </c>
      <c r="S132" s="40" t="s">
        <v>139</v>
      </c>
      <c r="T132" s="40" t="s">
        <v>371</v>
      </c>
      <c r="U132" s="40" t="s">
        <v>226</v>
      </c>
      <c r="V132" s="40" t="s">
        <v>154</v>
      </c>
      <c r="W132" s="40" t="s">
        <v>188</v>
      </c>
      <c r="X132" s="40" t="s">
        <v>31</v>
      </c>
      <c r="Y132" s="40"/>
      <c r="Z132" s="40"/>
      <c r="AA132" s="40" t="s">
        <v>324</v>
      </c>
      <c r="AB132" s="53">
        <v>45979.272916666669</v>
      </c>
      <c r="AC132" s="40" t="s">
        <v>329</v>
      </c>
      <c r="AD132" s="40"/>
      <c r="AE132" s="40"/>
      <c r="AF132" s="40"/>
      <c r="AG132" s="40" t="s">
        <v>135</v>
      </c>
      <c r="AH132" s="10"/>
      <c r="AI132" s="87"/>
      <c r="AJ132" s="87" cm="1">
        <f t="array" ref="AJ132">IFERROR(_xlfn.XLOOKUP(TRUE,COUNTIF(Tabla[[#This Row],[Etiquetas]:[Etiquetas17]],Versiones!$G$2:$G$36)&gt;0,Versiones!$B$2:$B$36), "")</f>
        <v>23</v>
      </c>
      <c r="AK132" s="87" t="str" cm="1">
        <f t="array" ref="AK132">IFERROR(_xlfn.XLOOKUP(TRUE,COUNTIF(Tabla[[#This Row],[Etiquetas]:[Etiquetas17]],Versiones!$G$2:$G$36)&gt;0,Versiones!$A$2:$A$36), "")</f>
        <v>V0.12</v>
      </c>
      <c r="AL13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32" s="78">
        <f>IFERROR(_xlfn.XLOOKUP(Tabla[[#This Row],[¿En qué versión fue corregido?]],Versiones!$A$2:$A$34,Versiones!$B$2:$B$34),"No encontrado")</f>
        <v>24</v>
      </c>
      <c r="AN132" s="88" t="str" cm="1">
        <f t="array" ref="AN132">IFERROR(_xlfn.XLOOKUP(TRUE,COUNTIF(Tabla[[#This Row],[Etiquetas]:[Etiquetas17]],Categorías!$A$2:$A$12)&gt;0,Categorías!$A$2:$A$12),"No encontrado")</f>
        <v>Funcional</v>
      </c>
      <c r="AO132" s="87" t="str" cm="1">
        <f t="array" ref="AO132">IFERROR(INDEX(Funcionalidades!$A$2:$A$80,MATCH(TRUE, COUNTIF(Reporte_Gral!R132:Z132,Funcionalidades!$A$2:$A$80)&gt;0,0)),"No encontrado")</f>
        <v>Atajos-Teclado</v>
      </c>
      <c r="AP132" s="87" t="str">
        <f>IF(AND(COUNTIF(Tabla[[#This Row],[Etiquetas]:[Etiquetas17]],"*UAT_V*")&gt;0,COUNTIF(Tabla[[#This Row],[Etiquetas]:[Etiquetas17]],"*QA-Integración*")=0),"SI","")</f>
        <v>SI</v>
      </c>
      <c r="AQ132" s="88" t="str" cm="1">
        <f t="array" ref="AQ132">IF(Tabla[[#This Row],[Fue encontrado durante UAT?]]="SI",IFERROR(_xlfn.XLOOKUP(TRUE,ISNUMBER(SEARCH("UAT_V",Tabla[[#This Row],[Etiquetas]:[Etiquetas17]])),Tabla[[#This Row],[Etiquetas]:[Etiquetas17]]),""),"")</f>
        <v>UAT_V0.12</v>
      </c>
      <c r="AR132" s="87" t="str">
        <f>IF(COUNTIF(Tabla[[#This Row],[Etiquetas]:[Etiquetas17]],"*Devuelto*")&gt;0,"SI","")</f>
        <v/>
      </c>
      <c r="AS132" s="167">
        <f>COUNTIF(Tabla[[#This Row],[Etiquetas]:[Etiquetas17]],"*Devuelto*")</f>
        <v>0</v>
      </c>
    </row>
    <row r="133" spans="1:45" ht="15" customHeight="1">
      <c r="A133" s="40" t="s">
        <v>128</v>
      </c>
      <c r="B133" s="40" t="s">
        <v>484</v>
      </c>
      <c r="C133" s="40">
        <v>111794</v>
      </c>
      <c r="D133" s="40" t="s">
        <v>485</v>
      </c>
      <c r="E133" s="40" t="s">
        <v>36</v>
      </c>
      <c r="F133" s="40" t="s">
        <v>24</v>
      </c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 t="s">
        <v>284</v>
      </c>
      <c r="S133" s="40" t="s">
        <v>139</v>
      </c>
      <c r="T133" s="40" t="s">
        <v>188</v>
      </c>
      <c r="U133" s="40" t="s">
        <v>31</v>
      </c>
      <c r="V133" s="40"/>
      <c r="W133" s="40"/>
      <c r="X133" s="40"/>
      <c r="Y133" s="40"/>
      <c r="Z133" s="40"/>
      <c r="AA133" s="40" t="s">
        <v>324</v>
      </c>
      <c r="AB133" s="53">
        <v>45979.271527777775</v>
      </c>
      <c r="AC133" s="40"/>
      <c r="AD133" s="40"/>
      <c r="AE133" s="40"/>
      <c r="AF133" s="40"/>
      <c r="AG133" s="40" t="s">
        <v>141</v>
      </c>
      <c r="AH133" s="10" t="s">
        <v>184</v>
      </c>
      <c r="AI133" s="87"/>
      <c r="AJ133" s="87" cm="1">
        <f t="array" ref="AJ133">IFERROR(_xlfn.XLOOKUP(TRUE,COUNTIF(Tabla[[#This Row],[Etiquetas]:[Etiquetas17]],Versiones!$G$2:$G$36)&gt;0,Versiones!$B$2:$B$36), "")</f>
        <v>23</v>
      </c>
      <c r="AK133" s="87" t="str" cm="1">
        <f t="array" ref="AK133">IFERROR(_xlfn.XLOOKUP(TRUE,COUNTIF(Tabla[[#This Row],[Etiquetas]:[Etiquetas17]],Versiones!$G$2:$G$36)&gt;0,Versiones!$A$2:$A$36), "")</f>
        <v>V0.12</v>
      </c>
      <c r="AL13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3" s="78" t="str">
        <f>IFERROR(_xlfn.XLOOKUP(Tabla[[#This Row],[¿En qué versión fue corregido?]],Versiones!$A$2:$A$34,Versiones!$B$2:$B$34),"No encontrado")</f>
        <v>No encontrado</v>
      </c>
      <c r="AN133" s="88" t="str" cm="1">
        <f t="array" ref="AN133">IFERROR(_xlfn.XLOOKUP(TRUE,COUNTIF(Tabla[[#This Row],[Etiquetas]:[Etiquetas17]],Categorías!$A$2:$A$12)&gt;0,Categorías!$A$2:$A$12),"No encontrado")</f>
        <v>Funcional</v>
      </c>
      <c r="AO133" s="87" t="str" cm="1">
        <f t="array" ref="AO133">IFERROR(INDEX(Funcionalidades!$A$2:$A$80,MATCH(TRUE, COUNTIF(Reporte_Gral!R133:Z133,Funcionalidades!$A$2:$A$80)&gt;0,0)),"No encontrado")</f>
        <v>Dashboard-Ventas</v>
      </c>
      <c r="AP133" s="87" t="str">
        <f>IF(AND(COUNTIF(Tabla[[#This Row],[Etiquetas]:[Etiquetas17]],"*UAT_V*")&gt;0,COUNTIF(Tabla[[#This Row],[Etiquetas]:[Etiquetas17]],"*QA-Integración*")=0),"SI","")</f>
        <v>SI</v>
      </c>
      <c r="AQ133" s="88" t="str" cm="1">
        <f t="array" ref="AQ133">IF(Tabla[[#This Row],[Fue encontrado durante UAT?]]="SI",IFERROR(_xlfn.XLOOKUP(TRUE,ISNUMBER(SEARCH("UAT_V",Tabla[[#This Row],[Etiquetas]:[Etiquetas17]])),Tabla[[#This Row],[Etiquetas]:[Etiquetas17]]),""),"")</f>
        <v>UAT_V0.12</v>
      </c>
      <c r="AR133" s="87" t="str">
        <f>IF(COUNTIF(Tabla[[#This Row],[Etiquetas]:[Etiquetas17]],"*Devuelto*")&gt;0,"SI","")</f>
        <v/>
      </c>
      <c r="AS133" s="167">
        <f>COUNTIF(Tabla[[#This Row],[Etiquetas]:[Etiquetas17]],"*Devuelto*")</f>
        <v>0</v>
      </c>
    </row>
    <row r="134" spans="1:45" ht="15" customHeight="1">
      <c r="A134" s="40" t="s">
        <v>128</v>
      </c>
      <c r="B134" s="40" t="s">
        <v>486</v>
      </c>
      <c r="C134" s="40">
        <v>111793</v>
      </c>
      <c r="D134" s="40" t="s">
        <v>487</v>
      </c>
      <c r="E134" s="40" t="s">
        <v>40</v>
      </c>
      <c r="F134" s="40" t="s">
        <v>24</v>
      </c>
      <c r="G134" s="40" t="s">
        <v>307</v>
      </c>
      <c r="H134" s="40" t="s">
        <v>224</v>
      </c>
      <c r="I134" s="40" t="s">
        <v>151</v>
      </c>
      <c r="J134" s="40"/>
      <c r="K134" s="40"/>
      <c r="L134" s="40"/>
      <c r="M134" s="40"/>
      <c r="N134" s="40"/>
      <c r="O134" s="40"/>
      <c r="P134" s="40"/>
      <c r="Q134" s="40"/>
      <c r="R134" s="40" t="s">
        <v>445</v>
      </c>
      <c r="S134" s="40" t="s">
        <v>229</v>
      </c>
      <c r="T134" s="40" t="s">
        <v>188</v>
      </c>
      <c r="U134" s="40" t="s">
        <v>31</v>
      </c>
      <c r="V134" s="40"/>
      <c r="W134" s="40"/>
      <c r="X134" s="40"/>
      <c r="Y134" s="40"/>
      <c r="Z134" s="40"/>
      <c r="AA134" s="40" t="s">
        <v>324</v>
      </c>
      <c r="AB134" s="53">
        <v>45979.263194444444</v>
      </c>
      <c r="AC134" s="40"/>
      <c r="AD134" s="40"/>
      <c r="AE134" s="40"/>
      <c r="AF134" s="40"/>
      <c r="AG134" s="40" t="s">
        <v>135</v>
      </c>
      <c r="AH134" s="10" t="s">
        <v>184</v>
      </c>
      <c r="AI134" s="87"/>
      <c r="AJ134" s="87" cm="1">
        <f t="array" ref="AJ134">IFERROR(_xlfn.XLOOKUP(TRUE,COUNTIF(Tabla[[#This Row],[Etiquetas]:[Etiquetas17]],Versiones!$G$2:$G$36)&gt;0,Versiones!$B$2:$B$36), "")</f>
        <v>23</v>
      </c>
      <c r="AK134" s="87" t="str" cm="1">
        <f t="array" ref="AK134">IFERROR(_xlfn.XLOOKUP(TRUE,COUNTIF(Tabla[[#This Row],[Etiquetas]:[Etiquetas17]],Versiones!$G$2:$G$36)&gt;0,Versiones!$A$2:$A$36), "")</f>
        <v>V0.12</v>
      </c>
      <c r="AL13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4" s="78" t="str">
        <f>IFERROR(_xlfn.XLOOKUP(Tabla[[#This Row],[¿En qué versión fue corregido?]],Versiones!$A$2:$A$34,Versiones!$B$2:$B$34),"No encontrado")</f>
        <v>No encontrado</v>
      </c>
      <c r="AN134" s="88" t="str" cm="1">
        <f t="array" ref="AN134">IFERROR(_xlfn.XLOOKUP(TRUE,COUNTIF(Tabla[[#This Row],[Etiquetas]:[Etiquetas17]],Categorías!$A$2:$A$12)&gt;0,Categorías!$A$2:$A$12),"No encontrado")</f>
        <v>Configuración</v>
      </c>
      <c r="AO134" s="87" t="str" cm="1">
        <f t="array" ref="AO134">IFERROR(INDEX(Funcionalidades!$A$2:$A$80,MATCH(TRUE, COUNTIF(Reporte_Gral!R134:Z134,Funcionalidades!$A$2:$A$80)&gt;0,0)),"No encontrado")</f>
        <v>Catálogo-De-Productos-Sin-Código</v>
      </c>
      <c r="AP134" s="87" t="str">
        <f>IF(AND(COUNTIF(Tabla[[#This Row],[Etiquetas]:[Etiquetas17]],"*UAT_V*")&gt;0,COUNTIF(Tabla[[#This Row],[Etiquetas]:[Etiquetas17]],"*QA-Integración*")=0),"SI","")</f>
        <v>SI</v>
      </c>
      <c r="AQ134" s="88" t="str" cm="1">
        <f t="array" ref="AQ134">IF(Tabla[[#This Row],[Fue encontrado durante UAT?]]="SI",IFERROR(_xlfn.XLOOKUP(TRUE,ISNUMBER(SEARCH("UAT_V",Tabla[[#This Row],[Etiquetas]:[Etiquetas17]])),Tabla[[#This Row],[Etiquetas]:[Etiquetas17]]),""),"")</f>
        <v>UAT_V0.12</v>
      </c>
      <c r="AR134" s="87" t="str">
        <f>IF(COUNTIF(Tabla[[#This Row],[Etiquetas]:[Etiquetas17]],"*Devuelto*")&gt;0,"SI","")</f>
        <v/>
      </c>
      <c r="AS134" s="167">
        <f>COUNTIF(Tabla[[#This Row],[Etiquetas]:[Etiquetas17]],"*Devuelto*")</f>
        <v>0</v>
      </c>
    </row>
    <row r="135" spans="1:45" ht="15" customHeight="1">
      <c r="A135" s="40" t="s">
        <v>128</v>
      </c>
      <c r="B135" s="40" t="s">
        <v>488</v>
      </c>
      <c r="C135" s="40">
        <v>111792</v>
      </c>
      <c r="D135" s="40" t="s">
        <v>489</v>
      </c>
      <c r="E135" s="40" t="s">
        <v>40</v>
      </c>
      <c r="F135" s="40" t="s">
        <v>24</v>
      </c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 t="s">
        <v>490</v>
      </c>
      <c r="S135" s="40" t="s">
        <v>323</v>
      </c>
      <c r="T135" s="40" t="s">
        <v>188</v>
      </c>
      <c r="U135" s="40" t="s">
        <v>31</v>
      </c>
      <c r="V135" s="40"/>
      <c r="W135" s="40"/>
      <c r="X135" s="40"/>
      <c r="Y135" s="40"/>
      <c r="Z135" s="40"/>
      <c r="AA135" s="40" t="s">
        <v>324</v>
      </c>
      <c r="AB135" s="53">
        <v>45979.262499999997</v>
      </c>
      <c r="AC135" s="40"/>
      <c r="AD135" s="40"/>
      <c r="AE135" s="40"/>
      <c r="AF135" s="40"/>
      <c r="AG135" s="40" t="s">
        <v>141</v>
      </c>
      <c r="AH135" s="10" t="s">
        <v>184</v>
      </c>
      <c r="AI135" s="87"/>
      <c r="AJ135" s="87" cm="1">
        <f t="array" ref="AJ135">IFERROR(_xlfn.XLOOKUP(TRUE,COUNTIF(Tabla[[#This Row],[Etiquetas]:[Etiquetas17]],Versiones!$G$2:$G$36)&gt;0,Versiones!$B$2:$B$36), "")</f>
        <v>23</v>
      </c>
      <c r="AK135" s="87" t="str" cm="1">
        <f t="array" ref="AK135">IFERROR(_xlfn.XLOOKUP(TRUE,COUNTIF(Tabla[[#This Row],[Etiquetas]:[Etiquetas17]],Versiones!$G$2:$G$36)&gt;0,Versiones!$A$2:$A$36), "")</f>
        <v>V0.12</v>
      </c>
      <c r="AL13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5" s="78" t="str">
        <f>IFERROR(_xlfn.XLOOKUP(Tabla[[#This Row],[¿En qué versión fue corregido?]],Versiones!$A$2:$A$34,Versiones!$B$2:$B$34),"No encontrado")</f>
        <v>No encontrado</v>
      </c>
      <c r="AN135" s="88" t="str" cm="1">
        <f t="array" ref="AN135">IFERROR(_xlfn.XLOOKUP(TRUE,COUNTIF(Tabla[[#This Row],[Etiquetas]:[Etiquetas17]],Categorías!$A$2:$A$12)&gt;0,Categorías!$A$2:$A$12),"No encontrado")</f>
        <v>Contenido/Datos</v>
      </c>
      <c r="AO135" s="87" t="str" cm="1">
        <f t="array" ref="AO135">IFERROR(INDEX(Funcionalidades!$A$2:$A$80,MATCH(TRUE, COUNTIF(Reporte_Gral!R135:Z135,Funcionalidades!$A$2:$A$80)&gt;0,0)),"No encontrado")</f>
        <v>Registro-De-Gastos</v>
      </c>
      <c r="AP135" s="87" t="str">
        <f>IF(AND(COUNTIF(Tabla[[#This Row],[Etiquetas]:[Etiquetas17]],"*UAT_V*")&gt;0,COUNTIF(Tabla[[#This Row],[Etiquetas]:[Etiquetas17]],"*QA-Integración*")=0),"SI","")</f>
        <v>SI</v>
      </c>
      <c r="AQ135" s="88" t="str" cm="1">
        <f t="array" ref="AQ135">IF(Tabla[[#This Row],[Fue encontrado durante UAT?]]="SI",IFERROR(_xlfn.XLOOKUP(TRUE,ISNUMBER(SEARCH("UAT_V",Tabla[[#This Row],[Etiquetas]:[Etiquetas17]])),Tabla[[#This Row],[Etiquetas]:[Etiquetas17]]),""),"")</f>
        <v>UAT_V0.12</v>
      </c>
      <c r="AR135" s="87" t="str">
        <f>IF(COUNTIF(Tabla[[#This Row],[Etiquetas]:[Etiquetas17]],"*Devuelto*")&gt;0,"SI","")</f>
        <v/>
      </c>
      <c r="AS135" s="167">
        <f>COUNTIF(Tabla[[#This Row],[Etiquetas]:[Etiquetas17]],"*Devuelto*")</f>
        <v>0</v>
      </c>
    </row>
    <row r="136" spans="1:45" ht="15" customHeight="1">
      <c r="A136" s="40" t="s">
        <v>128</v>
      </c>
      <c r="B136" s="40" t="s">
        <v>491</v>
      </c>
      <c r="C136" s="40">
        <v>111791</v>
      </c>
      <c r="D136" s="40" t="s">
        <v>492</v>
      </c>
      <c r="E136" s="40" t="s">
        <v>40</v>
      </c>
      <c r="F136" s="40" t="s">
        <v>24</v>
      </c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 t="s">
        <v>132</v>
      </c>
      <c r="S136" s="40" t="s">
        <v>432</v>
      </c>
      <c r="T136" s="40" t="s">
        <v>323</v>
      </c>
      <c r="U136" s="40" t="s">
        <v>188</v>
      </c>
      <c r="V136" s="40"/>
      <c r="W136" s="40"/>
      <c r="X136" s="40"/>
      <c r="Y136" s="40"/>
      <c r="Z136" s="40"/>
      <c r="AA136" s="40" t="s">
        <v>324</v>
      </c>
      <c r="AB136" s="53">
        <v>45979.259722222225</v>
      </c>
      <c r="AC136" s="40"/>
      <c r="AD136" s="40"/>
      <c r="AE136" s="40"/>
      <c r="AF136" s="40"/>
      <c r="AG136" s="40" t="s">
        <v>141</v>
      </c>
      <c r="AH136" s="10"/>
      <c r="AI136" s="87"/>
      <c r="AJ136" s="87" cm="1">
        <f t="array" ref="AJ136">IFERROR(_xlfn.XLOOKUP(TRUE,COUNTIF(Tabla[[#This Row],[Etiquetas]:[Etiquetas17]],Versiones!$G$2:$G$36)&gt;0,Versiones!$B$2:$B$36), "")</f>
        <v>23</v>
      </c>
      <c r="AK136" s="87" t="str" cm="1">
        <f t="array" ref="AK136">IFERROR(_xlfn.XLOOKUP(TRUE,COUNTIF(Tabla[[#This Row],[Etiquetas]:[Etiquetas17]],Versiones!$G$2:$G$36)&gt;0,Versiones!$A$2:$A$36), "")</f>
        <v>V0.12</v>
      </c>
      <c r="AL13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6" s="78" t="str">
        <f>IFERROR(_xlfn.XLOOKUP(Tabla[[#This Row],[¿En qué versión fue corregido?]],Versiones!$A$2:$A$34,Versiones!$B$2:$B$34),"No encontrado")</f>
        <v>No encontrado</v>
      </c>
      <c r="AN136" s="88" t="str" cm="1">
        <f t="array" ref="AN136">IFERROR(_xlfn.XLOOKUP(TRUE,COUNTIF(Tabla[[#This Row],[Etiquetas]:[Etiquetas17]],Categorías!$A$2:$A$12)&gt;0,Categorías!$A$2:$A$12),"No encontrado")</f>
        <v>Look&amp;Feel</v>
      </c>
      <c r="AO136" s="88" t="str" cm="1">
        <f t="array" ref="AO136">IFERROR(INDEX(Funcionalidades!$A$2:$A$80,MATCH(TRUE, COUNTIF(Reporte_Gral!R136:Z136,Funcionalidades!$A$2:$A$80)&gt;0,0)),"No encontrado")</f>
        <v>Registro-De-Gastos</v>
      </c>
      <c r="AP136" s="87" t="str">
        <f>IF(AND(COUNTIF(Tabla[[#This Row],[Etiquetas]:[Etiquetas17]],"*UAT_V*")&gt;0,COUNTIF(Tabla[[#This Row],[Etiquetas]:[Etiquetas17]],"*QA-Integración*")=0),"SI","")</f>
        <v/>
      </c>
      <c r="AQ136" s="88" t="str" cm="1">
        <f t="array" ref="AQ136">IF(Tabla[[#This Row],[Fue encontrado durante UAT?]]="SI",IFERROR(_xlfn.XLOOKUP(TRUE,ISNUMBER(SEARCH("UAT_V",Tabla[[#This Row],[Etiquetas]:[Etiquetas17]])),Tabla[[#This Row],[Etiquetas]:[Etiquetas17]]),""),"")</f>
        <v/>
      </c>
      <c r="AR136" s="87" t="str">
        <f>IF(COUNTIF(Tabla[[#This Row],[Etiquetas]:[Etiquetas17]],"*Devuelto*")&gt;0,"SI","")</f>
        <v/>
      </c>
      <c r="AS136" s="167">
        <f>COUNTIF(Tabla[[#This Row],[Etiquetas]:[Etiquetas17]],"*Devuelto*")</f>
        <v>0</v>
      </c>
    </row>
    <row r="137" spans="1:45" ht="15" customHeight="1">
      <c r="A137" s="40" t="s">
        <v>128</v>
      </c>
      <c r="B137" s="40" t="s">
        <v>493</v>
      </c>
      <c r="C137" s="40">
        <v>111790</v>
      </c>
      <c r="D137" s="40" t="s">
        <v>494</v>
      </c>
      <c r="E137" s="40" t="s">
        <v>36</v>
      </c>
      <c r="F137" s="40" t="s">
        <v>24</v>
      </c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 t="s">
        <v>158</v>
      </c>
      <c r="S137" s="40" t="s">
        <v>139</v>
      </c>
      <c r="T137" s="40" t="s">
        <v>188</v>
      </c>
      <c r="U137" s="40" t="s">
        <v>31</v>
      </c>
      <c r="V137" s="40"/>
      <c r="W137" s="40"/>
      <c r="X137" s="40"/>
      <c r="Y137" s="40"/>
      <c r="Z137" s="40"/>
      <c r="AA137" s="40" t="s">
        <v>324</v>
      </c>
      <c r="AB137" s="53">
        <v>45979.258333333331</v>
      </c>
      <c r="AC137" s="40"/>
      <c r="AD137" s="40"/>
      <c r="AE137" s="40"/>
      <c r="AF137" s="40"/>
      <c r="AG137" s="40" t="s">
        <v>135</v>
      </c>
      <c r="AH137" s="10"/>
      <c r="AI137" s="87"/>
      <c r="AJ137" s="87" cm="1">
        <f t="array" ref="AJ137">IFERROR(_xlfn.XLOOKUP(TRUE,COUNTIF(Tabla[[#This Row],[Etiquetas]:[Etiquetas17]],Versiones!$G$2:$G$36)&gt;0,Versiones!$B$2:$B$36), "")</f>
        <v>23</v>
      </c>
      <c r="AK137" s="87" t="str" cm="1">
        <f t="array" ref="AK137">IFERROR(_xlfn.XLOOKUP(TRUE,COUNTIF(Tabla[[#This Row],[Etiquetas]:[Etiquetas17]],Versiones!$G$2:$G$36)&gt;0,Versiones!$A$2:$A$36), "")</f>
        <v>V0.12</v>
      </c>
      <c r="AL13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37" s="78" t="str">
        <f>IFERROR(_xlfn.XLOOKUP(Tabla[[#This Row],[¿En qué versión fue corregido?]],Versiones!$A$2:$A$34,Versiones!$B$2:$B$34),"No encontrado")</f>
        <v>No encontrado</v>
      </c>
      <c r="AN137" s="88" t="str" cm="1">
        <f t="array" ref="AN137">IFERROR(_xlfn.XLOOKUP(TRUE,COUNTIF(Tabla[[#This Row],[Etiquetas]:[Etiquetas17]],Categorías!$A$2:$A$12)&gt;0,Categorías!$A$2:$A$12),"No encontrado")</f>
        <v>Funcional</v>
      </c>
      <c r="AO137" s="88" t="str" cm="1">
        <f t="array" ref="AO137">IFERROR(INDEX(Funcionalidades!$A$2:$A$80,MATCH(TRUE, COUNTIF(Reporte_Gral!R137:Z137,Funcionalidades!$A$2:$A$80)&gt;0,0)),"No encontrado")</f>
        <v>Alivios</v>
      </c>
      <c r="AP137" s="87" t="str">
        <f>IF(AND(COUNTIF(Tabla[[#This Row],[Etiquetas]:[Etiquetas17]],"*UAT_V*")&gt;0,COUNTIF(Tabla[[#This Row],[Etiquetas]:[Etiquetas17]],"*QA-Integración*")=0),"SI","")</f>
        <v>SI</v>
      </c>
      <c r="AQ137" s="88" t="str" cm="1">
        <f t="array" ref="AQ137">IF(Tabla[[#This Row],[Fue encontrado durante UAT?]]="SI",IFERROR(_xlfn.XLOOKUP(TRUE,ISNUMBER(SEARCH("UAT_V",Tabla[[#This Row],[Etiquetas]:[Etiquetas17]])),Tabla[[#This Row],[Etiquetas]:[Etiquetas17]]),""),"")</f>
        <v>UAT_V0.12</v>
      </c>
      <c r="AR137" s="87" t="str">
        <f>IF(COUNTIF(Tabla[[#This Row],[Etiquetas]:[Etiquetas17]],"*Devuelto*")&gt;0,"SI","")</f>
        <v/>
      </c>
      <c r="AS137" s="167">
        <f>COUNTIF(Tabla[[#This Row],[Etiquetas]:[Etiquetas17]],"*Devuelto*")</f>
        <v>0</v>
      </c>
    </row>
    <row r="138" spans="1:45" ht="15" customHeight="1">
      <c r="A138" s="40" t="s">
        <v>128</v>
      </c>
      <c r="B138" s="40" t="s">
        <v>495</v>
      </c>
      <c r="C138" s="40">
        <v>111789</v>
      </c>
      <c r="D138" s="40" t="s">
        <v>496</v>
      </c>
      <c r="E138" s="40" t="s">
        <v>40</v>
      </c>
      <c r="F138" s="40" t="s">
        <v>26</v>
      </c>
      <c r="G138" s="40" t="s">
        <v>307</v>
      </c>
      <c r="H138" s="40" t="s">
        <v>224</v>
      </c>
      <c r="I138" s="40" t="s">
        <v>151</v>
      </c>
      <c r="J138" s="40"/>
      <c r="K138" s="40"/>
      <c r="L138" s="40"/>
      <c r="M138" s="40"/>
      <c r="N138" s="40"/>
      <c r="O138" s="40"/>
      <c r="P138" s="40"/>
      <c r="Q138" s="40"/>
      <c r="R138" s="40" t="s">
        <v>302</v>
      </c>
      <c r="S138" s="40" t="s">
        <v>132</v>
      </c>
      <c r="T138" s="40" t="s">
        <v>226</v>
      </c>
      <c r="U138" s="40" t="s">
        <v>154</v>
      </c>
      <c r="V138" s="40" t="s">
        <v>188</v>
      </c>
      <c r="W138" s="40" t="s">
        <v>31</v>
      </c>
      <c r="X138" s="40"/>
      <c r="Y138" s="40"/>
      <c r="Z138" s="40"/>
      <c r="AA138" s="40" t="s">
        <v>324</v>
      </c>
      <c r="AB138" s="53">
        <v>45979.256944444445</v>
      </c>
      <c r="AC138" s="40" t="s">
        <v>329</v>
      </c>
      <c r="AD138" s="40"/>
      <c r="AE138" s="40"/>
      <c r="AF138" s="40"/>
      <c r="AG138" s="40" t="s">
        <v>135</v>
      </c>
      <c r="AH138" s="10"/>
      <c r="AI138" s="87"/>
      <c r="AJ138" s="87" cm="1">
        <f t="array" ref="AJ138">IFERROR(_xlfn.XLOOKUP(TRUE,COUNTIF(Tabla[[#This Row],[Etiquetas]:[Etiquetas17]],Versiones!$G$2:$G$36)&gt;0,Versiones!$B$2:$B$36), "")</f>
        <v>23</v>
      </c>
      <c r="AK138" s="87" t="str" cm="1">
        <f t="array" ref="AK138">IFERROR(_xlfn.XLOOKUP(TRUE,COUNTIF(Tabla[[#This Row],[Etiquetas]:[Etiquetas17]],Versiones!$G$2:$G$36)&gt;0,Versiones!$A$2:$A$36), "")</f>
        <v>V0.12</v>
      </c>
      <c r="AL13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38" s="78">
        <f>IFERROR(_xlfn.XLOOKUP(Tabla[[#This Row],[¿En qué versión fue corregido?]],Versiones!$A$2:$A$34,Versiones!$B$2:$B$34),"No encontrado")</f>
        <v>24</v>
      </c>
      <c r="AN138" s="88" t="str" cm="1">
        <f t="array" ref="AN138">IFERROR(_xlfn.XLOOKUP(TRUE,COUNTIF(Tabla[[#This Row],[Etiquetas]:[Etiquetas17]],Categorías!$A$2:$A$12)&gt;0,Categorías!$A$2:$A$12),"No encontrado")</f>
        <v>Look&amp;Feel</v>
      </c>
      <c r="AO138" s="87" t="str" cm="1">
        <f t="array" ref="AO138">IFERROR(INDEX(Funcionalidades!$A$2:$A$80,MATCH(TRUE, COUNTIF(Reporte_Gral!R138:Z138,Funcionalidades!$A$2:$A$80)&gt;0,0)),"No encontrado")</f>
        <v>Devoluciones</v>
      </c>
      <c r="AP138" s="87" t="str">
        <f>IF(AND(COUNTIF(Tabla[[#This Row],[Etiquetas]:[Etiquetas17]],"*UAT_V*")&gt;0,COUNTIF(Tabla[[#This Row],[Etiquetas]:[Etiquetas17]],"*QA-Integración*")=0),"SI","")</f>
        <v>SI</v>
      </c>
      <c r="AQ138" s="88" t="str" cm="1">
        <f t="array" ref="AQ138">IF(Tabla[[#This Row],[Fue encontrado durante UAT?]]="SI",IFERROR(_xlfn.XLOOKUP(TRUE,ISNUMBER(SEARCH("UAT_V",Tabla[[#This Row],[Etiquetas]:[Etiquetas17]])),Tabla[[#This Row],[Etiquetas]:[Etiquetas17]]),""),"")</f>
        <v>UAT_V0.12</v>
      </c>
      <c r="AR138" s="87" t="str">
        <f>IF(COUNTIF(Tabla[[#This Row],[Etiquetas]:[Etiquetas17]],"*Devuelto*")&gt;0,"SI","")</f>
        <v/>
      </c>
      <c r="AS138" s="167">
        <f>COUNTIF(Tabla[[#This Row],[Etiquetas]:[Etiquetas17]],"*Devuelto*")</f>
        <v>0</v>
      </c>
    </row>
    <row r="139" spans="1:45" ht="15" customHeight="1">
      <c r="A139" s="40" t="s">
        <v>128</v>
      </c>
      <c r="B139" s="40" t="s">
        <v>497</v>
      </c>
      <c r="C139" s="40">
        <v>111788</v>
      </c>
      <c r="D139" s="40" t="s">
        <v>498</v>
      </c>
      <c r="E139" s="40" t="s">
        <v>41</v>
      </c>
      <c r="F139" s="40" t="s">
        <v>26</v>
      </c>
      <c r="G139" s="40" t="s">
        <v>224</v>
      </c>
      <c r="H139" s="40" t="s">
        <v>151</v>
      </c>
      <c r="I139" s="40"/>
      <c r="J139" s="40"/>
      <c r="K139" s="40"/>
      <c r="L139" s="40"/>
      <c r="M139" s="40"/>
      <c r="N139" s="40"/>
      <c r="O139" s="40"/>
      <c r="P139" s="40"/>
      <c r="Q139" s="40"/>
      <c r="R139" s="40" t="s">
        <v>139</v>
      </c>
      <c r="S139" s="40" t="s">
        <v>371</v>
      </c>
      <c r="T139" s="40" t="s">
        <v>323</v>
      </c>
      <c r="U139" s="40" t="s">
        <v>204</v>
      </c>
      <c r="V139" s="40" t="s">
        <v>154</v>
      </c>
      <c r="W139" s="40" t="s">
        <v>188</v>
      </c>
      <c r="X139" s="40" t="s">
        <v>31</v>
      </c>
      <c r="Y139" s="40"/>
      <c r="Z139" s="40"/>
      <c r="AA139" s="40" t="s">
        <v>324</v>
      </c>
      <c r="AB139" s="53">
        <v>45979.254861111112</v>
      </c>
      <c r="AC139" s="40" t="s">
        <v>174</v>
      </c>
      <c r="AD139" s="40"/>
      <c r="AE139" s="40"/>
      <c r="AF139" s="40"/>
      <c r="AG139" s="40" t="s">
        <v>141</v>
      </c>
      <c r="AH139" s="10"/>
      <c r="AI139" s="87"/>
      <c r="AJ139" s="87" cm="1">
        <f t="array" ref="AJ139">IFERROR(_xlfn.XLOOKUP(TRUE,COUNTIF(Tabla[[#This Row],[Etiquetas]:[Etiquetas17]],Versiones!$G$2:$G$36)&gt;0,Versiones!$B$2:$B$36), "")</f>
        <v>23</v>
      </c>
      <c r="AK139" s="87" t="str" cm="1">
        <f t="array" ref="AK139">IFERROR(_xlfn.XLOOKUP(TRUE,COUNTIF(Tabla[[#This Row],[Etiquetas]:[Etiquetas17]],Versiones!$G$2:$G$36)&gt;0,Versiones!$A$2:$A$36), "")</f>
        <v>V0.12</v>
      </c>
      <c r="AL13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39" s="78">
        <f>IFERROR(_xlfn.XLOOKUP(Tabla[[#This Row],[¿En qué versión fue corregido?]],Versiones!$A$2:$A$34,Versiones!$B$2:$B$34),"No encontrado")</f>
        <v>25</v>
      </c>
      <c r="AN139" s="88" t="str" cm="1">
        <f t="array" ref="AN139">IFERROR(_xlfn.XLOOKUP(TRUE,COUNTIF(Tabla[[#This Row],[Etiquetas]:[Etiquetas17]],Categorías!$A$2:$A$12)&gt;0,Categorías!$A$2:$A$12),"No encontrado")</f>
        <v>Funcional</v>
      </c>
      <c r="AO139" s="87" t="str" cm="1">
        <f t="array" ref="AO139">IFERROR(INDEX(Funcionalidades!$A$2:$A$80,MATCH(TRUE, COUNTIF(Reporte_Gral!R139:Z139,Funcionalidades!$A$2:$A$80)&gt;0,0)),"No encontrado")</f>
        <v>Registro-De-Gastos</v>
      </c>
      <c r="AP139" s="87" t="str">
        <f>IF(AND(COUNTIF(Tabla[[#This Row],[Etiquetas]:[Etiquetas17]],"*UAT_V*")&gt;0,COUNTIF(Tabla[[#This Row],[Etiquetas]:[Etiquetas17]],"*QA-Integración*")=0),"SI","")</f>
        <v>SI</v>
      </c>
      <c r="AQ139" s="88" t="str" cm="1">
        <f t="array" ref="AQ139">IF(Tabla[[#This Row],[Fue encontrado durante UAT?]]="SI",IFERROR(_xlfn.XLOOKUP(TRUE,ISNUMBER(SEARCH("UAT_V",Tabla[[#This Row],[Etiquetas]:[Etiquetas17]])),Tabla[[#This Row],[Etiquetas]:[Etiquetas17]]),""),"")</f>
        <v>UAT_V0.12</v>
      </c>
      <c r="AR139" s="87" t="str">
        <f>IF(COUNTIF(Tabla[[#This Row],[Etiquetas]:[Etiquetas17]],"*Devuelto*")&gt;0,"SI","")</f>
        <v/>
      </c>
      <c r="AS139" s="167">
        <f>COUNTIF(Tabla[[#This Row],[Etiquetas]:[Etiquetas17]],"*Devuelto*")</f>
        <v>0</v>
      </c>
    </row>
    <row r="140" spans="1:45" ht="15" customHeight="1">
      <c r="A140" s="40" t="s">
        <v>128</v>
      </c>
      <c r="B140" s="40" t="s">
        <v>499</v>
      </c>
      <c r="C140" s="40">
        <v>111787</v>
      </c>
      <c r="D140" s="40" t="s">
        <v>500</v>
      </c>
      <c r="E140" s="40" t="s">
        <v>37</v>
      </c>
      <c r="F140" s="40" t="s">
        <v>23</v>
      </c>
      <c r="G140" s="40" t="s">
        <v>224</v>
      </c>
      <c r="H140" s="40" t="s">
        <v>151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 t="s">
        <v>273</v>
      </c>
      <c r="S140" s="40" t="s">
        <v>284</v>
      </c>
      <c r="T140" s="40" t="s">
        <v>139</v>
      </c>
      <c r="U140" s="40" t="s">
        <v>226</v>
      </c>
      <c r="V140" s="40" t="s">
        <v>154</v>
      </c>
      <c r="W140" s="40" t="s">
        <v>188</v>
      </c>
      <c r="X140" s="40" t="s">
        <v>31</v>
      </c>
      <c r="Y140" s="40"/>
      <c r="Z140" s="40"/>
      <c r="AA140" s="40" t="s">
        <v>324</v>
      </c>
      <c r="AB140" s="53">
        <v>45979.254166666666</v>
      </c>
      <c r="AC140" s="40" t="s">
        <v>155</v>
      </c>
      <c r="AD140" s="40"/>
      <c r="AE140" s="40"/>
      <c r="AF140" s="40"/>
      <c r="AG140" s="40" t="s">
        <v>135</v>
      </c>
      <c r="AH140" s="10"/>
      <c r="AI140" s="87"/>
      <c r="AJ140" s="87" cm="1">
        <f t="array" ref="AJ140">IFERROR(_xlfn.XLOOKUP(TRUE,COUNTIF(Tabla[[#This Row],[Etiquetas]:[Etiquetas17]],Versiones!$G$2:$G$36)&gt;0,Versiones!$B$2:$B$36), "")</f>
        <v>23</v>
      </c>
      <c r="AK140" s="87" t="str" cm="1">
        <f t="array" ref="AK140">IFERROR(_xlfn.XLOOKUP(TRUE,COUNTIF(Tabla[[#This Row],[Etiquetas]:[Etiquetas17]],Versiones!$G$2:$G$36)&gt;0,Versiones!$A$2:$A$36), "")</f>
        <v>V0.12</v>
      </c>
      <c r="AL14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40" s="78">
        <f>IFERROR(_xlfn.XLOOKUP(Tabla[[#This Row],[¿En qué versión fue corregido?]],Versiones!$A$2:$A$34,Versiones!$B$2:$B$34),"No encontrado")</f>
        <v>0</v>
      </c>
      <c r="AN140" s="88" t="str" cm="1">
        <f t="array" ref="AN140">IFERROR(_xlfn.XLOOKUP(TRUE,COUNTIF(Tabla[[#This Row],[Etiquetas]:[Etiquetas17]],Categorías!$A$2:$A$12)&gt;0,Categorías!$A$2:$A$12),"No encontrado")</f>
        <v>Funcional</v>
      </c>
      <c r="AO140" s="87" t="str" cm="1">
        <f t="array" ref="AO140">IFERROR(INDEX(Funcionalidades!$A$2:$A$80,MATCH(TRUE, COUNTIF(Reporte_Gral!R140:Z140,Funcionalidades!$A$2:$A$80)&gt;0,0)),"No encontrado")</f>
        <v>Dashboard-Ventas</v>
      </c>
      <c r="AP140" s="87" t="str">
        <f>IF(AND(COUNTIF(Tabla[[#This Row],[Etiquetas]:[Etiquetas17]],"*UAT_V*")&gt;0,COUNTIF(Tabla[[#This Row],[Etiquetas]:[Etiquetas17]],"*QA-Integración*")=0),"SI","")</f>
        <v>SI</v>
      </c>
      <c r="AQ140" s="88" t="str" cm="1">
        <f t="array" ref="AQ140">IF(Tabla[[#This Row],[Fue encontrado durante UAT?]]="SI",IFERROR(_xlfn.XLOOKUP(TRUE,ISNUMBER(SEARCH("UAT_V",Tabla[[#This Row],[Etiquetas]:[Etiquetas17]])),Tabla[[#This Row],[Etiquetas]:[Etiquetas17]]),""),"")</f>
        <v>UAT_V0.12</v>
      </c>
      <c r="AR140" s="87" t="str">
        <f>IF(COUNTIF(Tabla[[#This Row],[Etiquetas]:[Etiquetas17]],"*Devuelto*")&gt;0,"SI","")</f>
        <v>SI</v>
      </c>
      <c r="AS140" s="167">
        <f>COUNTIF(Tabla[[#This Row],[Etiquetas]:[Etiquetas17]],"*Devuelto*")</f>
        <v>1</v>
      </c>
    </row>
    <row r="141" spans="1:45" ht="15" customHeight="1">
      <c r="A141" s="40" t="s">
        <v>128</v>
      </c>
      <c r="B141" s="40" t="s">
        <v>501</v>
      </c>
      <c r="C141" s="40">
        <v>111786</v>
      </c>
      <c r="D141" s="40" t="s">
        <v>502</v>
      </c>
      <c r="E141" s="40" t="s">
        <v>37</v>
      </c>
      <c r="F141" s="40" t="s">
        <v>24</v>
      </c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 t="s">
        <v>503</v>
      </c>
      <c r="S141" s="40" t="s">
        <v>139</v>
      </c>
      <c r="T141" s="40" t="s">
        <v>188</v>
      </c>
      <c r="U141" s="40" t="s">
        <v>31</v>
      </c>
      <c r="V141" s="40"/>
      <c r="W141" s="40"/>
      <c r="X141" s="40"/>
      <c r="Y141" s="40"/>
      <c r="Z141" s="40"/>
      <c r="AA141" s="40" t="s">
        <v>324</v>
      </c>
      <c r="AB141" s="53">
        <v>45979.234027777777</v>
      </c>
      <c r="AC141" s="40"/>
      <c r="AD141" s="40"/>
      <c r="AE141" s="40"/>
      <c r="AF141" s="40"/>
      <c r="AG141" s="40" t="s">
        <v>135</v>
      </c>
      <c r="AH141" s="84"/>
      <c r="AI141" s="87"/>
      <c r="AJ141" s="87" cm="1">
        <f t="array" ref="AJ141">IFERROR(_xlfn.XLOOKUP(TRUE,COUNTIF(Tabla[[#This Row],[Etiquetas]:[Etiquetas17]],Versiones!$G$2:$G$36)&gt;0,Versiones!$B$2:$B$36), "")</f>
        <v>23</v>
      </c>
      <c r="AK141" s="87" t="str" cm="1">
        <f t="array" ref="AK141">IFERROR(_xlfn.XLOOKUP(TRUE,COUNTIF(Tabla[[#This Row],[Etiquetas]:[Etiquetas17]],Versiones!$G$2:$G$36)&gt;0,Versiones!$A$2:$A$36), "")</f>
        <v>V0.12</v>
      </c>
      <c r="AL14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1" s="78" t="str">
        <f>IFERROR(_xlfn.XLOOKUP(Tabla[[#This Row],[¿En qué versión fue corregido?]],Versiones!$A$2:$A$34,Versiones!$B$2:$B$34),"No encontrado")</f>
        <v>No encontrado</v>
      </c>
      <c r="AN141" s="88" t="str" cm="1">
        <f t="array" ref="AN141">IFERROR(_xlfn.XLOOKUP(TRUE,COUNTIF(Tabla[[#This Row],[Etiquetas]:[Etiquetas17]],Categorías!$A$2:$A$12)&gt;0,Categorías!$A$2:$A$12),"No encontrado")</f>
        <v>Funcional</v>
      </c>
      <c r="AO141" s="87" t="str" cm="1">
        <f t="array" ref="AO141">IFERROR(INDEX(Funcionalidades!$A$2:$A$80,MATCH(TRUE, COUNTIF(Reporte_Gral!R141:Z141,Funcionalidades!$A$2:$A$80)&gt;0,0)),"No encontrado")</f>
        <v>Fondeo-Adicional</v>
      </c>
      <c r="AP141" s="87" t="str">
        <f>IF(AND(COUNTIF(Tabla[[#This Row],[Etiquetas]:[Etiquetas17]],"*UAT_V*")&gt;0,COUNTIF(Tabla[[#This Row],[Etiquetas]:[Etiquetas17]],"*QA-Integración*")=0),"SI","")</f>
        <v>SI</v>
      </c>
      <c r="AQ141" s="88" t="str" cm="1">
        <f t="array" ref="AQ141">IF(Tabla[[#This Row],[Fue encontrado durante UAT?]]="SI",IFERROR(_xlfn.XLOOKUP(TRUE,ISNUMBER(SEARCH("UAT_V",Tabla[[#This Row],[Etiquetas]:[Etiquetas17]])),Tabla[[#This Row],[Etiquetas]:[Etiquetas17]]),""),"")</f>
        <v>UAT_V0.12</v>
      </c>
      <c r="AR141" s="87" t="str">
        <f>IF(COUNTIF(Tabla[[#This Row],[Etiquetas]:[Etiquetas17]],"*Devuelto*")&gt;0,"SI","")</f>
        <v/>
      </c>
      <c r="AS141" s="167">
        <f>COUNTIF(Tabla[[#This Row],[Etiquetas]:[Etiquetas17]],"*Devuelto*")</f>
        <v>0</v>
      </c>
    </row>
    <row r="142" spans="1:45" ht="15" customHeight="1">
      <c r="A142" s="40" t="s">
        <v>128</v>
      </c>
      <c r="B142" s="40" t="s">
        <v>504</v>
      </c>
      <c r="C142" s="40">
        <v>111785</v>
      </c>
      <c r="D142" s="40" t="s">
        <v>505</v>
      </c>
      <c r="E142" s="40" t="s">
        <v>37</v>
      </c>
      <c r="F142" s="40" t="s">
        <v>26</v>
      </c>
      <c r="G142" s="40" t="s">
        <v>307</v>
      </c>
      <c r="H142" s="40" t="s">
        <v>224</v>
      </c>
      <c r="I142" s="40" t="s">
        <v>151</v>
      </c>
      <c r="J142" s="40"/>
      <c r="K142" s="40"/>
      <c r="L142" s="40"/>
      <c r="M142" s="40"/>
      <c r="N142" s="40"/>
      <c r="O142" s="40"/>
      <c r="P142" s="40"/>
      <c r="Q142" s="40"/>
      <c r="R142" s="40" t="s">
        <v>490</v>
      </c>
      <c r="S142" s="40" t="s">
        <v>506</v>
      </c>
      <c r="T142" s="40" t="s">
        <v>188</v>
      </c>
      <c r="U142" s="40" t="s">
        <v>31</v>
      </c>
      <c r="V142" s="40"/>
      <c r="W142" s="40"/>
      <c r="X142" s="40"/>
      <c r="Y142" s="40"/>
      <c r="Z142" s="40"/>
      <c r="AA142" s="40" t="s">
        <v>324</v>
      </c>
      <c r="AB142" s="53">
        <v>45979.228472222225</v>
      </c>
      <c r="AC142" s="40"/>
      <c r="AD142" s="40"/>
      <c r="AE142" s="40"/>
      <c r="AF142" s="40"/>
      <c r="AG142" s="40" t="s">
        <v>135</v>
      </c>
      <c r="AH142" s="84"/>
      <c r="AI142" s="87"/>
      <c r="AJ142" s="87" cm="1">
        <f t="array" ref="AJ142">IFERROR(_xlfn.XLOOKUP(TRUE,COUNTIF(Tabla[[#This Row],[Etiquetas]:[Etiquetas17]],Versiones!$G$2:$G$36)&gt;0,Versiones!$B$2:$B$36), "")</f>
        <v>23</v>
      </c>
      <c r="AK142" s="87" t="str" cm="1">
        <f t="array" ref="AK142">IFERROR(_xlfn.XLOOKUP(TRUE,COUNTIF(Tabla[[#This Row],[Etiquetas]:[Etiquetas17]],Versiones!$G$2:$G$36)&gt;0,Versiones!$A$2:$A$36), "")</f>
        <v>V0.12</v>
      </c>
      <c r="AL14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2" s="78" t="str">
        <f>IFERROR(_xlfn.XLOOKUP(Tabla[[#This Row],[¿En qué versión fue corregido?]],Versiones!$A$2:$A$34,Versiones!$B$2:$B$34),"No encontrado")</f>
        <v>No encontrado</v>
      </c>
      <c r="AN142" s="88" t="str" cm="1">
        <f t="array" ref="AN142">IFERROR(_xlfn.XLOOKUP(TRUE,COUNTIF(Tabla[[#This Row],[Etiquetas]:[Etiquetas17]],Categorías!$A$2:$A$12)&gt;0,Categorías!$A$2:$A$12),"No encontrado")</f>
        <v>Contenido/Datos</v>
      </c>
      <c r="AO142" s="87" t="str" cm="1">
        <f t="array" ref="AO142">IFERROR(INDEX(Funcionalidades!$A$2:$A$80,MATCH(TRUE, COUNTIF(Reporte_Gral!R142:Z142,Funcionalidades!$A$2:$A$80)&gt;0,0)),"No encontrado")</f>
        <v>Imprimir-Ticket</v>
      </c>
      <c r="AP142" s="87" t="str">
        <f>IF(AND(COUNTIF(Tabla[[#This Row],[Etiquetas]:[Etiquetas17]],"*UAT_V*")&gt;0,COUNTIF(Tabla[[#This Row],[Etiquetas]:[Etiquetas17]],"*QA-Integración*")=0),"SI","")</f>
        <v>SI</v>
      </c>
      <c r="AQ142" s="88" t="str" cm="1">
        <f t="array" ref="AQ142">IF(Tabla[[#This Row],[Fue encontrado durante UAT?]]="SI",IFERROR(_xlfn.XLOOKUP(TRUE,ISNUMBER(SEARCH("UAT_V",Tabla[[#This Row],[Etiquetas]:[Etiquetas17]])),Tabla[[#This Row],[Etiquetas]:[Etiquetas17]]),""),"")</f>
        <v>UAT_V0.12</v>
      </c>
      <c r="AR142" s="87" t="str">
        <f>IF(COUNTIF(Tabla[[#This Row],[Etiquetas]:[Etiquetas17]],"*Devuelto*")&gt;0,"SI","")</f>
        <v/>
      </c>
      <c r="AS142" s="167">
        <f>COUNTIF(Tabla[[#This Row],[Etiquetas]:[Etiquetas17]],"*Devuelto*")</f>
        <v>0</v>
      </c>
    </row>
    <row r="143" spans="1:45" ht="15" customHeight="1">
      <c r="A143" s="40" t="s">
        <v>128</v>
      </c>
      <c r="B143" s="40" t="s">
        <v>507</v>
      </c>
      <c r="C143" s="40">
        <v>111784</v>
      </c>
      <c r="D143" s="40" t="s">
        <v>508</v>
      </c>
      <c r="E143" s="40" t="s">
        <v>40</v>
      </c>
      <c r="F143" s="40" t="s">
        <v>24</v>
      </c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 t="s">
        <v>132</v>
      </c>
      <c r="S143" s="40" t="s">
        <v>237</v>
      </c>
      <c r="T143" s="40" t="s">
        <v>188</v>
      </c>
      <c r="U143" s="40" t="s">
        <v>31</v>
      </c>
      <c r="V143" s="40"/>
      <c r="W143" s="40"/>
      <c r="X143" s="40"/>
      <c r="Y143" s="40"/>
      <c r="Z143" s="40"/>
      <c r="AA143" s="40" t="s">
        <v>324</v>
      </c>
      <c r="AB143" s="53">
        <v>45979.22152777778</v>
      </c>
      <c r="AC143" s="40"/>
      <c r="AD143" s="40"/>
      <c r="AE143" s="40"/>
      <c r="AF143" s="40"/>
      <c r="AG143" s="40" t="s">
        <v>135</v>
      </c>
      <c r="AH143" s="84"/>
      <c r="AI143" s="87"/>
      <c r="AJ143" s="87" cm="1">
        <f t="array" ref="AJ143">IFERROR(_xlfn.XLOOKUP(TRUE,COUNTIF(Tabla[[#This Row],[Etiquetas]:[Etiquetas17]],Versiones!$G$2:$G$36)&gt;0,Versiones!$B$2:$B$36), "")</f>
        <v>23</v>
      </c>
      <c r="AK143" s="87" t="str" cm="1">
        <f t="array" ref="AK143">IFERROR(_xlfn.XLOOKUP(TRUE,COUNTIF(Tabla[[#This Row],[Etiquetas]:[Etiquetas17]],Versiones!$G$2:$G$36)&gt;0,Versiones!$A$2:$A$36), "")</f>
        <v>V0.12</v>
      </c>
      <c r="AL14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3" s="78" t="str">
        <f>IFERROR(_xlfn.XLOOKUP(Tabla[[#This Row],[¿En qué versión fue corregido?]],Versiones!$A$2:$A$34,Versiones!$B$2:$B$34),"No encontrado")</f>
        <v>No encontrado</v>
      </c>
      <c r="AN143" s="88" t="str" cm="1">
        <f t="array" ref="AN143">IFERROR(_xlfn.XLOOKUP(TRUE,COUNTIF(Tabla[[#This Row],[Etiquetas]:[Etiquetas17]],Categorías!$A$2:$A$12)&gt;0,Categorías!$A$2:$A$12),"No encontrado")</f>
        <v>Look&amp;Feel</v>
      </c>
      <c r="AO143" s="87" t="str" cm="1">
        <f t="array" ref="AO143">IFERROR(INDEX(Funcionalidades!$A$2:$A$80,MATCH(TRUE, COUNTIF(Reporte_Gral!R143:Z143,Funcionalidades!$A$2:$A$80)&gt;0,0)),"No encontrado")</f>
        <v>Main-Dashboard</v>
      </c>
      <c r="AP143" s="87" t="str">
        <f>IF(AND(COUNTIF(Tabla[[#This Row],[Etiquetas]:[Etiquetas17]],"*UAT_V*")&gt;0,COUNTIF(Tabla[[#This Row],[Etiquetas]:[Etiquetas17]],"*QA-Integración*")=0),"SI","")</f>
        <v>SI</v>
      </c>
      <c r="AQ143" s="88" t="str" cm="1">
        <f t="array" ref="AQ143">IF(Tabla[[#This Row],[Fue encontrado durante UAT?]]="SI",IFERROR(_xlfn.XLOOKUP(TRUE,ISNUMBER(SEARCH("UAT_V",Tabla[[#This Row],[Etiquetas]:[Etiquetas17]])),Tabla[[#This Row],[Etiquetas]:[Etiquetas17]]),""),"")</f>
        <v>UAT_V0.12</v>
      </c>
      <c r="AR143" s="87" t="str">
        <f>IF(COUNTIF(Tabla[[#This Row],[Etiquetas]:[Etiquetas17]],"*Devuelto*")&gt;0,"SI","")</f>
        <v/>
      </c>
      <c r="AS143" s="167">
        <f>COUNTIF(Tabla[[#This Row],[Etiquetas]:[Etiquetas17]],"*Devuelto*")</f>
        <v>0</v>
      </c>
    </row>
    <row r="144" spans="1:45" ht="15" customHeight="1">
      <c r="A144" s="40" t="s">
        <v>128</v>
      </c>
      <c r="B144" s="40" t="s">
        <v>509</v>
      </c>
      <c r="C144" s="40">
        <v>111783</v>
      </c>
      <c r="D144" s="40" t="s">
        <v>510</v>
      </c>
      <c r="E144" s="40" t="s">
        <v>41</v>
      </c>
      <c r="F144" s="40" t="s">
        <v>26</v>
      </c>
      <c r="G144" s="40" t="s">
        <v>307</v>
      </c>
      <c r="H144" s="40" t="s">
        <v>224</v>
      </c>
      <c r="I144" s="40" t="s">
        <v>151</v>
      </c>
      <c r="J144" s="40"/>
      <c r="K144" s="40"/>
      <c r="L144" s="40"/>
      <c r="M144" s="40"/>
      <c r="N144" s="40"/>
      <c r="O144" s="40"/>
      <c r="P144" s="40"/>
      <c r="Q144" s="40"/>
      <c r="R144" s="40" t="s">
        <v>139</v>
      </c>
      <c r="S144" s="40" t="s">
        <v>371</v>
      </c>
      <c r="T144" s="40" t="s">
        <v>225</v>
      </c>
      <c r="U144" s="40" t="s">
        <v>188</v>
      </c>
      <c r="V144" s="40" t="s">
        <v>31</v>
      </c>
      <c r="W144" s="40"/>
      <c r="X144" s="40"/>
      <c r="Y144" s="40"/>
      <c r="Z144" s="40"/>
      <c r="AA144" s="40" t="s">
        <v>324</v>
      </c>
      <c r="AB144" s="53">
        <v>45979.220138888886</v>
      </c>
      <c r="AC144" s="40" t="s">
        <v>511</v>
      </c>
      <c r="AD144" s="40"/>
      <c r="AE144" s="40"/>
      <c r="AF144" s="40"/>
      <c r="AG144" s="40" t="s">
        <v>135</v>
      </c>
      <c r="AH144" s="84"/>
      <c r="AI144" s="87"/>
      <c r="AJ144" s="87" cm="1">
        <f t="array" ref="AJ144">IFERROR(_xlfn.XLOOKUP(TRUE,COUNTIF(Tabla[[#This Row],[Etiquetas]:[Etiquetas17]],Versiones!$G$2:$G$36)&gt;0,Versiones!$B$2:$B$36), "")</f>
        <v>23</v>
      </c>
      <c r="AK144" s="87" t="str" cm="1">
        <f t="array" ref="AK144">IFERROR(_xlfn.XLOOKUP(TRUE,COUNTIF(Tabla[[#This Row],[Etiquetas]:[Etiquetas17]],Versiones!$G$2:$G$36)&gt;0,Versiones!$A$2:$A$36), "")</f>
        <v>V0.12</v>
      </c>
      <c r="AL14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144" s="78">
        <f>IFERROR(_xlfn.XLOOKUP(Tabla[[#This Row],[¿En qué versión fue corregido?]],Versiones!$A$2:$A$34,Versiones!$B$2:$B$34),"No encontrado")</f>
        <v>23</v>
      </c>
      <c r="AN144" s="88" t="str" cm="1">
        <f t="array" ref="AN144">IFERROR(_xlfn.XLOOKUP(TRUE,COUNTIF(Tabla[[#This Row],[Etiquetas]:[Etiquetas17]],Categorías!$A$2:$A$12)&gt;0,Categorías!$A$2:$A$12),"No encontrado")</f>
        <v>Funcional</v>
      </c>
      <c r="AO144" s="87" t="str" cm="1">
        <f t="array" ref="AO144">IFERROR(INDEX(Funcionalidades!$A$2:$A$80,MATCH(TRUE, COUNTIF(Reporte_Gral!R144:Z144,Funcionalidades!$A$2:$A$80)&gt;0,0)),"No encontrado")</f>
        <v>Pago-Con-Tarjeta</v>
      </c>
      <c r="AP144" s="87" t="str">
        <f>IF(AND(COUNTIF(Tabla[[#This Row],[Etiquetas]:[Etiquetas17]],"*UAT_V*")&gt;0,COUNTIF(Tabla[[#This Row],[Etiquetas]:[Etiquetas17]],"*QA-Integración*")=0),"SI","")</f>
        <v>SI</v>
      </c>
      <c r="AQ144" s="88" t="str" cm="1">
        <f t="array" ref="AQ144">IF(Tabla[[#This Row],[Fue encontrado durante UAT?]]="SI",IFERROR(_xlfn.XLOOKUP(TRUE,ISNUMBER(SEARCH("UAT_V",Tabla[[#This Row],[Etiquetas]:[Etiquetas17]])),Tabla[[#This Row],[Etiquetas]:[Etiquetas17]]),""),"")</f>
        <v>UAT_V0.12</v>
      </c>
      <c r="AR144" s="87" t="str">
        <f>IF(COUNTIF(Tabla[[#This Row],[Etiquetas]:[Etiquetas17]],"*Devuelto*")&gt;0,"SI","")</f>
        <v/>
      </c>
      <c r="AS144" s="167">
        <f>COUNTIF(Tabla[[#This Row],[Etiquetas]:[Etiquetas17]],"*Devuelto*")</f>
        <v>0</v>
      </c>
    </row>
    <row r="145" spans="1:45" ht="15" customHeight="1">
      <c r="A145" s="40" t="s">
        <v>128</v>
      </c>
      <c r="B145" s="40" t="s">
        <v>512</v>
      </c>
      <c r="C145" s="40">
        <v>111782</v>
      </c>
      <c r="D145" s="40" t="s">
        <v>513</v>
      </c>
      <c r="E145" s="40" t="s">
        <v>41</v>
      </c>
      <c r="F145" s="40" t="s">
        <v>26</v>
      </c>
      <c r="G145" s="40" t="s">
        <v>307</v>
      </c>
      <c r="H145" s="40" t="s">
        <v>224</v>
      </c>
      <c r="I145" s="40" t="s">
        <v>151</v>
      </c>
      <c r="J145" s="40"/>
      <c r="K145" s="40"/>
      <c r="L145" s="40"/>
      <c r="M145" s="40"/>
      <c r="N145" s="40"/>
      <c r="O145" s="40"/>
      <c r="P145" s="40"/>
      <c r="Q145" s="40"/>
      <c r="R145" s="40" t="s">
        <v>139</v>
      </c>
      <c r="S145" s="40" t="s">
        <v>371</v>
      </c>
      <c r="T145" s="40" t="s">
        <v>225</v>
      </c>
      <c r="U145" s="40" t="s">
        <v>226</v>
      </c>
      <c r="V145" s="40" t="s">
        <v>154</v>
      </c>
      <c r="W145" s="40" t="s">
        <v>188</v>
      </c>
      <c r="X145" s="40" t="s">
        <v>31</v>
      </c>
      <c r="Y145" s="40"/>
      <c r="Z145" s="40"/>
      <c r="AA145" s="40" t="s">
        <v>324</v>
      </c>
      <c r="AB145" s="53">
        <v>45979.220138888886</v>
      </c>
      <c r="AC145" s="40" t="s">
        <v>329</v>
      </c>
      <c r="AD145" s="40"/>
      <c r="AE145" s="40"/>
      <c r="AF145" s="40"/>
      <c r="AG145" s="40" t="s">
        <v>135</v>
      </c>
      <c r="AH145" s="84"/>
      <c r="AI145" s="87"/>
      <c r="AJ145" s="87" cm="1">
        <f t="array" ref="AJ145">IFERROR(_xlfn.XLOOKUP(TRUE,COUNTIF(Tabla[[#This Row],[Etiquetas]:[Etiquetas17]],Versiones!$G$2:$G$36)&gt;0,Versiones!$B$2:$B$36), "")</f>
        <v>23</v>
      </c>
      <c r="AK145" s="87" t="str" cm="1">
        <f t="array" ref="AK145">IFERROR(_xlfn.XLOOKUP(TRUE,COUNTIF(Tabla[[#This Row],[Etiquetas]:[Etiquetas17]],Versiones!$G$2:$G$36)&gt;0,Versiones!$A$2:$A$36), "")</f>
        <v>V0.12</v>
      </c>
      <c r="AL14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45" s="78">
        <f>IFERROR(_xlfn.XLOOKUP(Tabla[[#This Row],[¿En qué versión fue corregido?]],Versiones!$A$2:$A$34,Versiones!$B$2:$B$34),"No encontrado")</f>
        <v>24</v>
      </c>
      <c r="AN145" s="88" t="str" cm="1">
        <f t="array" ref="AN145">IFERROR(_xlfn.XLOOKUP(TRUE,COUNTIF(Tabla[[#This Row],[Etiquetas]:[Etiquetas17]],Categorías!$A$2:$A$12)&gt;0,Categorías!$A$2:$A$12),"No encontrado")</f>
        <v>Funcional</v>
      </c>
      <c r="AO145" s="87" t="str" cm="1">
        <f t="array" ref="AO145">IFERROR(INDEX(Funcionalidades!$A$2:$A$80,MATCH(TRUE, COUNTIF(Reporte_Gral!R145:Z145,Funcionalidades!$A$2:$A$80)&gt;0,0)),"No encontrado")</f>
        <v>Pago-Con-Tarjeta</v>
      </c>
      <c r="AP145" s="87" t="str">
        <f>IF(AND(COUNTIF(Tabla[[#This Row],[Etiquetas]:[Etiquetas17]],"*UAT_V*")&gt;0,COUNTIF(Tabla[[#This Row],[Etiquetas]:[Etiquetas17]],"*QA-Integración*")=0),"SI","")</f>
        <v>SI</v>
      </c>
      <c r="AQ145" s="88" t="str" cm="1">
        <f t="array" ref="AQ145">IF(Tabla[[#This Row],[Fue encontrado durante UAT?]]="SI",IFERROR(_xlfn.XLOOKUP(TRUE,ISNUMBER(SEARCH("UAT_V",Tabla[[#This Row],[Etiquetas]:[Etiquetas17]])),Tabla[[#This Row],[Etiquetas]:[Etiquetas17]]),""),"")</f>
        <v>UAT_V0.12</v>
      </c>
      <c r="AR145" s="87" t="str">
        <f>IF(COUNTIF(Tabla[[#This Row],[Etiquetas]:[Etiquetas17]],"*Devuelto*")&gt;0,"SI","")</f>
        <v/>
      </c>
      <c r="AS145" s="167">
        <f>COUNTIF(Tabla[[#This Row],[Etiquetas]:[Etiquetas17]],"*Devuelto*")</f>
        <v>0</v>
      </c>
    </row>
    <row r="146" spans="1:45" ht="15" customHeight="1">
      <c r="A146" s="40" t="s">
        <v>128</v>
      </c>
      <c r="B146" s="40" t="s">
        <v>514</v>
      </c>
      <c r="C146" s="40">
        <v>111781</v>
      </c>
      <c r="D146" s="40" t="s">
        <v>515</v>
      </c>
      <c r="E146" s="40" t="s">
        <v>40</v>
      </c>
      <c r="F146" s="40" t="s">
        <v>26</v>
      </c>
      <c r="G146" s="40" t="s">
        <v>307</v>
      </c>
      <c r="H146" s="40" t="s">
        <v>224</v>
      </c>
      <c r="I146" s="40" t="s">
        <v>151</v>
      </c>
      <c r="J146" s="40"/>
      <c r="K146" s="40"/>
      <c r="L146" s="40"/>
      <c r="M146" s="40"/>
      <c r="N146" s="40"/>
      <c r="O146" s="40"/>
      <c r="P146" s="40"/>
      <c r="Q146" s="40"/>
      <c r="R146" s="40" t="s">
        <v>243</v>
      </c>
      <c r="S146" s="40" t="s">
        <v>139</v>
      </c>
      <c r="T146" s="40" t="s">
        <v>516</v>
      </c>
      <c r="U146" s="40" t="s">
        <v>226</v>
      </c>
      <c r="V146" s="40" t="s">
        <v>154</v>
      </c>
      <c r="W146" s="40" t="s">
        <v>188</v>
      </c>
      <c r="X146" s="40" t="s">
        <v>31</v>
      </c>
      <c r="Y146" s="40"/>
      <c r="Z146" s="40"/>
      <c r="AA146" s="40" t="s">
        <v>324</v>
      </c>
      <c r="AB146" s="53">
        <v>45979.21875</v>
      </c>
      <c r="AC146" s="40" t="s">
        <v>329</v>
      </c>
      <c r="AD146" s="40"/>
      <c r="AE146" s="40"/>
      <c r="AF146" s="40"/>
      <c r="AG146" s="40" t="s">
        <v>135</v>
      </c>
      <c r="AH146" s="84"/>
      <c r="AI146" s="87"/>
      <c r="AJ146" s="87" cm="1">
        <f t="array" ref="AJ146">IFERROR(_xlfn.XLOOKUP(TRUE,COUNTIF(Tabla[[#This Row],[Etiquetas]:[Etiquetas17]],Versiones!$G$2:$G$36)&gt;0,Versiones!$B$2:$B$36), "")</f>
        <v>23</v>
      </c>
      <c r="AK146" s="87" t="str" cm="1">
        <f t="array" ref="AK146">IFERROR(_xlfn.XLOOKUP(TRUE,COUNTIF(Tabla[[#This Row],[Etiquetas]:[Etiquetas17]],Versiones!$G$2:$G$36)&gt;0,Versiones!$A$2:$A$36), "")</f>
        <v>V0.12</v>
      </c>
      <c r="AL14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46" s="78">
        <f>IFERROR(_xlfn.XLOOKUP(Tabla[[#This Row],[¿En qué versión fue corregido?]],Versiones!$A$2:$A$34,Versiones!$B$2:$B$34),"No encontrado")</f>
        <v>24</v>
      </c>
      <c r="AN146" s="88" t="str" cm="1">
        <f t="array" ref="AN146">IFERROR(_xlfn.XLOOKUP(TRUE,COUNTIF(Tabla[[#This Row],[Etiquetas]:[Etiquetas17]],Categorías!$A$2:$A$12)&gt;0,Categorías!$A$2:$A$12),"No encontrado")</f>
        <v>Funcional</v>
      </c>
      <c r="AO146" s="87" t="str" cm="1">
        <f t="array" ref="AO146">IFERROR(INDEX(Funcionalidades!$A$2:$A$80,MATCH(TRUE, COUNTIF(Reporte_Gral!R146:Z146,Funcionalidades!$A$2:$A$80)&gt;0,0)),"No encontrado")</f>
        <v>Bugs-En-Inputs</v>
      </c>
      <c r="AP146" s="87" t="str">
        <f>IF(AND(COUNTIF(Tabla[[#This Row],[Etiquetas]:[Etiquetas17]],"*UAT_V*")&gt;0,COUNTIF(Tabla[[#This Row],[Etiquetas]:[Etiquetas17]],"*QA-Integración*")=0),"SI","")</f>
        <v>SI</v>
      </c>
      <c r="AQ146" s="88" t="str" cm="1">
        <f t="array" ref="AQ146">IF(Tabla[[#This Row],[Fue encontrado durante UAT?]]="SI",IFERROR(_xlfn.XLOOKUP(TRUE,ISNUMBER(SEARCH("UAT_V",Tabla[[#This Row],[Etiquetas]:[Etiquetas17]])),Tabla[[#This Row],[Etiquetas]:[Etiquetas17]]),""),"")</f>
        <v>UAT_V0.12</v>
      </c>
      <c r="AR146" s="87" t="str">
        <f>IF(COUNTIF(Tabla[[#This Row],[Etiquetas]:[Etiquetas17]],"*Devuelto*")&gt;0,"SI","")</f>
        <v/>
      </c>
      <c r="AS146" s="167">
        <f>COUNTIF(Tabla[[#This Row],[Etiquetas]:[Etiquetas17]],"*Devuelto*")</f>
        <v>0</v>
      </c>
    </row>
    <row r="147" spans="1:45" ht="15" customHeight="1">
      <c r="A147" s="40" t="s">
        <v>128</v>
      </c>
      <c r="B147" s="40" t="s">
        <v>517</v>
      </c>
      <c r="C147" s="40">
        <v>111394</v>
      </c>
      <c r="D147" s="40" t="s">
        <v>518</v>
      </c>
      <c r="E147" s="40" t="s">
        <v>41</v>
      </c>
      <c r="F147" s="40" t="s">
        <v>26</v>
      </c>
      <c r="G147" s="40" t="s">
        <v>429</v>
      </c>
      <c r="H147" s="40" t="s">
        <v>307</v>
      </c>
      <c r="I147" s="40" t="s">
        <v>224</v>
      </c>
      <c r="J147" s="40" t="s">
        <v>151</v>
      </c>
      <c r="K147" s="40"/>
      <c r="L147" s="40"/>
      <c r="M147" s="40"/>
      <c r="N147" s="40"/>
      <c r="O147" s="40"/>
      <c r="P147" s="40"/>
      <c r="Q147" s="40"/>
      <c r="R147" s="40" t="s">
        <v>139</v>
      </c>
      <c r="S147" s="40" t="s">
        <v>432</v>
      </c>
      <c r="T147" s="40" t="s">
        <v>335</v>
      </c>
      <c r="U147" s="40"/>
      <c r="V147" s="40"/>
      <c r="W147" s="40"/>
      <c r="X147" s="40"/>
      <c r="Y147" s="40"/>
      <c r="Z147" s="40"/>
      <c r="AA147" s="40" t="s">
        <v>217</v>
      </c>
      <c r="AB147" s="53">
        <v>45975.628472222219</v>
      </c>
      <c r="AC147" s="40"/>
      <c r="AD147" s="40"/>
      <c r="AE147" s="40"/>
      <c r="AF147" s="40"/>
      <c r="AG147" s="40" t="s">
        <v>141</v>
      </c>
      <c r="AH147" s="84"/>
      <c r="AI147" s="87"/>
      <c r="AJ147" s="87" cm="1">
        <f t="array" ref="AJ147">IFERROR(_xlfn.XLOOKUP(TRUE,COUNTIF(Tabla[[#This Row],[Etiquetas]:[Etiquetas17]],Versiones!$G$2:$G$36)&gt;0,Versiones!$B$2:$B$36), "")</f>
        <v>23</v>
      </c>
      <c r="AK147" s="87" t="str" cm="1">
        <f t="array" ref="AK147">IFERROR(_xlfn.XLOOKUP(TRUE,COUNTIF(Tabla[[#This Row],[Etiquetas]:[Etiquetas17]],Versiones!$G$2:$G$36)&gt;0,Versiones!$A$2:$A$36), "")</f>
        <v>V0.12</v>
      </c>
      <c r="AL14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7" s="78" t="str">
        <f>IFERROR(_xlfn.XLOOKUP(Tabla[[#This Row],[¿En qué versión fue corregido?]],Versiones!$A$2:$A$34,Versiones!$B$2:$B$34),"No encontrado")</f>
        <v>No encontrado</v>
      </c>
      <c r="AN147" s="88" t="str" cm="1">
        <f t="array" ref="AN147">IFERROR(_xlfn.XLOOKUP(TRUE,COUNTIF(Tabla[[#This Row],[Etiquetas]:[Etiquetas17]],Categorías!$A$2:$A$12)&gt;0,Categorías!$A$2:$A$12),"No encontrado")</f>
        <v>Funcional</v>
      </c>
      <c r="AO147" s="87" t="str" cm="1">
        <f t="array" ref="AO147">IFERROR(INDEX(Funcionalidades!$A$2:$A$80,MATCH(TRUE, COUNTIF(Reporte_Gral!R147:Z147,Funcionalidades!$A$2:$A$80)&gt;0,0)),"No encontrado")</f>
        <v>Realizar-Inventario</v>
      </c>
      <c r="AP147" s="87" t="str">
        <f>IF(AND(COUNTIF(Tabla[[#This Row],[Etiquetas]:[Etiquetas17]],"*UAT_V*")&gt;0,COUNTIF(Tabla[[#This Row],[Etiquetas]:[Etiquetas17]],"*QA-Integración*")=0),"SI","")</f>
        <v/>
      </c>
      <c r="AQ147" s="88" t="str" cm="1">
        <f t="array" ref="AQ147">IF(Tabla[[#This Row],[Fue encontrado durante UAT?]]="SI",IFERROR(_xlfn.XLOOKUP(TRUE,ISNUMBER(SEARCH("UAT_V",Tabla[[#This Row],[Etiquetas]:[Etiquetas17]])),Tabla[[#This Row],[Etiquetas]:[Etiquetas17]]),""),"")</f>
        <v/>
      </c>
      <c r="AR147" s="87" t="str">
        <f>IF(COUNTIF(Tabla[[#This Row],[Etiquetas]:[Etiquetas17]],"*Devuelto*")&gt;0,"SI","")</f>
        <v/>
      </c>
      <c r="AS147" s="167">
        <f>COUNTIF(Tabla[[#This Row],[Etiquetas]:[Etiquetas17]],"*Devuelto*")</f>
        <v>0</v>
      </c>
    </row>
    <row r="148" spans="1:45" ht="15" customHeight="1">
      <c r="A148" s="40" t="s">
        <v>128</v>
      </c>
      <c r="B148" s="40" t="s">
        <v>519</v>
      </c>
      <c r="C148" s="40">
        <v>111365</v>
      </c>
      <c r="D148" s="40" t="s">
        <v>520</v>
      </c>
      <c r="E148" s="40" t="s">
        <v>36</v>
      </c>
      <c r="F148" s="40" t="s">
        <v>26</v>
      </c>
      <c r="G148" s="40" t="s">
        <v>429</v>
      </c>
      <c r="H148" s="40" t="s">
        <v>307</v>
      </c>
      <c r="I148" s="40" t="s">
        <v>224</v>
      </c>
      <c r="J148" s="40" t="s">
        <v>151</v>
      </c>
      <c r="K148" s="40"/>
      <c r="L148" s="40"/>
      <c r="M148" s="40"/>
      <c r="N148" s="40"/>
      <c r="O148" s="40"/>
      <c r="P148" s="40"/>
      <c r="Q148" s="40"/>
      <c r="R148" s="40" t="s">
        <v>139</v>
      </c>
      <c r="S148" s="40" t="s">
        <v>432</v>
      </c>
      <c r="T148" s="40" t="s">
        <v>148</v>
      </c>
      <c r="U148" s="40" t="s">
        <v>204</v>
      </c>
      <c r="V148" s="40" t="s">
        <v>154</v>
      </c>
      <c r="W148" s="40" t="s">
        <v>188</v>
      </c>
      <c r="X148" s="40"/>
      <c r="Y148" s="40"/>
      <c r="Z148" s="40"/>
      <c r="AA148" s="40" t="s">
        <v>217</v>
      </c>
      <c r="AB148" s="53">
        <v>45975.581944444442</v>
      </c>
      <c r="AC148" s="40" t="s">
        <v>329</v>
      </c>
      <c r="AD148" s="40"/>
      <c r="AE148" s="40"/>
      <c r="AF148" s="40"/>
      <c r="AG148" s="40" t="s">
        <v>141</v>
      </c>
      <c r="AH148" s="84"/>
      <c r="AI148" s="87"/>
      <c r="AJ148" s="87" cm="1">
        <f t="array" ref="AJ148">IFERROR(_xlfn.XLOOKUP(TRUE,COUNTIF(Tabla[[#This Row],[Etiquetas]:[Etiquetas17]],Versiones!$G$2:$G$36)&gt;0,Versiones!$B$2:$B$36), "")</f>
        <v>23</v>
      </c>
      <c r="AK148" s="87" t="str" cm="1">
        <f t="array" ref="AK148">IFERROR(_xlfn.XLOOKUP(TRUE,COUNTIF(Tabla[[#This Row],[Etiquetas]:[Etiquetas17]],Versiones!$G$2:$G$36)&gt;0,Versiones!$A$2:$A$36), "")</f>
        <v>V0.12</v>
      </c>
      <c r="AL14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48" s="78">
        <f>IFERROR(_xlfn.XLOOKUP(Tabla[[#This Row],[¿En qué versión fue corregido?]],Versiones!$A$2:$A$34,Versiones!$B$2:$B$34),"No encontrado")</f>
        <v>24</v>
      </c>
      <c r="AN148" s="88" t="str" cm="1">
        <f t="array" ref="AN148">IFERROR(_xlfn.XLOOKUP(TRUE,COUNTIF(Tabla[[#This Row],[Etiquetas]:[Etiquetas17]],Categorías!$A$2:$A$12)&gt;0,Categorías!$A$2:$A$12),"No encontrado")</f>
        <v>Funcional</v>
      </c>
      <c r="AO148" s="87" t="str" cm="1">
        <f t="array" ref="AO148">IFERROR(INDEX(Funcionalidades!$A$2:$A$80,MATCH(TRUE, COUNTIF(Reporte_Gral!R148:Z148,Funcionalidades!$A$2:$A$80)&gt;0,0)),"No encontrado")</f>
        <v>Recibir-Mercancía-Almacén-Tienda</v>
      </c>
      <c r="AP148" s="87" t="str">
        <f>IF(AND(COUNTIF(Tabla[[#This Row],[Etiquetas]:[Etiquetas17]],"*UAT_V*")&gt;0,COUNTIF(Tabla[[#This Row],[Etiquetas]:[Etiquetas17]],"*QA-Integración*")=0),"SI","")</f>
        <v/>
      </c>
      <c r="AQ148" s="88" t="str" cm="1">
        <f t="array" ref="AQ148">IF(Tabla[[#This Row],[Fue encontrado durante UAT?]]="SI",IFERROR(_xlfn.XLOOKUP(TRUE,ISNUMBER(SEARCH("UAT_V",Tabla[[#This Row],[Etiquetas]:[Etiquetas17]])),Tabla[[#This Row],[Etiquetas]:[Etiquetas17]]),""),"")</f>
        <v/>
      </c>
      <c r="AR148" s="87" t="str">
        <f>IF(COUNTIF(Tabla[[#This Row],[Etiquetas]:[Etiquetas17]],"*Devuelto*")&gt;0,"SI","")</f>
        <v/>
      </c>
      <c r="AS148" s="167">
        <f>COUNTIF(Tabla[[#This Row],[Etiquetas]:[Etiquetas17]],"*Devuelto*")</f>
        <v>0</v>
      </c>
    </row>
    <row r="149" spans="1:45" ht="15" customHeight="1">
      <c r="A149" s="40" t="s">
        <v>128</v>
      </c>
      <c r="B149" s="40" t="s">
        <v>521</v>
      </c>
      <c r="C149" s="40">
        <v>111346</v>
      </c>
      <c r="D149" s="40" t="s">
        <v>522</v>
      </c>
      <c r="E149" s="40" t="s">
        <v>36</v>
      </c>
      <c r="F149" s="40" t="s">
        <v>27</v>
      </c>
      <c r="G149" s="40" t="s">
        <v>429</v>
      </c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 t="s">
        <v>139</v>
      </c>
      <c r="S149" s="40" t="s">
        <v>432</v>
      </c>
      <c r="T149" s="40" t="s">
        <v>210</v>
      </c>
      <c r="U149" s="40" t="s">
        <v>194</v>
      </c>
      <c r="V149" s="40" t="s">
        <v>188</v>
      </c>
      <c r="W149" s="40"/>
      <c r="X149" s="40"/>
      <c r="Y149" s="40"/>
      <c r="Z149" s="40"/>
      <c r="AA149" s="40" t="s">
        <v>217</v>
      </c>
      <c r="AB149" s="53">
        <v>45975.554166666669</v>
      </c>
      <c r="AC149" s="40"/>
      <c r="AD149" s="40"/>
      <c r="AE149" s="40"/>
      <c r="AF149" s="40"/>
      <c r="AG149" s="40" t="s">
        <v>141</v>
      </c>
      <c r="AH149" s="84"/>
      <c r="AI149" s="87"/>
      <c r="AJ149" s="87" cm="1">
        <f t="array" ref="AJ149">IFERROR(_xlfn.XLOOKUP(TRUE,COUNTIF(Tabla[[#This Row],[Etiquetas]:[Etiquetas17]],Versiones!$G$2:$G$36)&gt;0,Versiones!$B$2:$B$36), "")</f>
        <v>23</v>
      </c>
      <c r="AK149" s="87" t="str" cm="1">
        <f t="array" ref="AK149">IFERROR(_xlfn.XLOOKUP(TRUE,COUNTIF(Tabla[[#This Row],[Etiquetas]:[Etiquetas17]],Versiones!$G$2:$G$36)&gt;0,Versiones!$A$2:$A$36), "")</f>
        <v>V0.12</v>
      </c>
      <c r="AL14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49" s="78" t="str">
        <f>IFERROR(_xlfn.XLOOKUP(Tabla[[#This Row],[¿En qué versión fue corregido?]],Versiones!$A$2:$A$34,Versiones!$B$2:$B$34),"No encontrado")</f>
        <v>No encontrado</v>
      </c>
      <c r="AN149" s="88" t="str" cm="1">
        <f t="array" ref="AN149">IFERROR(_xlfn.XLOOKUP(TRUE,COUNTIF(Tabla[[#This Row],[Etiquetas]:[Etiquetas17]],Categorías!$A$2:$A$12)&gt;0,Categorías!$A$2:$A$12),"No encontrado")</f>
        <v>Funcional</v>
      </c>
      <c r="AO149" s="87" t="str" cm="1">
        <f t="array" ref="AO149">IFERROR(INDEX(Funcionalidades!$A$2:$A$80,MATCH(TRUE, COUNTIF(Reporte_Gral!R149:Z149,Funcionalidades!$A$2:$A$80)&gt;0,0)),"No encontrado")</f>
        <v>Realizar-Transferencia</v>
      </c>
      <c r="AP149" s="87" t="str">
        <f>IF(AND(COUNTIF(Tabla[[#This Row],[Etiquetas]:[Etiquetas17]],"*UAT_V*")&gt;0,COUNTIF(Tabla[[#This Row],[Etiquetas]:[Etiquetas17]],"*QA-Integración*")=0),"SI","")</f>
        <v/>
      </c>
      <c r="AQ149" s="88" t="str" cm="1">
        <f t="array" ref="AQ149">IF(Tabla[[#This Row],[Fue encontrado durante UAT?]]="SI",IFERROR(_xlfn.XLOOKUP(TRUE,ISNUMBER(SEARCH("UAT_V",Tabla[[#This Row],[Etiquetas]:[Etiquetas17]])),Tabla[[#This Row],[Etiquetas]:[Etiquetas17]]),""),"")</f>
        <v/>
      </c>
      <c r="AR149" s="87" t="str">
        <f>IF(COUNTIF(Tabla[[#This Row],[Etiquetas]:[Etiquetas17]],"*Devuelto*")&gt;0,"SI","")</f>
        <v/>
      </c>
      <c r="AS149" s="167">
        <f>COUNTIF(Tabla[[#This Row],[Etiquetas]:[Etiquetas17]],"*Devuelto*")</f>
        <v>0</v>
      </c>
    </row>
    <row r="150" spans="1:45" ht="15" customHeight="1">
      <c r="A150" s="40" t="s">
        <v>128</v>
      </c>
      <c r="B150" s="40" t="s">
        <v>523</v>
      </c>
      <c r="C150" s="40">
        <v>111330</v>
      </c>
      <c r="D150" s="40" t="s">
        <v>524</v>
      </c>
      <c r="E150" s="40" t="s">
        <v>36</v>
      </c>
      <c r="F150" s="40" t="s">
        <v>26</v>
      </c>
      <c r="G150" s="40" t="s">
        <v>429</v>
      </c>
      <c r="H150" s="40" t="s">
        <v>307</v>
      </c>
      <c r="I150" s="40" t="s">
        <v>224</v>
      </c>
      <c r="J150" s="40" t="s">
        <v>151</v>
      </c>
      <c r="K150" s="40"/>
      <c r="L150" s="40"/>
      <c r="M150" s="40"/>
      <c r="N150" s="40"/>
      <c r="O150" s="40"/>
      <c r="P150" s="40"/>
      <c r="Q150" s="40"/>
      <c r="R150" s="40" t="s">
        <v>139</v>
      </c>
      <c r="S150" s="40" t="s">
        <v>237</v>
      </c>
      <c r="T150" s="40" t="s">
        <v>432</v>
      </c>
      <c r="U150" s="40" t="s">
        <v>204</v>
      </c>
      <c r="V150" s="40" t="s">
        <v>154</v>
      </c>
      <c r="W150" s="40"/>
      <c r="X150" s="40"/>
      <c r="Y150" s="40"/>
      <c r="Z150" s="40"/>
      <c r="AA150" s="40" t="s">
        <v>217</v>
      </c>
      <c r="AB150" s="53">
        <v>45975.539583333331</v>
      </c>
      <c r="AC150" s="40" t="s">
        <v>329</v>
      </c>
      <c r="AD150" s="40"/>
      <c r="AE150" s="40"/>
      <c r="AF150" s="40"/>
      <c r="AG150" s="40" t="s">
        <v>141</v>
      </c>
      <c r="AH150" s="84"/>
      <c r="AI150" s="87"/>
      <c r="AJ150" s="87" cm="1">
        <f t="array" ref="AJ150">IFERROR(_xlfn.XLOOKUP(TRUE,COUNTIF(Tabla[[#This Row],[Etiquetas]:[Etiquetas17]],Versiones!$G$2:$G$36)&gt;0,Versiones!$B$2:$B$36), "")</f>
        <v>23</v>
      </c>
      <c r="AK150" s="87" t="str" cm="1">
        <f t="array" ref="AK150">IFERROR(_xlfn.XLOOKUP(TRUE,COUNTIF(Tabla[[#This Row],[Etiquetas]:[Etiquetas17]],Versiones!$G$2:$G$36)&gt;0,Versiones!$A$2:$A$36), "")</f>
        <v>V0.12</v>
      </c>
      <c r="AL15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50" s="78">
        <f>IFERROR(_xlfn.XLOOKUP(Tabla[[#This Row],[¿En qué versión fue corregido?]],Versiones!$A$2:$A$34,Versiones!$B$2:$B$34),"No encontrado")</f>
        <v>24</v>
      </c>
      <c r="AN150" s="88" t="str" cm="1">
        <f t="array" ref="AN150">IFERROR(_xlfn.XLOOKUP(TRUE,COUNTIF(Tabla[[#This Row],[Etiquetas]:[Etiquetas17]],Categorías!$A$2:$A$12)&gt;0,Categorías!$A$2:$A$12),"No encontrado")</f>
        <v>Funcional</v>
      </c>
      <c r="AO150" s="87" t="str" cm="1">
        <f t="array" ref="AO150">IFERROR(INDEX(Funcionalidades!$A$2:$A$80,MATCH(TRUE, COUNTIF(Reporte_Gral!R150:Z150,Funcionalidades!$A$2:$A$80)&gt;0,0)),"No encontrado")</f>
        <v>Main-Dashboard</v>
      </c>
      <c r="AP150" s="87" t="str">
        <f>IF(AND(COUNTIF(Tabla[[#This Row],[Etiquetas]:[Etiquetas17]],"*UAT_V*")&gt;0,COUNTIF(Tabla[[#This Row],[Etiquetas]:[Etiquetas17]],"*QA-Integración*")=0),"SI","")</f>
        <v/>
      </c>
      <c r="AQ150" s="88" t="str" cm="1">
        <f t="array" ref="AQ150">IF(Tabla[[#This Row],[Fue encontrado durante UAT?]]="SI",IFERROR(_xlfn.XLOOKUP(TRUE,ISNUMBER(SEARCH("UAT_V",Tabla[[#This Row],[Etiquetas]:[Etiquetas17]])),Tabla[[#This Row],[Etiquetas]:[Etiquetas17]]),""),"")</f>
        <v/>
      </c>
      <c r="AR150" s="87" t="str">
        <f>IF(COUNTIF(Tabla[[#This Row],[Etiquetas]:[Etiquetas17]],"*Devuelto*")&gt;0,"SI","")</f>
        <v/>
      </c>
      <c r="AS150" s="167">
        <f>COUNTIF(Tabla[[#This Row],[Etiquetas]:[Etiquetas17]],"*Devuelto*")</f>
        <v>0</v>
      </c>
    </row>
    <row r="151" spans="1:45" ht="15" customHeight="1">
      <c r="A151" s="40" t="s">
        <v>128</v>
      </c>
      <c r="B151" s="40" t="s">
        <v>525</v>
      </c>
      <c r="C151" s="40">
        <v>111324</v>
      </c>
      <c r="D151" s="40" t="s">
        <v>526</v>
      </c>
      <c r="E151" s="40" t="s">
        <v>36</v>
      </c>
      <c r="F151" s="40" t="s">
        <v>24</v>
      </c>
      <c r="G151" s="40" t="s">
        <v>429</v>
      </c>
      <c r="H151" s="40" t="s">
        <v>224</v>
      </c>
      <c r="I151" s="40" t="s">
        <v>151</v>
      </c>
      <c r="J151" s="40"/>
      <c r="K151" s="40"/>
      <c r="L151" s="40"/>
      <c r="M151" s="40"/>
      <c r="N151" s="40"/>
      <c r="O151" s="40"/>
      <c r="P151" s="40"/>
      <c r="Q151" s="40"/>
      <c r="R151" s="40" t="s">
        <v>139</v>
      </c>
      <c r="S151" s="40" t="s">
        <v>432</v>
      </c>
      <c r="T151" s="40" t="s">
        <v>148</v>
      </c>
      <c r="U151" s="40" t="s">
        <v>204</v>
      </c>
      <c r="V151" s="40" t="s">
        <v>154</v>
      </c>
      <c r="W151" s="40" t="s">
        <v>188</v>
      </c>
      <c r="X151" s="40"/>
      <c r="Y151" s="40"/>
      <c r="Z151" s="40"/>
      <c r="AA151" s="40" t="s">
        <v>134</v>
      </c>
      <c r="AB151" s="53">
        <v>45975.535416666666</v>
      </c>
      <c r="AC151" s="40" t="s">
        <v>511</v>
      </c>
      <c r="AD151" s="40"/>
      <c r="AE151" s="40"/>
      <c r="AF151" s="40"/>
      <c r="AG151" s="40" t="s">
        <v>141</v>
      </c>
      <c r="AH151" s="84"/>
      <c r="AI151" s="87"/>
      <c r="AJ151" s="87" cm="1">
        <f t="array" ref="AJ151">IFERROR(_xlfn.XLOOKUP(TRUE,COUNTIF(Tabla[[#This Row],[Etiquetas]:[Etiquetas17]],Versiones!$G$2:$G$36)&gt;0,Versiones!$B$2:$B$36), "")</f>
        <v>23</v>
      </c>
      <c r="AK151" s="87" t="str" cm="1">
        <f t="array" ref="AK151">IFERROR(_xlfn.XLOOKUP(TRUE,COUNTIF(Tabla[[#This Row],[Etiquetas]:[Etiquetas17]],Versiones!$G$2:$G$36)&gt;0,Versiones!$A$2:$A$36), "")</f>
        <v>V0.12</v>
      </c>
      <c r="AL15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151" s="78">
        <f>IFERROR(_xlfn.XLOOKUP(Tabla[[#This Row],[¿En qué versión fue corregido?]],Versiones!$A$2:$A$34,Versiones!$B$2:$B$34),"No encontrado")</f>
        <v>23</v>
      </c>
      <c r="AN151" s="88" t="str" cm="1">
        <f t="array" ref="AN151">IFERROR(_xlfn.XLOOKUP(TRUE,COUNTIF(Tabla[[#This Row],[Etiquetas]:[Etiquetas17]],Categorías!$A$2:$A$12)&gt;0,Categorías!$A$2:$A$12),"No encontrado")</f>
        <v>Funcional</v>
      </c>
      <c r="AO151" s="87" t="str" cm="1">
        <f t="array" ref="AO151">IFERROR(INDEX(Funcionalidades!$A$2:$A$80,MATCH(TRUE, COUNTIF(Reporte_Gral!R151:Z151,Funcionalidades!$A$2:$A$80)&gt;0,0)),"No encontrado")</f>
        <v>Recibir-Mercancía-Almacén-Tienda</v>
      </c>
      <c r="AP151" s="87" t="str">
        <f>IF(AND(COUNTIF(Tabla[[#This Row],[Etiquetas]:[Etiquetas17]],"*UAT_V*")&gt;0,COUNTIF(Tabla[[#This Row],[Etiquetas]:[Etiquetas17]],"*QA-Integración*")=0),"SI","")</f>
        <v/>
      </c>
      <c r="AQ151" s="88" t="str" cm="1">
        <f t="array" ref="AQ151">IF(Tabla[[#This Row],[Fue encontrado durante UAT?]]="SI",IFERROR(_xlfn.XLOOKUP(TRUE,ISNUMBER(SEARCH("UAT_V",Tabla[[#This Row],[Etiquetas]:[Etiquetas17]])),Tabla[[#This Row],[Etiquetas]:[Etiquetas17]]),""),"")</f>
        <v/>
      </c>
      <c r="AR151" s="87" t="str">
        <f>IF(COUNTIF(Tabla[[#This Row],[Etiquetas]:[Etiquetas17]],"*Devuelto*")&gt;0,"SI","")</f>
        <v/>
      </c>
      <c r="AS151" s="167">
        <f>COUNTIF(Tabla[[#This Row],[Etiquetas]:[Etiquetas17]],"*Devuelto*")</f>
        <v>0</v>
      </c>
    </row>
    <row r="152" spans="1:45" ht="15" customHeight="1">
      <c r="A152" s="40" t="s">
        <v>128</v>
      </c>
      <c r="B152" s="40" t="s">
        <v>527</v>
      </c>
      <c r="C152" s="40">
        <v>111233</v>
      </c>
      <c r="D152" s="40" t="s">
        <v>528</v>
      </c>
      <c r="E152" s="40" t="s">
        <v>37</v>
      </c>
      <c r="F152" s="40" t="s">
        <v>26</v>
      </c>
      <c r="G152" s="40" t="s">
        <v>429</v>
      </c>
      <c r="H152" s="40" t="s">
        <v>224</v>
      </c>
      <c r="I152" s="40" t="s">
        <v>151</v>
      </c>
      <c r="J152" s="40"/>
      <c r="K152" s="40"/>
      <c r="L152" s="40"/>
      <c r="M152" s="40"/>
      <c r="N152" s="40"/>
      <c r="O152" s="40"/>
      <c r="P152" s="40"/>
      <c r="Q152" s="40"/>
      <c r="R152" s="40" t="s">
        <v>371</v>
      </c>
      <c r="S152" s="40" t="s">
        <v>132</v>
      </c>
      <c r="T152" s="40" t="s">
        <v>432</v>
      </c>
      <c r="U152" s="40" t="s">
        <v>335</v>
      </c>
      <c r="V152" s="40"/>
      <c r="W152" s="40"/>
      <c r="X152" s="40"/>
      <c r="Y152" s="40"/>
      <c r="Z152" s="40"/>
      <c r="AA152" s="40" t="s">
        <v>217</v>
      </c>
      <c r="AB152" s="53">
        <v>45975.402777777781</v>
      </c>
      <c r="AC152" s="40" t="s">
        <v>174</v>
      </c>
      <c r="AD152" s="40"/>
      <c r="AE152" s="40"/>
      <c r="AF152" s="40"/>
      <c r="AG152" s="40" t="s">
        <v>141</v>
      </c>
      <c r="AH152" s="84"/>
      <c r="AI152" s="87"/>
      <c r="AJ152" s="87" cm="1">
        <f t="array" ref="AJ152">IFERROR(_xlfn.XLOOKUP(TRUE,COUNTIF(Tabla[[#This Row],[Etiquetas]:[Etiquetas17]],Versiones!$G$2:$G$36)&gt;0,Versiones!$B$2:$B$36), "")</f>
        <v>23</v>
      </c>
      <c r="AK152" s="87" t="str" cm="1">
        <f t="array" ref="AK152">IFERROR(_xlfn.XLOOKUP(TRUE,COUNTIF(Tabla[[#This Row],[Etiquetas]:[Etiquetas17]],Versiones!$G$2:$G$36)&gt;0,Versiones!$A$2:$A$36), "")</f>
        <v>V0.12</v>
      </c>
      <c r="AL15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52" s="78">
        <f>IFERROR(_xlfn.XLOOKUP(Tabla[[#This Row],[¿En qué versión fue corregido?]],Versiones!$A$2:$A$34,Versiones!$B$2:$B$34),"No encontrado")</f>
        <v>25</v>
      </c>
      <c r="AN152" s="88" t="str" cm="1">
        <f t="array" ref="AN152">IFERROR(_xlfn.XLOOKUP(TRUE,COUNTIF(Tabla[[#This Row],[Etiquetas]:[Etiquetas17]],Categorías!$A$2:$A$12)&gt;0,Categorías!$A$2:$A$12),"No encontrado")</f>
        <v>Look&amp;Feel</v>
      </c>
      <c r="AO152" s="88" t="str" cm="1">
        <f t="array" ref="AO152">IFERROR(INDEX(Funcionalidades!$A$2:$A$80,MATCH(TRUE, COUNTIF(Reporte_Gral!R152:Z152,Funcionalidades!$A$2:$A$80)&gt;0,0)),"No encontrado")</f>
        <v>Realizar-Inventario</v>
      </c>
      <c r="AP152" s="87" t="str">
        <f>IF(AND(COUNTIF(Tabla[[#This Row],[Etiquetas]:[Etiquetas17]],"*UAT_V*")&gt;0,COUNTIF(Tabla[[#This Row],[Etiquetas]:[Etiquetas17]],"*QA-Integración*")=0),"SI","")</f>
        <v/>
      </c>
      <c r="AQ152" s="88" t="str" cm="1">
        <f t="array" ref="AQ152">IF(Tabla[[#This Row],[Fue encontrado durante UAT?]]="SI",IFERROR(_xlfn.XLOOKUP(TRUE,ISNUMBER(SEARCH("UAT_V",Tabla[[#This Row],[Etiquetas]:[Etiquetas17]])),Tabla[[#This Row],[Etiquetas]:[Etiquetas17]]),""),"")</f>
        <v/>
      </c>
      <c r="AR152" s="87" t="str">
        <f>IF(COUNTIF(Tabla[[#This Row],[Etiquetas]:[Etiquetas17]],"*Devuelto*")&gt;0,"SI","")</f>
        <v/>
      </c>
      <c r="AS152" s="167">
        <f>COUNTIF(Tabla[[#This Row],[Etiquetas]:[Etiquetas17]],"*Devuelto*")</f>
        <v>0</v>
      </c>
    </row>
    <row r="153" spans="1:45" ht="15" customHeight="1">
      <c r="A153" s="40" t="s">
        <v>128</v>
      </c>
      <c r="B153" s="40" t="s">
        <v>529</v>
      </c>
      <c r="C153" s="40">
        <v>111225</v>
      </c>
      <c r="D153" s="40" t="s">
        <v>530</v>
      </c>
      <c r="E153" s="40" t="s">
        <v>37</v>
      </c>
      <c r="F153" s="40" t="s">
        <v>26</v>
      </c>
      <c r="G153" s="40" t="s">
        <v>224</v>
      </c>
      <c r="H153" s="40" t="s">
        <v>151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 t="s">
        <v>371</v>
      </c>
      <c r="S153" s="40" t="s">
        <v>132</v>
      </c>
      <c r="T153" s="40" t="s">
        <v>432</v>
      </c>
      <c r="U153" s="40" t="s">
        <v>335</v>
      </c>
      <c r="V153" s="40" t="s">
        <v>204</v>
      </c>
      <c r="W153" s="40" t="s">
        <v>154</v>
      </c>
      <c r="X153" s="40"/>
      <c r="Y153" s="40"/>
      <c r="Z153" s="40"/>
      <c r="AA153" s="40" t="s">
        <v>217</v>
      </c>
      <c r="AB153" s="53">
        <v>45975.381249999999</v>
      </c>
      <c r="AC153" s="40" t="s">
        <v>174</v>
      </c>
      <c r="AD153" s="40"/>
      <c r="AE153" s="40"/>
      <c r="AF153" s="40"/>
      <c r="AG153" s="40" t="s">
        <v>141</v>
      </c>
      <c r="AH153" s="84"/>
      <c r="AI153" s="87"/>
      <c r="AJ153" s="87" cm="1">
        <f t="array" ref="AJ153">IFERROR(_xlfn.XLOOKUP(TRUE,COUNTIF(Tabla[[#This Row],[Etiquetas]:[Etiquetas17]],Versiones!$G$2:$G$36)&gt;0,Versiones!$B$2:$B$36), "")</f>
        <v>23</v>
      </c>
      <c r="AK153" s="87" t="str" cm="1">
        <f t="array" ref="AK153">IFERROR(_xlfn.XLOOKUP(TRUE,COUNTIF(Tabla[[#This Row],[Etiquetas]:[Etiquetas17]],Versiones!$G$2:$G$36)&gt;0,Versiones!$A$2:$A$36), "")</f>
        <v>V0.12</v>
      </c>
      <c r="AL15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53" s="78">
        <f>IFERROR(_xlfn.XLOOKUP(Tabla[[#This Row],[¿En qué versión fue corregido?]],Versiones!$A$2:$A$34,Versiones!$B$2:$B$34),"No encontrado")</f>
        <v>25</v>
      </c>
      <c r="AN153" s="88" t="str" cm="1">
        <f t="array" ref="AN153">IFERROR(_xlfn.XLOOKUP(TRUE,COUNTIF(Tabla[[#This Row],[Etiquetas]:[Etiquetas17]],Categorías!$A$2:$A$12)&gt;0,Categorías!$A$2:$A$12),"No encontrado")</f>
        <v>Look&amp;Feel</v>
      </c>
      <c r="AO153" s="87" t="str" cm="1">
        <f t="array" ref="AO153">IFERROR(INDEX(Funcionalidades!$A$2:$A$80,MATCH(TRUE, COUNTIF(Reporte_Gral!R153:Z153,Funcionalidades!$A$2:$A$80)&gt;0,0)),"No encontrado")</f>
        <v>Realizar-Inventario</v>
      </c>
      <c r="AP153" s="87" t="str">
        <f>IF(AND(COUNTIF(Tabla[[#This Row],[Etiquetas]:[Etiquetas17]],"*UAT_V*")&gt;0,COUNTIF(Tabla[[#This Row],[Etiquetas]:[Etiquetas17]],"*QA-Integración*")=0),"SI","")</f>
        <v/>
      </c>
      <c r="AQ153" s="88" t="str" cm="1">
        <f t="array" ref="AQ153">IF(Tabla[[#This Row],[Fue encontrado durante UAT?]]="SI",IFERROR(_xlfn.XLOOKUP(TRUE,ISNUMBER(SEARCH("UAT_V",Tabla[[#This Row],[Etiquetas]:[Etiquetas17]])),Tabla[[#This Row],[Etiquetas]:[Etiquetas17]]),""),"")</f>
        <v/>
      </c>
      <c r="AR153" s="87" t="str">
        <f>IF(COUNTIF(Tabla[[#This Row],[Etiquetas]:[Etiquetas17]],"*Devuelto*")&gt;0,"SI","")</f>
        <v/>
      </c>
      <c r="AS153" s="167">
        <f>COUNTIF(Tabla[[#This Row],[Etiquetas]:[Etiquetas17]],"*Devuelto*")</f>
        <v>0</v>
      </c>
    </row>
    <row r="154" spans="1:45" ht="15" customHeight="1">
      <c r="A154" s="40" t="s">
        <v>128</v>
      </c>
      <c r="B154" s="40" t="s">
        <v>531</v>
      </c>
      <c r="C154" s="40">
        <v>111201</v>
      </c>
      <c r="D154" s="40" t="s">
        <v>532</v>
      </c>
      <c r="E154" s="40" t="s">
        <v>37</v>
      </c>
      <c r="F154" s="40" t="s">
        <v>27</v>
      </c>
      <c r="G154" s="40" t="s">
        <v>429</v>
      </c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 t="s">
        <v>139</v>
      </c>
      <c r="S154" s="40" t="s">
        <v>432</v>
      </c>
      <c r="T154" s="40" t="s">
        <v>335</v>
      </c>
      <c r="U154" s="40"/>
      <c r="V154" s="40"/>
      <c r="W154" s="40"/>
      <c r="X154" s="40"/>
      <c r="Y154" s="40"/>
      <c r="Z154" s="40"/>
      <c r="AA154" s="40" t="s">
        <v>217</v>
      </c>
      <c r="AB154" s="53">
        <v>45975.336111111108</v>
      </c>
      <c r="AC154" s="40"/>
      <c r="AD154" s="40"/>
      <c r="AE154" s="40"/>
      <c r="AF154" s="40"/>
      <c r="AG154" s="40" t="s">
        <v>141</v>
      </c>
      <c r="AH154" s="84"/>
      <c r="AI154" s="87"/>
      <c r="AJ154" s="87" cm="1">
        <f t="array" ref="AJ154">IFERROR(_xlfn.XLOOKUP(TRUE,COUNTIF(Tabla[[#This Row],[Etiquetas]:[Etiquetas17]],Versiones!$G$2:$G$36)&gt;0,Versiones!$B$2:$B$36), "")</f>
        <v>23</v>
      </c>
      <c r="AK154" s="87" t="str" cm="1">
        <f t="array" ref="AK154">IFERROR(_xlfn.XLOOKUP(TRUE,COUNTIF(Tabla[[#This Row],[Etiquetas]:[Etiquetas17]],Versiones!$G$2:$G$36)&gt;0,Versiones!$A$2:$A$36), "")</f>
        <v>V0.12</v>
      </c>
      <c r="AL15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4" s="78" t="str">
        <f>IFERROR(_xlfn.XLOOKUP(Tabla[[#This Row],[¿En qué versión fue corregido?]],Versiones!$A$2:$A$34,Versiones!$B$2:$B$34),"No encontrado")</f>
        <v>No encontrado</v>
      </c>
      <c r="AN154" s="88" t="str" cm="1">
        <f t="array" ref="AN154">IFERROR(_xlfn.XLOOKUP(TRUE,COUNTIF(Tabla[[#This Row],[Etiquetas]:[Etiquetas17]],Categorías!$A$2:$A$12)&gt;0,Categorías!$A$2:$A$12),"No encontrado")</f>
        <v>Funcional</v>
      </c>
      <c r="AO154" s="88" t="str" cm="1">
        <f t="array" ref="AO154">IFERROR(INDEX(Funcionalidades!$A$2:$A$80,MATCH(TRUE, COUNTIF(Reporte_Gral!R154:Z154,Funcionalidades!$A$2:$A$80)&gt;0,0)),"No encontrado")</f>
        <v>Realizar-Inventario</v>
      </c>
      <c r="AP154" s="87" t="str">
        <f>IF(AND(COUNTIF(Tabla[[#This Row],[Etiquetas]:[Etiquetas17]],"*UAT_V*")&gt;0,COUNTIF(Tabla[[#This Row],[Etiquetas]:[Etiquetas17]],"*QA-Integración*")=0),"SI","")</f>
        <v/>
      </c>
      <c r="AQ154" s="88" t="str" cm="1">
        <f t="array" ref="AQ154">IF(Tabla[[#This Row],[Fue encontrado durante UAT?]]="SI",IFERROR(_xlfn.XLOOKUP(TRUE,ISNUMBER(SEARCH("UAT_V",Tabla[[#This Row],[Etiquetas]:[Etiquetas17]])),Tabla[[#This Row],[Etiquetas]:[Etiquetas17]]),""),"")</f>
        <v/>
      </c>
      <c r="AR154" s="87" t="str">
        <f>IF(COUNTIF(Tabla[[#This Row],[Etiquetas]:[Etiquetas17]],"*Devuelto*")&gt;0,"SI","")</f>
        <v/>
      </c>
      <c r="AS154" s="167">
        <f>COUNTIF(Tabla[[#This Row],[Etiquetas]:[Etiquetas17]],"*Devuelto*")</f>
        <v>0</v>
      </c>
    </row>
    <row r="155" spans="1:45" ht="15" customHeight="1">
      <c r="A155" s="40" t="s">
        <v>128</v>
      </c>
      <c r="B155" s="40" t="s">
        <v>533</v>
      </c>
      <c r="C155" s="40">
        <v>111137</v>
      </c>
      <c r="D155" s="40" t="s">
        <v>534</v>
      </c>
      <c r="E155" s="40" t="s">
        <v>36</v>
      </c>
      <c r="F155" s="40" t="s">
        <v>27</v>
      </c>
      <c r="G155" s="40" t="s">
        <v>224</v>
      </c>
      <c r="H155" s="40" t="s">
        <v>151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 t="s">
        <v>287</v>
      </c>
      <c r="S155" s="40" t="s">
        <v>415</v>
      </c>
      <c r="T155" s="40" t="s">
        <v>535</v>
      </c>
      <c r="U155" s="40" t="s">
        <v>432</v>
      </c>
      <c r="V155" s="40" t="s">
        <v>194</v>
      </c>
      <c r="W155" s="40" t="s">
        <v>226</v>
      </c>
      <c r="X155" s="40" t="s">
        <v>154</v>
      </c>
      <c r="Y155" s="40" t="s">
        <v>536</v>
      </c>
      <c r="Z155" s="40"/>
      <c r="AA155" s="40" t="s">
        <v>134</v>
      </c>
      <c r="AB155" s="53">
        <v>45974.724999999999</v>
      </c>
      <c r="AC155" s="40"/>
      <c r="AD155" s="40"/>
      <c r="AE155" s="40"/>
      <c r="AF155" s="40"/>
      <c r="AG155" s="40" t="s">
        <v>135</v>
      </c>
      <c r="AH155" s="84"/>
      <c r="AI155" s="87"/>
      <c r="AJ155" s="87" cm="1">
        <f t="array" ref="AJ155">IFERROR(_xlfn.XLOOKUP(TRUE,COUNTIF(Tabla[[#This Row],[Etiquetas]:[Etiquetas17]],Versiones!$G$2:$G$36)&gt;0,Versiones!$B$2:$B$36), "")</f>
        <v>23</v>
      </c>
      <c r="AK155" s="87" t="str" cm="1">
        <f t="array" ref="AK155">IFERROR(_xlfn.XLOOKUP(TRUE,COUNTIF(Tabla[[#This Row],[Etiquetas]:[Etiquetas17]],Versiones!$G$2:$G$36)&gt;0,Versiones!$A$2:$A$36), "")</f>
        <v>V0.12</v>
      </c>
      <c r="AL15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5" s="78" t="str">
        <f>IFERROR(_xlfn.XLOOKUP(Tabla[[#This Row],[¿En qué versión fue corregido?]],Versiones!$A$2:$A$34,Versiones!$B$2:$B$34),"No encontrado")</f>
        <v>No encontrado</v>
      </c>
      <c r="AN155" s="88" t="str" cm="1">
        <f t="array" ref="AN155">IFERROR(_xlfn.XLOOKUP(TRUE,COUNTIF(Tabla[[#This Row],[Etiquetas]:[Etiquetas17]],Categorías!$A$2:$A$12)&gt;0,Categorías!$A$2:$A$12),"No encontrado")</f>
        <v>Eventos_iOT</v>
      </c>
      <c r="AO155" s="87" t="str" cm="1">
        <f t="array" ref="AO155">IFERROR(INDEX(Funcionalidades!$A$2:$A$80,MATCH(TRUE, COUNTIF(Reporte_Gral!R155:Z155,Funcionalidades!$A$2:$A$80)&gt;0,0)),"No encontrado")</f>
        <v>Pago-En-Efectivo</v>
      </c>
      <c r="AP155" s="87" t="str">
        <f>IF(AND(COUNTIF(Tabla[[#This Row],[Etiquetas]:[Etiquetas17]],"*UAT_V*")&gt;0,COUNTIF(Tabla[[#This Row],[Etiquetas]:[Etiquetas17]],"*QA-Integración*")=0),"SI","")</f>
        <v/>
      </c>
      <c r="AQ155" s="88" t="str" cm="1">
        <f t="array" ref="AQ155">IF(Tabla[[#This Row],[Fue encontrado durante UAT?]]="SI",IFERROR(_xlfn.XLOOKUP(TRUE,ISNUMBER(SEARCH("UAT_V",Tabla[[#This Row],[Etiquetas]:[Etiquetas17]])),Tabla[[#This Row],[Etiquetas]:[Etiquetas17]]),""),"")</f>
        <v/>
      </c>
      <c r="AR155" s="87" t="str">
        <f>IF(COUNTIF(Tabla[[#This Row],[Etiquetas]:[Etiquetas17]],"*Devuelto*")&gt;0,"SI","")</f>
        <v/>
      </c>
      <c r="AS155" s="167">
        <f>COUNTIF(Tabla[[#This Row],[Etiquetas]:[Etiquetas17]],"*Devuelto*")</f>
        <v>0</v>
      </c>
    </row>
    <row r="156" spans="1:45" ht="15" customHeight="1">
      <c r="A156" s="40" t="s">
        <v>128</v>
      </c>
      <c r="B156" s="40" t="s">
        <v>537</v>
      </c>
      <c r="C156" s="40">
        <v>111042</v>
      </c>
      <c r="D156" s="40" t="s">
        <v>538</v>
      </c>
      <c r="E156" s="40" t="s">
        <v>36</v>
      </c>
      <c r="F156" s="40" t="s">
        <v>27</v>
      </c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 t="s">
        <v>139</v>
      </c>
      <c r="S156" s="40" t="s">
        <v>432</v>
      </c>
      <c r="T156" s="40" t="s">
        <v>210</v>
      </c>
      <c r="U156" s="40"/>
      <c r="V156" s="40"/>
      <c r="W156" s="40"/>
      <c r="X156" s="40"/>
      <c r="Y156" s="40"/>
      <c r="Z156" s="40"/>
      <c r="AA156" s="40" t="s">
        <v>134</v>
      </c>
      <c r="AB156" s="53">
        <v>45974.570138888892</v>
      </c>
      <c r="AC156" s="40"/>
      <c r="AD156" s="40"/>
      <c r="AE156" s="40"/>
      <c r="AF156" s="40"/>
      <c r="AG156" s="40" t="s">
        <v>141</v>
      </c>
      <c r="AH156" s="84"/>
      <c r="AI156" s="87"/>
      <c r="AJ156" s="87" cm="1">
        <f t="array" ref="AJ156">IFERROR(_xlfn.XLOOKUP(TRUE,COUNTIF(Tabla[[#This Row],[Etiquetas]:[Etiquetas17]],Versiones!$G$2:$G$36)&gt;0,Versiones!$B$2:$B$36), "")</f>
        <v>23</v>
      </c>
      <c r="AK156" s="87" t="str" cm="1">
        <f t="array" ref="AK156">IFERROR(_xlfn.XLOOKUP(TRUE,COUNTIF(Tabla[[#This Row],[Etiquetas]:[Etiquetas17]],Versiones!$G$2:$G$36)&gt;0,Versiones!$A$2:$A$36), "")</f>
        <v>V0.12</v>
      </c>
      <c r="AL15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6" s="78" t="str">
        <f>IFERROR(_xlfn.XLOOKUP(Tabla[[#This Row],[¿En qué versión fue corregido?]],Versiones!$A$2:$A$34,Versiones!$B$2:$B$34),"No encontrado")</f>
        <v>No encontrado</v>
      </c>
      <c r="AN156" s="88" t="str" cm="1">
        <f t="array" ref="AN156">IFERROR(_xlfn.XLOOKUP(TRUE,COUNTIF(Tabla[[#This Row],[Etiquetas]:[Etiquetas17]],Categorías!$A$2:$A$12)&gt;0,Categorías!$A$2:$A$12),"No encontrado")</f>
        <v>Funcional</v>
      </c>
      <c r="AO156" s="88" t="str" cm="1">
        <f t="array" ref="AO156">IFERROR(INDEX(Funcionalidades!$A$2:$A$80,MATCH(TRUE, COUNTIF(Reporte_Gral!R156:Z156,Funcionalidades!$A$2:$A$80)&gt;0,0)),"No encontrado")</f>
        <v>Realizar-Transferencia</v>
      </c>
      <c r="AP156" s="87" t="str">
        <f>IF(AND(COUNTIF(Tabla[[#This Row],[Etiquetas]:[Etiquetas17]],"*UAT_V*")&gt;0,COUNTIF(Tabla[[#This Row],[Etiquetas]:[Etiquetas17]],"*QA-Integración*")=0),"SI","")</f>
        <v/>
      </c>
      <c r="AQ156" s="88" t="str" cm="1">
        <f t="array" ref="AQ156">IF(Tabla[[#This Row],[Fue encontrado durante UAT?]]="SI",IFERROR(_xlfn.XLOOKUP(TRUE,ISNUMBER(SEARCH("UAT_V",Tabla[[#This Row],[Etiquetas]:[Etiquetas17]])),Tabla[[#This Row],[Etiquetas]:[Etiquetas17]]),""),"")</f>
        <v/>
      </c>
      <c r="AR156" s="87" t="str">
        <f>IF(COUNTIF(Tabla[[#This Row],[Etiquetas]:[Etiquetas17]],"*Devuelto*")&gt;0,"SI","")</f>
        <v/>
      </c>
      <c r="AS156" s="167">
        <f>COUNTIF(Tabla[[#This Row],[Etiquetas]:[Etiquetas17]],"*Devuelto*")</f>
        <v>0</v>
      </c>
    </row>
    <row r="157" spans="1:45" ht="15" customHeight="1">
      <c r="A157" s="40" t="s">
        <v>128</v>
      </c>
      <c r="B157" s="40" t="s">
        <v>539</v>
      </c>
      <c r="C157" s="40">
        <v>110732</v>
      </c>
      <c r="D157" s="40" t="s">
        <v>540</v>
      </c>
      <c r="E157" s="40" t="s">
        <v>37</v>
      </c>
      <c r="F157" s="40" t="s">
        <v>26</v>
      </c>
      <c r="G157" s="40" t="s">
        <v>429</v>
      </c>
      <c r="H157" s="40" t="s">
        <v>224</v>
      </c>
      <c r="I157" s="40" t="s">
        <v>151</v>
      </c>
      <c r="J157" s="40"/>
      <c r="K157" s="40"/>
      <c r="L157" s="40"/>
      <c r="M157" s="40"/>
      <c r="N157" s="40"/>
      <c r="O157" s="40"/>
      <c r="P157" s="40"/>
      <c r="Q157" s="40"/>
      <c r="R157" s="40" t="s">
        <v>371</v>
      </c>
      <c r="S157" s="40" t="s">
        <v>132</v>
      </c>
      <c r="T157" s="40" t="s">
        <v>432</v>
      </c>
      <c r="U157" s="40" t="s">
        <v>148</v>
      </c>
      <c r="V157" s="40" t="s">
        <v>204</v>
      </c>
      <c r="W157" s="40" t="s">
        <v>154</v>
      </c>
      <c r="X157" s="40"/>
      <c r="Y157" s="40"/>
      <c r="Z157" s="40"/>
      <c r="AA157" s="40" t="s">
        <v>217</v>
      </c>
      <c r="AB157" s="53">
        <v>45973.671527777777</v>
      </c>
      <c r="AC157" s="40" t="s">
        <v>174</v>
      </c>
      <c r="AD157" s="40"/>
      <c r="AE157" s="40"/>
      <c r="AF157" s="40"/>
      <c r="AG157" s="40" t="s">
        <v>141</v>
      </c>
      <c r="AH157" s="84"/>
      <c r="AI157" s="87"/>
      <c r="AJ157" s="87" cm="1">
        <f t="array" ref="AJ157">IFERROR(_xlfn.XLOOKUP(TRUE,COUNTIF(Tabla[[#This Row],[Etiquetas]:[Etiquetas17]],Versiones!$G$2:$G$36)&gt;0,Versiones!$B$2:$B$36), "")</f>
        <v>23</v>
      </c>
      <c r="AK157" s="87" t="str" cm="1">
        <f t="array" ref="AK157">IFERROR(_xlfn.XLOOKUP(TRUE,COUNTIF(Tabla[[#This Row],[Etiquetas]:[Etiquetas17]],Versiones!$G$2:$G$36)&gt;0,Versiones!$A$2:$A$36), "")</f>
        <v>V0.12</v>
      </c>
      <c r="AL15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57" s="78">
        <f>IFERROR(_xlfn.XLOOKUP(Tabla[[#This Row],[¿En qué versión fue corregido?]],Versiones!$A$2:$A$34,Versiones!$B$2:$B$34),"No encontrado")</f>
        <v>25</v>
      </c>
      <c r="AN157" s="88" t="str" cm="1">
        <f t="array" ref="AN157">IFERROR(_xlfn.XLOOKUP(TRUE,COUNTIF(Tabla[[#This Row],[Etiquetas]:[Etiquetas17]],Categorías!$A$2:$A$12)&gt;0,Categorías!$A$2:$A$12),"No encontrado")</f>
        <v>Look&amp;Feel</v>
      </c>
      <c r="AO157" s="87" t="str" cm="1">
        <f t="array" ref="AO157">IFERROR(INDEX(Funcionalidades!$A$2:$A$80,MATCH(TRUE, COUNTIF(Reporte_Gral!R157:Z157,Funcionalidades!$A$2:$A$80)&gt;0,0)),"No encontrado")</f>
        <v>Recibir-Mercancía-Almacén-Tienda</v>
      </c>
      <c r="AP157" s="87" t="str">
        <f>IF(AND(COUNTIF(Tabla[[#This Row],[Etiquetas]:[Etiquetas17]],"*UAT_V*")&gt;0,COUNTIF(Tabla[[#This Row],[Etiquetas]:[Etiquetas17]],"*QA-Integración*")=0),"SI","")</f>
        <v/>
      </c>
      <c r="AQ157" s="88" t="str" cm="1">
        <f t="array" ref="AQ157">IF(Tabla[[#This Row],[Fue encontrado durante UAT?]]="SI",IFERROR(_xlfn.XLOOKUP(TRUE,ISNUMBER(SEARCH("UAT_V",Tabla[[#This Row],[Etiquetas]:[Etiquetas17]])),Tabla[[#This Row],[Etiquetas]:[Etiquetas17]]),""),"")</f>
        <v/>
      </c>
      <c r="AR157" s="87" t="str">
        <f>IF(COUNTIF(Tabla[[#This Row],[Etiquetas]:[Etiquetas17]],"*Devuelto*")&gt;0,"SI","")</f>
        <v/>
      </c>
      <c r="AS157" s="167">
        <f>COUNTIF(Tabla[[#This Row],[Etiquetas]:[Etiquetas17]],"*Devuelto*")</f>
        <v>0</v>
      </c>
    </row>
    <row r="158" spans="1:45" ht="15" customHeight="1">
      <c r="A158" s="40" t="s">
        <v>128</v>
      </c>
      <c r="B158" s="40" t="s">
        <v>541</v>
      </c>
      <c r="C158" s="40">
        <v>110727</v>
      </c>
      <c r="D158" s="40" t="s">
        <v>542</v>
      </c>
      <c r="E158" s="40" t="s">
        <v>36</v>
      </c>
      <c r="F158" s="40" t="s">
        <v>24</v>
      </c>
      <c r="G158" s="40" t="s">
        <v>429</v>
      </c>
      <c r="H158" s="40" t="s">
        <v>224</v>
      </c>
      <c r="I158" s="40" t="s">
        <v>151</v>
      </c>
      <c r="J158" s="40"/>
      <c r="K158" s="40"/>
      <c r="L158" s="40"/>
      <c r="M158" s="40"/>
      <c r="N158" s="40"/>
      <c r="O158" s="40"/>
      <c r="P158" s="40"/>
      <c r="Q158" s="40"/>
      <c r="R158" s="40" t="s">
        <v>139</v>
      </c>
      <c r="S158" s="40" t="s">
        <v>432</v>
      </c>
      <c r="T158" s="40" t="s">
        <v>148</v>
      </c>
      <c r="U158" s="40"/>
      <c r="V158" s="40"/>
      <c r="W158" s="40"/>
      <c r="X158" s="40"/>
      <c r="Y158" s="40"/>
      <c r="Z158" s="40"/>
      <c r="AA158" s="40" t="s">
        <v>217</v>
      </c>
      <c r="AB158" s="53">
        <v>45973.666666666664</v>
      </c>
      <c r="AC158" s="40"/>
      <c r="AD158" s="40"/>
      <c r="AE158" s="40"/>
      <c r="AF158" s="40"/>
      <c r="AG158" s="40" t="s">
        <v>141</v>
      </c>
      <c r="AH158" s="84"/>
      <c r="AI158" s="87"/>
      <c r="AJ158" s="87" cm="1">
        <f t="array" ref="AJ158">IFERROR(_xlfn.XLOOKUP(TRUE,COUNTIF(Tabla[[#This Row],[Etiquetas]:[Etiquetas17]],Versiones!$G$2:$G$36)&gt;0,Versiones!$B$2:$B$36), "")</f>
        <v>23</v>
      </c>
      <c r="AK158" s="87" t="str" cm="1">
        <f t="array" ref="AK158">IFERROR(_xlfn.XLOOKUP(TRUE,COUNTIF(Tabla[[#This Row],[Etiquetas]:[Etiquetas17]],Versiones!$G$2:$G$36)&gt;0,Versiones!$A$2:$A$36), "")</f>
        <v>V0.12</v>
      </c>
      <c r="AL15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8" s="78" t="str">
        <f>IFERROR(_xlfn.XLOOKUP(Tabla[[#This Row],[¿En qué versión fue corregido?]],Versiones!$A$2:$A$34,Versiones!$B$2:$B$34),"No encontrado")</f>
        <v>No encontrado</v>
      </c>
      <c r="AN158" s="88" t="str" cm="1">
        <f t="array" ref="AN158">IFERROR(_xlfn.XLOOKUP(TRUE,COUNTIF(Tabla[[#This Row],[Etiquetas]:[Etiquetas17]],Categorías!$A$2:$A$12)&gt;0,Categorías!$A$2:$A$12),"No encontrado")</f>
        <v>Funcional</v>
      </c>
      <c r="AO158" s="87" t="str" cm="1">
        <f t="array" ref="AO158">IFERROR(INDEX(Funcionalidades!$A$2:$A$80,MATCH(TRUE, COUNTIF(Reporte_Gral!R158:Z158,Funcionalidades!$A$2:$A$80)&gt;0,0)),"No encontrado")</f>
        <v>Recibir-Mercancía-Almacén-Tienda</v>
      </c>
      <c r="AP158" s="87" t="str">
        <f>IF(AND(COUNTIF(Tabla[[#This Row],[Etiquetas]:[Etiquetas17]],"*UAT_V*")&gt;0,COUNTIF(Tabla[[#This Row],[Etiquetas]:[Etiquetas17]],"*QA-Integración*")=0),"SI","")</f>
        <v/>
      </c>
      <c r="AQ158" s="88" t="str" cm="1">
        <f t="array" ref="AQ158">IF(Tabla[[#This Row],[Fue encontrado durante UAT?]]="SI",IFERROR(_xlfn.XLOOKUP(TRUE,ISNUMBER(SEARCH("UAT_V",Tabla[[#This Row],[Etiquetas]:[Etiquetas17]])),Tabla[[#This Row],[Etiquetas]:[Etiquetas17]]),""),"")</f>
        <v/>
      </c>
      <c r="AR158" s="87" t="str">
        <f>IF(COUNTIF(Tabla[[#This Row],[Etiquetas]:[Etiquetas17]],"*Devuelto*")&gt;0,"SI","")</f>
        <v/>
      </c>
      <c r="AS158" s="167">
        <f>COUNTIF(Tabla[[#This Row],[Etiquetas]:[Etiquetas17]],"*Devuelto*")</f>
        <v>0</v>
      </c>
    </row>
    <row r="159" spans="1:45" ht="15" customHeight="1">
      <c r="A159" s="40" t="s">
        <v>128</v>
      </c>
      <c r="B159" s="40" t="s">
        <v>543</v>
      </c>
      <c r="C159" s="40">
        <v>110709</v>
      </c>
      <c r="D159" s="40" t="s">
        <v>544</v>
      </c>
      <c r="E159" s="40" t="s">
        <v>36</v>
      </c>
      <c r="F159" s="40" t="s">
        <v>27</v>
      </c>
      <c r="G159" s="40" t="s">
        <v>429</v>
      </c>
      <c r="H159" s="40" t="s">
        <v>224</v>
      </c>
      <c r="I159" s="40" t="s">
        <v>151</v>
      </c>
      <c r="J159" s="40"/>
      <c r="K159" s="40"/>
      <c r="L159" s="40"/>
      <c r="M159" s="40"/>
      <c r="N159" s="40"/>
      <c r="O159" s="40"/>
      <c r="P159" s="40"/>
      <c r="Q159" s="40"/>
      <c r="R159" s="40" t="s">
        <v>139</v>
      </c>
      <c r="S159" s="40" t="s">
        <v>432</v>
      </c>
      <c r="T159" s="40" t="s">
        <v>366</v>
      </c>
      <c r="U159" s="40" t="s">
        <v>188</v>
      </c>
      <c r="V159" s="40"/>
      <c r="W159" s="40"/>
      <c r="X159" s="40"/>
      <c r="Y159" s="40"/>
      <c r="Z159" s="40"/>
      <c r="AA159" s="40" t="s">
        <v>217</v>
      </c>
      <c r="AB159" s="53">
        <v>45973.638888888891</v>
      </c>
      <c r="AC159" s="40"/>
      <c r="AD159" s="40"/>
      <c r="AE159" s="40"/>
      <c r="AF159" s="40"/>
      <c r="AG159" s="40" t="s">
        <v>141</v>
      </c>
      <c r="AH159" s="84"/>
      <c r="AI159" s="87"/>
      <c r="AJ159" s="87" cm="1">
        <f t="array" ref="AJ159">IFERROR(_xlfn.XLOOKUP(TRUE,COUNTIF(Tabla[[#This Row],[Etiquetas]:[Etiquetas17]],Versiones!$G$2:$G$36)&gt;0,Versiones!$B$2:$B$36), "")</f>
        <v>23</v>
      </c>
      <c r="AK159" s="87" t="str" cm="1">
        <f t="array" ref="AK159">IFERROR(_xlfn.XLOOKUP(TRUE,COUNTIF(Tabla[[#This Row],[Etiquetas]:[Etiquetas17]],Versiones!$G$2:$G$36)&gt;0,Versiones!$A$2:$A$36), "")</f>
        <v>V0.12</v>
      </c>
      <c r="AL15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59" s="78" t="str">
        <f>IFERROR(_xlfn.XLOOKUP(Tabla[[#This Row],[¿En qué versión fue corregido?]],Versiones!$A$2:$A$34,Versiones!$B$2:$B$34),"No encontrado")</f>
        <v>No encontrado</v>
      </c>
      <c r="AN159" s="88" t="str" cm="1">
        <f t="array" ref="AN159">IFERROR(_xlfn.XLOOKUP(TRUE,COUNTIF(Tabla[[#This Row],[Etiquetas]:[Etiquetas17]],Categorías!$A$2:$A$12)&gt;0,Categorías!$A$2:$A$12),"No encontrado")</f>
        <v>Funcional</v>
      </c>
      <c r="AO159" s="87" t="str" cm="1">
        <f t="array" ref="AO159">IFERROR(INDEX(Funcionalidades!$A$2:$A$80,MATCH(TRUE, COUNTIF(Reporte_Gral!R159:Z159,Funcionalidades!$A$2:$A$80)&gt;0,0)),"No encontrado")</f>
        <v>Recibir-Mercancía-Pie-De-Camión</v>
      </c>
      <c r="AP159" s="87" t="str">
        <f>IF(AND(COUNTIF(Tabla[[#This Row],[Etiquetas]:[Etiquetas17]],"*UAT_V*")&gt;0,COUNTIF(Tabla[[#This Row],[Etiquetas]:[Etiquetas17]],"*QA-Integración*")=0),"SI","")</f>
        <v/>
      </c>
      <c r="AQ159" s="88" t="str" cm="1">
        <f t="array" ref="AQ159">IF(Tabla[[#This Row],[Fue encontrado durante UAT?]]="SI",IFERROR(_xlfn.XLOOKUP(TRUE,ISNUMBER(SEARCH("UAT_V",Tabla[[#This Row],[Etiquetas]:[Etiquetas17]])),Tabla[[#This Row],[Etiquetas]:[Etiquetas17]]),""),"")</f>
        <v/>
      </c>
      <c r="AR159" s="87" t="str">
        <f>IF(COUNTIF(Tabla[[#This Row],[Etiquetas]:[Etiquetas17]],"*Devuelto*")&gt;0,"SI","")</f>
        <v/>
      </c>
      <c r="AS159" s="167">
        <f>COUNTIF(Tabla[[#This Row],[Etiquetas]:[Etiquetas17]],"*Devuelto*")</f>
        <v>0</v>
      </c>
    </row>
    <row r="160" spans="1:45" ht="15" customHeight="1">
      <c r="A160" s="40" t="s">
        <v>128</v>
      </c>
      <c r="B160" s="40" t="s">
        <v>545</v>
      </c>
      <c r="C160" s="40">
        <v>110536</v>
      </c>
      <c r="D160" s="40" t="s">
        <v>546</v>
      </c>
      <c r="E160" s="40" t="s">
        <v>41</v>
      </c>
      <c r="F160" s="40" t="s">
        <v>27</v>
      </c>
      <c r="G160" s="40" t="s">
        <v>429</v>
      </c>
      <c r="H160" s="40" t="s">
        <v>224</v>
      </c>
      <c r="I160" s="40" t="s">
        <v>151</v>
      </c>
      <c r="J160" s="40"/>
      <c r="K160" s="40"/>
      <c r="L160" s="40"/>
      <c r="M160" s="40"/>
      <c r="N160" s="40"/>
      <c r="O160" s="40"/>
      <c r="P160" s="40"/>
      <c r="Q160" s="40"/>
      <c r="R160" s="40" t="s">
        <v>139</v>
      </c>
      <c r="S160" s="40" t="s">
        <v>371</v>
      </c>
      <c r="T160" s="40" t="s">
        <v>432</v>
      </c>
      <c r="U160" s="40" t="s">
        <v>366</v>
      </c>
      <c r="V160" s="40"/>
      <c r="W160" s="40"/>
      <c r="X160" s="40"/>
      <c r="Y160" s="40"/>
      <c r="Z160" s="40"/>
      <c r="AA160" s="40" t="s">
        <v>217</v>
      </c>
      <c r="AB160" s="53">
        <v>45973.384722222225</v>
      </c>
      <c r="AC160" s="40"/>
      <c r="AD160" s="40"/>
      <c r="AE160" s="40"/>
      <c r="AF160" s="40"/>
      <c r="AG160" s="40" t="s">
        <v>141</v>
      </c>
      <c r="AH160" s="84"/>
      <c r="AI160" s="87"/>
      <c r="AJ160" s="87" cm="1">
        <f t="array" ref="AJ160">IFERROR(_xlfn.XLOOKUP(TRUE,COUNTIF(Tabla[[#This Row],[Etiquetas]:[Etiquetas17]],Versiones!$G$2:$G$36)&gt;0,Versiones!$B$2:$B$36), "")</f>
        <v>23</v>
      </c>
      <c r="AK160" s="87" t="str" cm="1">
        <f t="array" ref="AK160">IFERROR(_xlfn.XLOOKUP(TRUE,COUNTIF(Tabla[[#This Row],[Etiquetas]:[Etiquetas17]],Versiones!$G$2:$G$36)&gt;0,Versiones!$A$2:$A$36), "")</f>
        <v>V0.12</v>
      </c>
      <c r="AL16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0" s="78" t="str">
        <f>IFERROR(_xlfn.XLOOKUP(Tabla[[#This Row],[¿En qué versión fue corregido?]],Versiones!$A$2:$A$34,Versiones!$B$2:$B$34),"No encontrado")</f>
        <v>No encontrado</v>
      </c>
      <c r="AN160" s="88" t="str" cm="1">
        <f t="array" ref="AN160">IFERROR(_xlfn.XLOOKUP(TRUE,COUNTIF(Tabla[[#This Row],[Etiquetas]:[Etiquetas17]],Categorías!$A$2:$A$12)&gt;0,Categorías!$A$2:$A$12),"No encontrado")</f>
        <v>Funcional</v>
      </c>
      <c r="AO160" s="87" t="str" cm="1">
        <f t="array" ref="AO160">IFERROR(INDEX(Funcionalidades!$A$2:$A$80,MATCH(TRUE, COUNTIF(Reporte_Gral!R160:Z160,Funcionalidades!$A$2:$A$80)&gt;0,0)),"No encontrado")</f>
        <v>Recibir-Mercancía-Pie-De-Camión</v>
      </c>
      <c r="AP160" s="87" t="str">
        <f>IF(AND(COUNTIF(Tabla[[#This Row],[Etiquetas]:[Etiquetas17]],"*UAT_V*")&gt;0,COUNTIF(Tabla[[#This Row],[Etiquetas]:[Etiquetas17]],"*QA-Integración*")=0),"SI","")</f>
        <v/>
      </c>
      <c r="AQ160" s="88" t="str" cm="1">
        <f t="array" ref="AQ160">IF(Tabla[[#This Row],[Fue encontrado durante UAT?]]="SI",IFERROR(_xlfn.XLOOKUP(TRUE,ISNUMBER(SEARCH("UAT_V",Tabla[[#This Row],[Etiquetas]:[Etiquetas17]])),Tabla[[#This Row],[Etiquetas]:[Etiquetas17]]),""),"")</f>
        <v/>
      </c>
      <c r="AR160" s="87" t="str">
        <f>IF(COUNTIF(Tabla[[#This Row],[Etiquetas]:[Etiquetas17]],"*Devuelto*")&gt;0,"SI","")</f>
        <v/>
      </c>
      <c r="AS160" s="167">
        <f>COUNTIF(Tabla[[#This Row],[Etiquetas]:[Etiquetas17]],"*Devuelto*")</f>
        <v>0</v>
      </c>
    </row>
    <row r="161" spans="1:45" ht="15" customHeight="1">
      <c r="A161" s="40" t="s">
        <v>128</v>
      </c>
      <c r="B161" s="40" t="s">
        <v>547</v>
      </c>
      <c r="C161" s="40">
        <v>109957</v>
      </c>
      <c r="D161" s="40" t="s">
        <v>548</v>
      </c>
      <c r="E161" s="40" t="s">
        <v>36</v>
      </c>
      <c r="F161" s="40" t="s">
        <v>27</v>
      </c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 t="s">
        <v>549</v>
      </c>
      <c r="S161" s="40" t="s">
        <v>225</v>
      </c>
      <c r="T161" s="40" t="s">
        <v>468</v>
      </c>
      <c r="U161" s="40" t="s">
        <v>194</v>
      </c>
      <c r="V161" s="40" t="s">
        <v>536</v>
      </c>
      <c r="W161" s="40"/>
      <c r="X161" s="40"/>
      <c r="Y161" s="40"/>
      <c r="Z161" s="40"/>
      <c r="AA161" s="40" t="s">
        <v>134</v>
      </c>
      <c r="AB161" s="53">
        <v>45971.865277777775</v>
      </c>
      <c r="AC161" s="40" t="s">
        <v>550</v>
      </c>
      <c r="AD161" s="40"/>
      <c r="AE161" s="40"/>
      <c r="AF161" s="40"/>
      <c r="AG161" s="40" t="s">
        <v>141</v>
      </c>
      <c r="AH161" s="84"/>
      <c r="AI161" s="87"/>
      <c r="AJ161" s="87" cm="1">
        <f t="array" ref="AJ161">IFERROR(_xlfn.XLOOKUP(TRUE,COUNTIF(Tabla[[#This Row],[Etiquetas]:[Etiquetas17]],Versiones!$G$2:$G$36)&gt;0,Versiones!$B$2:$B$36), "")</f>
        <v>22</v>
      </c>
      <c r="AK161" s="87" t="str" cm="1">
        <f t="array" ref="AK161">IFERROR(_xlfn.XLOOKUP(TRUE,COUNTIF(Tabla[[#This Row],[Etiquetas]:[Etiquetas17]],Versiones!$G$2:$G$36)&gt;0,Versiones!$A$2:$A$36), "")</f>
        <v>V0.11</v>
      </c>
      <c r="AL16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V0.11</v>
      </c>
      <c r="AM161" s="78">
        <f>IFERROR(_xlfn.XLOOKUP(Tabla[[#This Row],[¿En qué versión fue corregido?]],Versiones!$A$2:$A$34,Versiones!$B$2:$B$34),"No encontrado")</f>
        <v>22</v>
      </c>
      <c r="AN161" s="88" t="str" cm="1">
        <f t="array" ref="AN161">IFERROR(_xlfn.XLOOKUP(TRUE,COUNTIF(Tabla[[#This Row],[Etiquetas]:[Etiquetas17]],Categorías!$A$2:$A$12)&gt;0,Categorías!$A$2:$A$12),"No encontrado")</f>
        <v>Eventos_Fabric</v>
      </c>
      <c r="AO161" s="88" t="str" cm="1">
        <f t="array" ref="AO161">IFERROR(INDEX(Funcionalidades!$A$2:$A$80,MATCH(TRUE, COUNTIF(Reporte_Gral!R161:Z161,Funcionalidades!$A$2:$A$80)&gt;0,0)),"No encontrado")</f>
        <v>Pago-Con-Tarjeta</v>
      </c>
      <c r="AP161" s="87" t="str">
        <f>IF(AND(COUNTIF(Tabla[[#This Row],[Etiquetas]:[Etiquetas17]],"*UAT_V*")&gt;0,COUNTIF(Tabla[[#This Row],[Etiquetas]:[Etiquetas17]],"*QA-Integración*")=0),"SI","")</f>
        <v/>
      </c>
      <c r="AQ161" s="88" t="str" cm="1">
        <f t="array" ref="AQ161">IF(Tabla[[#This Row],[Fue encontrado durante UAT?]]="SI",IFERROR(_xlfn.XLOOKUP(TRUE,ISNUMBER(SEARCH("UAT_V",Tabla[[#This Row],[Etiquetas]:[Etiquetas17]])),Tabla[[#This Row],[Etiquetas]:[Etiquetas17]]),""),"")</f>
        <v/>
      </c>
      <c r="AR161" s="87" t="str">
        <f>IF(COUNTIF(Tabla[[#This Row],[Etiquetas]:[Etiquetas17]],"*Devuelto*")&gt;0,"SI","")</f>
        <v/>
      </c>
      <c r="AS161" s="167">
        <f>COUNTIF(Tabla[[#This Row],[Etiquetas]:[Etiquetas17]],"*Devuelto*")</f>
        <v>0</v>
      </c>
    </row>
    <row r="162" spans="1:45" ht="15" customHeight="1">
      <c r="A162" s="40" t="s">
        <v>128</v>
      </c>
      <c r="B162" s="40" t="s">
        <v>551</v>
      </c>
      <c r="C162" s="40">
        <v>109837</v>
      </c>
      <c r="D162" s="40" t="s">
        <v>552</v>
      </c>
      <c r="E162" s="40" t="s">
        <v>36</v>
      </c>
      <c r="F162" s="40" t="s">
        <v>27</v>
      </c>
      <c r="G162" s="40" t="s">
        <v>429</v>
      </c>
      <c r="H162" s="40" t="s">
        <v>151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 t="s">
        <v>234</v>
      </c>
      <c r="S162" s="40" t="s">
        <v>139</v>
      </c>
      <c r="T162" s="40" t="s">
        <v>432</v>
      </c>
      <c r="U162" s="40" t="s">
        <v>204</v>
      </c>
      <c r="V162" s="40" t="s">
        <v>154</v>
      </c>
      <c r="W162" s="40"/>
      <c r="X162" s="40"/>
      <c r="Y162" s="40"/>
      <c r="Z162" s="40"/>
      <c r="AA162" s="40" t="s">
        <v>217</v>
      </c>
      <c r="AB162" s="53">
        <v>45971.694444444445</v>
      </c>
      <c r="AC162" s="40" t="s">
        <v>155</v>
      </c>
      <c r="AD162" s="40"/>
      <c r="AE162" s="40"/>
      <c r="AF162" s="40"/>
      <c r="AG162" s="40" t="s">
        <v>141</v>
      </c>
      <c r="AH162" s="84"/>
      <c r="AI162" s="87"/>
      <c r="AJ162" s="87" cm="1">
        <f t="array" ref="AJ162">IFERROR(_xlfn.XLOOKUP(TRUE,COUNTIF(Tabla[[#This Row],[Etiquetas]:[Etiquetas17]],Versiones!$G$2:$G$36)&gt;0,Versiones!$B$2:$B$36), "")</f>
        <v>23</v>
      </c>
      <c r="AK162" s="87" t="str" cm="1">
        <f t="array" ref="AK162">IFERROR(_xlfn.XLOOKUP(TRUE,COUNTIF(Tabla[[#This Row],[Etiquetas]:[Etiquetas17]],Versiones!$G$2:$G$36)&gt;0,Versiones!$A$2:$A$36), "")</f>
        <v>V0.12</v>
      </c>
      <c r="AL16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62" s="78">
        <f>IFERROR(_xlfn.XLOOKUP(Tabla[[#This Row],[¿En qué versión fue corregido?]],Versiones!$A$2:$A$34,Versiones!$B$2:$B$34),"No encontrado")</f>
        <v>0</v>
      </c>
      <c r="AN162" s="88" t="str" cm="1">
        <f t="array" ref="AN162">IFERROR(_xlfn.XLOOKUP(TRUE,COUNTIF(Tabla[[#This Row],[Etiquetas]:[Etiquetas17]],Categorías!$A$2:$A$12)&gt;0,Categorías!$A$2:$A$12),"No encontrado")</f>
        <v>Funcional</v>
      </c>
      <c r="AO162" s="87" t="str" cm="1">
        <f t="array" ref="AO162">IFERROR(INDEX(Funcionalidades!$A$2:$A$80,MATCH(TRUE, COUNTIF(Reporte_Gral!R162:Z162,Funcionalidades!$A$2:$A$80)&gt;0,0)),"No encontrado")</f>
        <v>Dashboard-Productos</v>
      </c>
      <c r="AP162" s="87" t="str">
        <f>IF(AND(COUNTIF(Tabla[[#This Row],[Etiquetas]:[Etiquetas17]],"*UAT_V*")&gt;0,COUNTIF(Tabla[[#This Row],[Etiquetas]:[Etiquetas17]],"*QA-Integración*")=0),"SI","")</f>
        <v/>
      </c>
      <c r="AQ162" s="88" t="str" cm="1">
        <f t="array" ref="AQ162">IF(Tabla[[#This Row],[Fue encontrado durante UAT?]]="SI",IFERROR(_xlfn.XLOOKUP(TRUE,ISNUMBER(SEARCH("UAT_V",Tabla[[#This Row],[Etiquetas]:[Etiquetas17]])),Tabla[[#This Row],[Etiquetas]:[Etiquetas17]]),""),"")</f>
        <v/>
      </c>
      <c r="AR162" s="87" t="str">
        <f>IF(COUNTIF(Tabla[[#This Row],[Etiquetas]:[Etiquetas17]],"*Devuelto*")&gt;0,"SI","")</f>
        <v/>
      </c>
      <c r="AS162" s="167">
        <f>COUNTIF(Tabla[[#This Row],[Etiquetas]:[Etiquetas17]],"*Devuelto*")</f>
        <v>0</v>
      </c>
    </row>
    <row r="163" spans="1:45" ht="15" customHeight="1">
      <c r="A163" s="40" t="s">
        <v>128</v>
      </c>
      <c r="B163" s="40" t="s">
        <v>553</v>
      </c>
      <c r="C163" s="40">
        <v>109821</v>
      </c>
      <c r="D163" s="40" t="s">
        <v>554</v>
      </c>
      <c r="E163" s="40" t="s">
        <v>37</v>
      </c>
      <c r="F163" s="40" t="s">
        <v>27</v>
      </c>
      <c r="G163" s="40" t="s">
        <v>429</v>
      </c>
      <c r="H163" s="40" t="s">
        <v>224</v>
      </c>
      <c r="I163" s="40" t="s">
        <v>151</v>
      </c>
      <c r="J163" s="40"/>
      <c r="K163" s="40"/>
      <c r="L163" s="40"/>
      <c r="M163" s="40"/>
      <c r="N163" s="40"/>
      <c r="O163" s="40"/>
      <c r="P163" s="40"/>
      <c r="Q163" s="40"/>
      <c r="R163" s="40" t="s">
        <v>234</v>
      </c>
      <c r="S163" s="40" t="s">
        <v>139</v>
      </c>
      <c r="T163" s="40" t="s">
        <v>432</v>
      </c>
      <c r="U163" s="40" t="s">
        <v>194</v>
      </c>
      <c r="V163" s="40" t="s">
        <v>188</v>
      </c>
      <c r="W163" s="40"/>
      <c r="X163" s="40"/>
      <c r="Y163" s="40"/>
      <c r="Z163" s="40"/>
      <c r="AA163" s="40" t="s">
        <v>134</v>
      </c>
      <c r="AB163" s="53">
        <v>45971.663194444445</v>
      </c>
      <c r="AC163" s="40"/>
      <c r="AD163" s="40"/>
      <c r="AE163" s="40"/>
      <c r="AF163" s="40"/>
      <c r="AG163" s="40" t="s">
        <v>141</v>
      </c>
      <c r="AH163" s="84"/>
      <c r="AI163" s="87"/>
      <c r="AJ163" s="87" cm="1">
        <f t="array" ref="AJ163">IFERROR(_xlfn.XLOOKUP(TRUE,COUNTIF(Tabla[[#This Row],[Etiquetas]:[Etiquetas17]],Versiones!$G$2:$G$36)&gt;0,Versiones!$B$2:$B$36), "")</f>
        <v>23</v>
      </c>
      <c r="AK163" s="87" t="str" cm="1">
        <f t="array" ref="AK163">IFERROR(_xlfn.XLOOKUP(TRUE,COUNTIF(Tabla[[#This Row],[Etiquetas]:[Etiquetas17]],Versiones!$G$2:$G$36)&gt;0,Versiones!$A$2:$A$36), "")</f>
        <v>V0.12</v>
      </c>
      <c r="AL16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3" s="78" t="str">
        <f>IFERROR(_xlfn.XLOOKUP(Tabla[[#This Row],[¿En qué versión fue corregido?]],Versiones!$A$2:$A$34,Versiones!$B$2:$B$34),"No encontrado")</f>
        <v>No encontrado</v>
      </c>
      <c r="AN163" s="88" t="str" cm="1">
        <f t="array" ref="AN163">IFERROR(_xlfn.XLOOKUP(TRUE,COUNTIF(Tabla[[#This Row],[Etiquetas]:[Etiquetas17]],Categorías!$A$2:$A$12)&gt;0,Categorías!$A$2:$A$12),"No encontrado")</f>
        <v>Funcional</v>
      </c>
      <c r="AO163" s="88" t="str" cm="1">
        <f t="array" ref="AO163">IFERROR(INDEX(Funcionalidades!$A$2:$A$80,MATCH(TRUE, COUNTIF(Reporte_Gral!R163:Z163,Funcionalidades!$A$2:$A$80)&gt;0,0)),"No encontrado")</f>
        <v>Dashboard-Productos</v>
      </c>
      <c r="AP163" s="87" t="str">
        <f>IF(AND(COUNTIF(Tabla[[#This Row],[Etiquetas]:[Etiquetas17]],"*UAT_V*")&gt;0,COUNTIF(Tabla[[#This Row],[Etiquetas]:[Etiquetas17]],"*QA-Integración*")=0),"SI","")</f>
        <v/>
      </c>
      <c r="AQ163" s="88" t="str" cm="1">
        <f t="array" ref="AQ163">IF(Tabla[[#This Row],[Fue encontrado durante UAT?]]="SI",IFERROR(_xlfn.XLOOKUP(TRUE,ISNUMBER(SEARCH("UAT_V",Tabla[[#This Row],[Etiquetas]:[Etiquetas17]])),Tabla[[#This Row],[Etiquetas]:[Etiquetas17]]),""),"")</f>
        <v/>
      </c>
      <c r="AR163" s="87" t="str">
        <f>IF(COUNTIF(Tabla[[#This Row],[Etiquetas]:[Etiquetas17]],"*Devuelto*")&gt;0,"SI","")</f>
        <v/>
      </c>
      <c r="AS163" s="167">
        <f>COUNTIF(Tabla[[#This Row],[Etiquetas]:[Etiquetas17]],"*Devuelto*")</f>
        <v>0</v>
      </c>
    </row>
    <row r="164" spans="1:45" ht="15" customHeight="1">
      <c r="A164" s="40" t="s">
        <v>128</v>
      </c>
      <c r="B164" s="40" t="s">
        <v>555</v>
      </c>
      <c r="C164" s="40">
        <v>109248</v>
      </c>
      <c r="D164" s="40" t="s">
        <v>556</v>
      </c>
      <c r="E164" s="40" t="s">
        <v>37</v>
      </c>
      <c r="F164" s="40" t="s">
        <v>27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 t="s">
        <v>371</v>
      </c>
      <c r="S164" s="40" t="s">
        <v>132</v>
      </c>
      <c r="T164" s="40" t="s">
        <v>468</v>
      </c>
      <c r="U164" s="40" t="s">
        <v>323</v>
      </c>
      <c r="V164" s="40"/>
      <c r="W164" s="40"/>
      <c r="X164" s="40"/>
      <c r="Y164" s="40"/>
      <c r="Z164" s="40"/>
      <c r="AA164" s="40" t="s">
        <v>217</v>
      </c>
      <c r="AB164" s="53">
        <v>45968.630555555559</v>
      </c>
      <c r="AC164" s="40"/>
      <c r="AD164" s="40"/>
      <c r="AE164" s="40"/>
      <c r="AF164" s="40"/>
      <c r="AG164" s="40" t="s">
        <v>141</v>
      </c>
      <c r="AH164" s="84"/>
      <c r="AI164" s="87"/>
      <c r="AJ164" s="87" cm="1">
        <f t="array" ref="AJ164">IFERROR(_xlfn.XLOOKUP(TRUE,COUNTIF(Tabla[[#This Row],[Etiquetas]:[Etiquetas17]],Versiones!$G$2:$G$36)&gt;0,Versiones!$B$2:$B$36), "")</f>
        <v>22</v>
      </c>
      <c r="AK164" s="87" t="str" cm="1">
        <f t="array" ref="AK164">IFERROR(_xlfn.XLOOKUP(TRUE,COUNTIF(Tabla[[#This Row],[Etiquetas]:[Etiquetas17]],Versiones!$G$2:$G$36)&gt;0,Versiones!$A$2:$A$36), "")</f>
        <v>V0.11</v>
      </c>
      <c r="AL16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4" s="78" t="str">
        <f>IFERROR(_xlfn.XLOOKUP(Tabla[[#This Row],[¿En qué versión fue corregido?]],Versiones!$A$2:$A$34,Versiones!$B$2:$B$34),"No encontrado")</f>
        <v>No encontrado</v>
      </c>
      <c r="AN164" s="88" t="str" cm="1">
        <f t="array" ref="AN164">IFERROR(_xlfn.XLOOKUP(TRUE,COUNTIF(Tabla[[#This Row],[Etiquetas]:[Etiquetas17]],Categorías!$A$2:$A$12)&gt;0,Categorías!$A$2:$A$12),"No encontrado")</f>
        <v>Look&amp;Feel</v>
      </c>
      <c r="AO164" s="88" t="str" cm="1">
        <f t="array" ref="AO164">IFERROR(INDEX(Funcionalidades!$A$2:$A$80,MATCH(TRUE, COUNTIF(Reporte_Gral!R164:Z164,Funcionalidades!$A$2:$A$80)&gt;0,0)),"No encontrado")</f>
        <v>Registro-De-Gastos</v>
      </c>
      <c r="AP164" s="87" t="str">
        <f>IF(AND(COUNTIF(Tabla[[#This Row],[Etiquetas]:[Etiquetas17]],"*UAT_V*")&gt;0,COUNTIF(Tabla[[#This Row],[Etiquetas]:[Etiquetas17]],"*QA-Integración*")=0),"SI","")</f>
        <v/>
      </c>
      <c r="AQ164" s="88" t="str" cm="1">
        <f t="array" ref="AQ164">IF(Tabla[[#This Row],[Fue encontrado durante UAT?]]="SI",IFERROR(_xlfn.XLOOKUP(TRUE,ISNUMBER(SEARCH("UAT_V",Tabla[[#This Row],[Etiquetas]:[Etiquetas17]])),Tabla[[#This Row],[Etiquetas]:[Etiquetas17]]),""),"")</f>
        <v/>
      </c>
      <c r="AR164" s="87" t="str">
        <f>IF(COUNTIF(Tabla[[#This Row],[Etiquetas]:[Etiquetas17]],"*Devuelto*")&gt;0,"SI","")</f>
        <v/>
      </c>
      <c r="AS164" s="167">
        <f>COUNTIF(Tabla[[#This Row],[Etiquetas]:[Etiquetas17]],"*Devuelto*")</f>
        <v>0</v>
      </c>
    </row>
    <row r="165" spans="1:45" ht="15" customHeight="1">
      <c r="A165" s="40" t="s">
        <v>128</v>
      </c>
      <c r="B165" s="40" t="s">
        <v>557</v>
      </c>
      <c r="C165" s="40">
        <v>109243</v>
      </c>
      <c r="D165" s="40" t="s">
        <v>558</v>
      </c>
      <c r="E165" s="40" t="s">
        <v>37</v>
      </c>
      <c r="F165" s="40" t="s">
        <v>26</v>
      </c>
      <c r="G165" s="40" t="s">
        <v>224</v>
      </c>
      <c r="H165" s="40" t="s">
        <v>151</v>
      </c>
      <c r="I165" s="40"/>
      <c r="J165" s="40"/>
      <c r="K165" s="40"/>
      <c r="L165" s="40"/>
      <c r="M165" s="40"/>
      <c r="N165" s="40"/>
      <c r="O165" s="40"/>
      <c r="P165" s="40"/>
      <c r="Q165" s="40"/>
      <c r="R165" s="40" t="s">
        <v>191</v>
      </c>
      <c r="S165" s="40" t="s">
        <v>371</v>
      </c>
      <c r="T165" s="40" t="s">
        <v>132</v>
      </c>
      <c r="U165" s="40" t="s">
        <v>468</v>
      </c>
      <c r="V165" s="40" t="s">
        <v>204</v>
      </c>
      <c r="W165" s="40" t="s">
        <v>154</v>
      </c>
      <c r="X165" s="40" t="s">
        <v>536</v>
      </c>
      <c r="Y165" s="40"/>
      <c r="Z165" s="40"/>
      <c r="AA165" s="40" t="s">
        <v>134</v>
      </c>
      <c r="AB165" s="53">
        <v>45968.626388888886</v>
      </c>
      <c r="AC165" s="40" t="s">
        <v>174</v>
      </c>
      <c r="AD165" s="40"/>
      <c r="AE165" s="40"/>
      <c r="AF165" s="40"/>
      <c r="AG165" s="40" t="s">
        <v>141</v>
      </c>
      <c r="AH165" s="84"/>
      <c r="AI165" s="87"/>
      <c r="AJ165" s="87" cm="1">
        <f t="array" ref="AJ165">IFERROR(_xlfn.XLOOKUP(TRUE,COUNTIF(Tabla[[#This Row],[Etiquetas]:[Etiquetas17]],Versiones!$G$2:$G$36)&gt;0,Versiones!$B$2:$B$36), "")</f>
        <v>22</v>
      </c>
      <c r="AK165" s="87" t="str" cm="1">
        <f t="array" ref="AK165">IFERROR(_xlfn.XLOOKUP(TRUE,COUNTIF(Tabla[[#This Row],[Etiquetas]:[Etiquetas17]],Versiones!$G$2:$G$36)&gt;0,Versiones!$A$2:$A$36), "")</f>
        <v>V0.11</v>
      </c>
      <c r="AL16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65" s="78">
        <f>IFERROR(_xlfn.XLOOKUP(Tabla[[#This Row],[¿En qué versión fue corregido?]],Versiones!$A$2:$A$34,Versiones!$B$2:$B$34),"No encontrado")</f>
        <v>25</v>
      </c>
      <c r="AN165" s="88" t="str" cm="1">
        <f t="array" ref="AN165">IFERROR(_xlfn.XLOOKUP(TRUE,COUNTIF(Tabla[[#This Row],[Etiquetas]:[Etiquetas17]],Categorías!$A$2:$A$12)&gt;0,Categorías!$A$2:$A$12),"No encontrado")</f>
        <v>Look&amp;Feel</v>
      </c>
      <c r="AO165" s="88" t="str" cm="1">
        <f t="array" ref="AO165">IFERROR(INDEX(Funcionalidades!$A$2:$A$80,MATCH(TRUE, COUNTIF(Reporte_Gral!R165:Z165,Funcionalidades!$A$2:$A$80)&gt;0,0)),"No encontrado")</f>
        <v>Entrega-De-Valores</v>
      </c>
      <c r="AP165" s="87" t="str">
        <f>IF(AND(COUNTIF(Tabla[[#This Row],[Etiquetas]:[Etiquetas17]],"*UAT_V*")&gt;0,COUNTIF(Tabla[[#This Row],[Etiquetas]:[Etiquetas17]],"*QA-Integración*")=0),"SI","")</f>
        <v/>
      </c>
      <c r="AQ165" s="88" t="str" cm="1">
        <f t="array" ref="AQ165">IF(Tabla[[#This Row],[Fue encontrado durante UAT?]]="SI",IFERROR(_xlfn.XLOOKUP(TRUE,ISNUMBER(SEARCH("UAT_V",Tabla[[#This Row],[Etiquetas]:[Etiquetas17]])),Tabla[[#This Row],[Etiquetas]:[Etiquetas17]]),""),"")</f>
        <v/>
      </c>
      <c r="AR165" s="87" t="str">
        <f>IF(COUNTIF(Tabla[[#This Row],[Etiquetas]:[Etiquetas17]],"*Devuelto*")&gt;0,"SI","")</f>
        <v/>
      </c>
      <c r="AS165" s="167">
        <f>COUNTIF(Tabla[[#This Row],[Etiquetas]:[Etiquetas17]],"*Devuelto*")</f>
        <v>0</v>
      </c>
    </row>
    <row r="166" spans="1:45" ht="15" customHeight="1">
      <c r="A166" s="40" t="s">
        <v>128</v>
      </c>
      <c r="B166" s="40" t="s">
        <v>559</v>
      </c>
      <c r="C166" s="40">
        <v>109245</v>
      </c>
      <c r="D166" s="40" t="s">
        <v>560</v>
      </c>
      <c r="E166" s="40" t="s">
        <v>36</v>
      </c>
      <c r="F166" s="40" t="s">
        <v>24</v>
      </c>
      <c r="G166" s="40" t="s">
        <v>561</v>
      </c>
      <c r="H166" s="40" t="s">
        <v>429</v>
      </c>
      <c r="I166" s="40" t="s">
        <v>307</v>
      </c>
      <c r="J166" s="40" t="s">
        <v>224</v>
      </c>
      <c r="K166" s="40" t="s">
        <v>151</v>
      </c>
      <c r="L166" s="40"/>
      <c r="M166" s="40"/>
      <c r="N166" s="40"/>
      <c r="O166" s="40"/>
      <c r="P166" s="40"/>
      <c r="Q166" s="40"/>
      <c r="R166" s="40" t="s">
        <v>139</v>
      </c>
      <c r="S166" s="40" t="s">
        <v>468</v>
      </c>
      <c r="T166" s="40" t="s">
        <v>323</v>
      </c>
      <c r="U166" s="40"/>
      <c r="V166" s="40"/>
      <c r="W166" s="40"/>
      <c r="X166" s="40"/>
      <c r="Y166" s="40"/>
      <c r="Z166" s="40"/>
      <c r="AA166" s="40" t="s">
        <v>217</v>
      </c>
      <c r="AB166" s="53">
        <v>45968.626388888886</v>
      </c>
      <c r="AC166" s="40"/>
      <c r="AD166" s="40"/>
      <c r="AE166" s="40"/>
      <c r="AF166" s="40"/>
      <c r="AG166" s="40" t="s">
        <v>141</v>
      </c>
      <c r="AH166" s="84"/>
      <c r="AI166" s="87"/>
      <c r="AJ166" s="87" cm="1">
        <f t="array" ref="AJ166">IFERROR(_xlfn.XLOOKUP(TRUE,COUNTIF(Tabla[[#This Row],[Etiquetas]:[Etiquetas17]],Versiones!$G$2:$G$36)&gt;0,Versiones!$B$2:$B$36), "")</f>
        <v>22</v>
      </c>
      <c r="AK166" s="87" t="str" cm="1">
        <f t="array" ref="AK166">IFERROR(_xlfn.XLOOKUP(TRUE,COUNTIF(Tabla[[#This Row],[Etiquetas]:[Etiquetas17]],Versiones!$G$2:$G$36)&gt;0,Versiones!$A$2:$A$36), "")</f>
        <v>V0.11</v>
      </c>
      <c r="AL16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6" s="78" t="str">
        <f>IFERROR(_xlfn.XLOOKUP(Tabla[[#This Row],[¿En qué versión fue corregido?]],Versiones!$A$2:$A$34,Versiones!$B$2:$B$34),"No encontrado")</f>
        <v>No encontrado</v>
      </c>
      <c r="AN166" s="88" t="str" cm="1">
        <f t="array" ref="AN166">IFERROR(_xlfn.XLOOKUP(TRUE,COUNTIF(Tabla[[#This Row],[Etiquetas]:[Etiquetas17]],Categorías!$A$2:$A$12)&gt;0,Categorías!$A$2:$A$12),"No encontrado")</f>
        <v>Funcional</v>
      </c>
      <c r="AO166" s="88" t="str" cm="1">
        <f t="array" ref="AO166">IFERROR(INDEX(Funcionalidades!$A$2:$A$80,MATCH(TRUE, COUNTIF(Reporte_Gral!R166:Z166,Funcionalidades!$A$2:$A$80)&gt;0,0)),"No encontrado")</f>
        <v>Registro-De-Gastos</v>
      </c>
      <c r="AP166" s="87" t="str">
        <f>IF(AND(COUNTIF(Tabla[[#This Row],[Etiquetas]:[Etiquetas17]],"*UAT_V*")&gt;0,COUNTIF(Tabla[[#This Row],[Etiquetas]:[Etiquetas17]],"*QA-Integración*")=0),"SI","")</f>
        <v/>
      </c>
      <c r="AQ166" s="88" t="str" cm="1">
        <f t="array" ref="AQ166">IF(Tabla[[#This Row],[Fue encontrado durante UAT?]]="SI",IFERROR(_xlfn.XLOOKUP(TRUE,ISNUMBER(SEARCH("UAT_V",Tabla[[#This Row],[Etiquetas]:[Etiquetas17]])),Tabla[[#This Row],[Etiquetas]:[Etiquetas17]]),""),"")</f>
        <v/>
      </c>
      <c r="AR166" s="87" t="str">
        <f>IF(COUNTIF(Tabla[[#This Row],[Etiquetas]:[Etiquetas17]],"*Devuelto*")&gt;0,"SI","")</f>
        <v/>
      </c>
      <c r="AS166" s="167">
        <f>COUNTIF(Tabla[[#This Row],[Etiquetas]:[Etiquetas17]],"*Devuelto*")</f>
        <v>0</v>
      </c>
    </row>
    <row r="167" spans="1:45" ht="15" customHeight="1">
      <c r="A167" s="40" t="s">
        <v>128</v>
      </c>
      <c r="B167" s="40" t="s">
        <v>562</v>
      </c>
      <c r="C167" s="40">
        <v>109240</v>
      </c>
      <c r="D167" s="40" t="s">
        <v>563</v>
      </c>
      <c r="E167" s="40" t="s">
        <v>37</v>
      </c>
      <c r="F167" s="40" t="s">
        <v>27</v>
      </c>
      <c r="G167" s="40" t="s">
        <v>561</v>
      </c>
      <c r="H167" s="40" t="s">
        <v>429</v>
      </c>
      <c r="I167" s="40" t="s">
        <v>224</v>
      </c>
      <c r="J167" s="40" t="s">
        <v>151</v>
      </c>
      <c r="K167" s="40"/>
      <c r="L167" s="40"/>
      <c r="M167" s="40"/>
      <c r="N167" s="40"/>
      <c r="O167" s="40"/>
      <c r="P167" s="40"/>
      <c r="Q167" s="40"/>
      <c r="R167" s="40" t="s">
        <v>139</v>
      </c>
      <c r="S167" s="40" t="s">
        <v>468</v>
      </c>
      <c r="T167" s="40" t="s">
        <v>152</v>
      </c>
      <c r="U167" s="40" t="s">
        <v>188</v>
      </c>
      <c r="V167" s="40"/>
      <c r="W167" s="40"/>
      <c r="X167" s="40"/>
      <c r="Y167" s="40"/>
      <c r="Z167" s="40"/>
      <c r="AA167" s="40" t="s">
        <v>217</v>
      </c>
      <c r="AB167" s="53">
        <v>45968.611805555556</v>
      </c>
      <c r="AC167" s="40"/>
      <c r="AD167" s="40"/>
      <c r="AE167" s="40"/>
      <c r="AF167" s="40"/>
      <c r="AG167" s="40" t="s">
        <v>141</v>
      </c>
      <c r="AH167" s="84"/>
      <c r="AI167" s="87"/>
      <c r="AJ167" s="87" cm="1">
        <f t="array" ref="AJ167">IFERROR(_xlfn.XLOOKUP(TRUE,COUNTIF(Tabla[[#This Row],[Etiquetas]:[Etiquetas17]],Versiones!$G$2:$G$36)&gt;0,Versiones!$B$2:$B$36), "")</f>
        <v>22</v>
      </c>
      <c r="AK167" s="87" t="str" cm="1">
        <f t="array" ref="AK167">IFERROR(_xlfn.XLOOKUP(TRUE,COUNTIF(Tabla[[#This Row],[Etiquetas]:[Etiquetas17]],Versiones!$G$2:$G$36)&gt;0,Versiones!$A$2:$A$36), "")</f>
        <v>V0.11</v>
      </c>
      <c r="AL16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7" s="78" t="str">
        <f>IFERROR(_xlfn.XLOOKUP(Tabla[[#This Row],[¿En qué versión fue corregido?]],Versiones!$A$2:$A$34,Versiones!$B$2:$B$34),"No encontrado")</f>
        <v>No encontrado</v>
      </c>
      <c r="AN167" s="88" t="str" cm="1">
        <f t="array" ref="AN167">IFERROR(_xlfn.XLOOKUP(TRUE,COUNTIF(Tabla[[#This Row],[Etiquetas]:[Etiquetas17]],Categorías!$A$2:$A$12)&gt;0,Categorías!$A$2:$A$12),"No encontrado")</f>
        <v>Funcional</v>
      </c>
      <c r="AO167" s="87" t="str" cm="1">
        <f t="array" ref="AO167">IFERROR(INDEX(Funcionalidades!$A$2:$A$80,MATCH(TRUE, COUNTIF(Reporte_Gral!R167:Z167,Funcionalidades!$A$2:$A$80)&gt;0,0)),"No encontrado")</f>
        <v>Registrar-Merma</v>
      </c>
      <c r="AP167" s="87" t="str">
        <f>IF(AND(COUNTIF(Tabla[[#This Row],[Etiquetas]:[Etiquetas17]],"*UAT_V*")&gt;0,COUNTIF(Tabla[[#This Row],[Etiquetas]:[Etiquetas17]],"*QA-Integración*")=0),"SI","")</f>
        <v/>
      </c>
      <c r="AQ167" s="88" t="str" cm="1">
        <f t="array" ref="AQ167">IF(Tabla[[#This Row],[Fue encontrado durante UAT?]]="SI",IFERROR(_xlfn.XLOOKUP(TRUE,ISNUMBER(SEARCH("UAT_V",Tabla[[#This Row],[Etiquetas]:[Etiquetas17]])),Tabla[[#This Row],[Etiquetas]:[Etiquetas17]]),""),"")</f>
        <v/>
      </c>
      <c r="AR167" s="87" t="str">
        <f>IF(COUNTIF(Tabla[[#This Row],[Etiquetas]:[Etiquetas17]],"*Devuelto*")&gt;0,"SI","")</f>
        <v/>
      </c>
      <c r="AS167" s="167">
        <f>COUNTIF(Tabla[[#This Row],[Etiquetas]:[Etiquetas17]],"*Devuelto*")</f>
        <v>0</v>
      </c>
    </row>
    <row r="168" spans="1:45" ht="15" customHeight="1">
      <c r="A168" s="40" t="s">
        <v>128</v>
      </c>
      <c r="B168" s="40" t="s">
        <v>564</v>
      </c>
      <c r="C168" s="40">
        <v>108819</v>
      </c>
      <c r="D168" s="40" t="s">
        <v>565</v>
      </c>
      <c r="E168" s="40" t="s">
        <v>37</v>
      </c>
      <c r="F168" s="40" t="s">
        <v>27</v>
      </c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 t="s">
        <v>234</v>
      </c>
      <c r="S168" s="40" t="s">
        <v>371</v>
      </c>
      <c r="T168" s="40" t="s">
        <v>132</v>
      </c>
      <c r="U168" s="40" t="s">
        <v>468</v>
      </c>
      <c r="V168" s="40"/>
      <c r="W168" s="40"/>
      <c r="X168" s="40"/>
      <c r="Y168" s="40"/>
      <c r="Z168" s="40"/>
      <c r="AA168" s="40" t="s">
        <v>217</v>
      </c>
      <c r="AB168" s="53">
        <v>45967.570833333331</v>
      </c>
      <c r="AC168" s="40" t="s">
        <v>550</v>
      </c>
      <c r="AD168" s="40"/>
      <c r="AE168" s="40"/>
      <c r="AF168" s="40"/>
      <c r="AG168" s="40" t="s">
        <v>135</v>
      </c>
      <c r="AH168" s="84"/>
      <c r="AI168" s="87"/>
      <c r="AJ168" s="87" cm="1">
        <f t="array" ref="AJ168">IFERROR(_xlfn.XLOOKUP(TRUE,COUNTIF(Tabla[[#This Row],[Etiquetas]:[Etiquetas17]],Versiones!$G$2:$G$36)&gt;0,Versiones!$B$2:$B$36), "")</f>
        <v>22</v>
      </c>
      <c r="AK168" s="87" t="str" cm="1">
        <f t="array" ref="AK168">IFERROR(_xlfn.XLOOKUP(TRUE,COUNTIF(Tabla[[#This Row],[Etiquetas]:[Etiquetas17]],Versiones!$G$2:$G$36)&gt;0,Versiones!$A$2:$A$36), "")</f>
        <v>V0.11</v>
      </c>
      <c r="AL16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V0.11</v>
      </c>
      <c r="AM168" s="78">
        <f>IFERROR(_xlfn.XLOOKUP(Tabla[[#This Row],[¿En qué versión fue corregido?]],Versiones!$A$2:$A$34,Versiones!$B$2:$B$34),"No encontrado")</f>
        <v>22</v>
      </c>
      <c r="AN168" s="88" t="str" cm="1">
        <f t="array" ref="AN168">IFERROR(_xlfn.XLOOKUP(TRUE,COUNTIF(Tabla[[#This Row],[Etiquetas]:[Etiquetas17]],Categorías!$A$2:$A$12)&gt;0,Categorías!$A$2:$A$12),"No encontrado")</f>
        <v>Look&amp;Feel</v>
      </c>
      <c r="AO168" s="88" t="str" cm="1">
        <f t="array" ref="AO168">IFERROR(INDEX(Funcionalidades!$A$2:$A$80,MATCH(TRUE, COUNTIF(Reporte_Gral!R168:Z168,Funcionalidades!$A$2:$A$80)&gt;0,0)),"No encontrado")</f>
        <v>Dashboard-Productos</v>
      </c>
      <c r="AP168" s="87" t="str">
        <f>IF(AND(COUNTIF(Tabla[[#This Row],[Etiquetas]:[Etiquetas17]],"*UAT_V*")&gt;0,COUNTIF(Tabla[[#This Row],[Etiquetas]:[Etiquetas17]],"*QA-Integración*")=0),"SI","")</f>
        <v/>
      </c>
      <c r="AQ168" s="88" t="str" cm="1">
        <f t="array" ref="AQ168">IF(Tabla[[#This Row],[Fue encontrado durante UAT?]]="SI",IFERROR(_xlfn.XLOOKUP(TRUE,ISNUMBER(SEARCH("UAT_V",Tabla[[#This Row],[Etiquetas]:[Etiquetas17]])),Tabla[[#This Row],[Etiquetas]:[Etiquetas17]]),""),"")</f>
        <v/>
      </c>
      <c r="AR168" s="87" t="str">
        <f>IF(COUNTIF(Tabla[[#This Row],[Etiquetas]:[Etiquetas17]],"*Devuelto*")&gt;0,"SI","")</f>
        <v/>
      </c>
      <c r="AS168" s="167">
        <f>COUNTIF(Tabla[[#This Row],[Etiquetas]:[Etiquetas17]],"*Devuelto*")</f>
        <v>0</v>
      </c>
    </row>
    <row r="169" spans="1:45" ht="15" customHeight="1">
      <c r="A169" s="40" t="s">
        <v>128</v>
      </c>
      <c r="B169" s="40" t="s">
        <v>566</v>
      </c>
      <c r="C169" s="40">
        <v>108505</v>
      </c>
      <c r="D169" s="40" t="s">
        <v>567</v>
      </c>
      <c r="E169" s="40" t="s">
        <v>36</v>
      </c>
      <c r="F169" s="40" t="s">
        <v>27</v>
      </c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 t="s">
        <v>191</v>
      </c>
      <c r="S169" s="40" t="s">
        <v>139</v>
      </c>
      <c r="T169" s="40" t="s">
        <v>468</v>
      </c>
      <c r="U169" s="40" t="s">
        <v>194</v>
      </c>
      <c r="V169" s="40" t="s">
        <v>536</v>
      </c>
      <c r="W169" s="40"/>
      <c r="X169" s="40"/>
      <c r="Y169" s="40"/>
      <c r="Z169" s="40"/>
      <c r="AA169" s="40" t="s">
        <v>134</v>
      </c>
      <c r="AB169" s="53">
        <v>45966.672222222223</v>
      </c>
      <c r="AC169" s="40"/>
      <c r="AD169" s="40"/>
      <c r="AE169" s="40"/>
      <c r="AF169" s="40"/>
      <c r="AG169" s="40" t="s">
        <v>141</v>
      </c>
      <c r="AH169" s="84"/>
      <c r="AI169" s="87"/>
      <c r="AJ169" s="87" cm="1">
        <f t="array" ref="AJ169">IFERROR(_xlfn.XLOOKUP(TRUE,COUNTIF(Tabla[[#This Row],[Etiquetas]:[Etiquetas17]],Versiones!$G$2:$G$36)&gt;0,Versiones!$B$2:$B$36), "")</f>
        <v>22</v>
      </c>
      <c r="AK169" s="87" t="str" cm="1">
        <f t="array" ref="AK169">IFERROR(_xlfn.XLOOKUP(TRUE,COUNTIF(Tabla[[#This Row],[Etiquetas]:[Etiquetas17]],Versiones!$G$2:$G$36)&gt;0,Versiones!$A$2:$A$36), "")</f>
        <v>V0.11</v>
      </c>
      <c r="AL16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69" s="78" t="str">
        <f>IFERROR(_xlfn.XLOOKUP(Tabla[[#This Row],[¿En qué versión fue corregido?]],Versiones!$A$2:$A$34,Versiones!$B$2:$B$34),"No encontrado")</f>
        <v>No encontrado</v>
      </c>
      <c r="AN169" s="88" t="str" cm="1">
        <f t="array" ref="AN169">IFERROR(_xlfn.XLOOKUP(TRUE,COUNTIF(Tabla[[#This Row],[Etiquetas]:[Etiquetas17]],Categorías!$A$2:$A$12)&gt;0,Categorías!$A$2:$A$12),"No encontrado")</f>
        <v>Funcional</v>
      </c>
      <c r="AO169" s="88" t="str" cm="1">
        <f t="array" ref="AO169">IFERROR(INDEX(Funcionalidades!$A$2:$A$80,MATCH(TRUE, COUNTIF(Reporte_Gral!R169:Z169,Funcionalidades!$A$2:$A$80)&gt;0,0)),"No encontrado")</f>
        <v>Entrega-De-Valores</v>
      </c>
      <c r="AP169" s="87" t="str">
        <f>IF(AND(COUNTIF(Tabla[[#This Row],[Etiquetas]:[Etiquetas17]],"*UAT_V*")&gt;0,COUNTIF(Tabla[[#This Row],[Etiquetas]:[Etiquetas17]],"*QA-Integración*")=0),"SI","")</f>
        <v/>
      </c>
      <c r="AQ169" s="88" t="str" cm="1">
        <f t="array" ref="AQ169">IF(Tabla[[#This Row],[Fue encontrado durante UAT?]]="SI",IFERROR(_xlfn.XLOOKUP(TRUE,ISNUMBER(SEARCH("UAT_V",Tabla[[#This Row],[Etiquetas]:[Etiquetas17]])),Tabla[[#This Row],[Etiquetas]:[Etiquetas17]]),""),"")</f>
        <v/>
      </c>
      <c r="AR169" s="87" t="str">
        <f>IF(COUNTIF(Tabla[[#This Row],[Etiquetas]:[Etiquetas17]],"*Devuelto*")&gt;0,"SI","")</f>
        <v/>
      </c>
      <c r="AS169" s="167">
        <f>COUNTIF(Tabla[[#This Row],[Etiquetas]:[Etiquetas17]],"*Devuelto*")</f>
        <v>0</v>
      </c>
    </row>
    <row r="170" spans="1:45" ht="15" customHeight="1">
      <c r="A170" s="40" t="s">
        <v>128</v>
      </c>
      <c r="B170" s="40" t="s">
        <v>568</v>
      </c>
      <c r="C170" s="40">
        <v>108502</v>
      </c>
      <c r="D170" s="40" t="s">
        <v>569</v>
      </c>
      <c r="E170" s="40" t="s">
        <v>36</v>
      </c>
      <c r="F170" s="40" t="s">
        <v>24</v>
      </c>
      <c r="G170" s="40" t="s">
        <v>561</v>
      </c>
      <c r="H170" s="40" t="s">
        <v>429</v>
      </c>
      <c r="I170" s="40" t="s">
        <v>224</v>
      </c>
      <c r="J170" s="40" t="s">
        <v>151</v>
      </c>
      <c r="K170" s="40"/>
      <c r="L170" s="40"/>
      <c r="M170" s="40"/>
      <c r="N170" s="40"/>
      <c r="O170" s="40"/>
      <c r="P170" s="40"/>
      <c r="Q170" s="40"/>
      <c r="R170" s="40" t="s">
        <v>139</v>
      </c>
      <c r="S170" s="40" t="s">
        <v>476</v>
      </c>
      <c r="T170" s="40" t="s">
        <v>468</v>
      </c>
      <c r="U170" s="40" t="s">
        <v>226</v>
      </c>
      <c r="V170" s="40" t="s">
        <v>154</v>
      </c>
      <c r="W170" s="40"/>
      <c r="X170" s="40"/>
      <c r="Y170" s="40"/>
      <c r="Z170" s="40"/>
      <c r="AA170" s="40" t="s">
        <v>217</v>
      </c>
      <c r="AB170" s="53">
        <v>45966.665972222225</v>
      </c>
      <c r="AC170" s="40"/>
      <c r="AD170" s="40"/>
      <c r="AE170" s="40"/>
      <c r="AF170" s="40"/>
      <c r="AG170" s="40" t="s">
        <v>135</v>
      </c>
      <c r="AH170" s="84"/>
      <c r="AI170" s="87"/>
      <c r="AJ170" s="87" cm="1">
        <f t="array" ref="AJ170">IFERROR(_xlfn.XLOOKUP(TRUE,COUNTIF(Tabla[[#This Row],[Etiquetas]:[Etiquetas17]],Versiones!$G$2:$G$36)&gt;0,Versiones!$B$2:$B$36), "")</f>
        <v>22</v>
      </c>
      <c r="AK170" s="87" t="str" cm="1">
        <f t="array" ref="AK170">IFERROR(_xlfn.XLOOKUP(TRUE,COUNTIF(Tabla[[#This Row],[Etiquetas]:[Etiquetas17]],Versiones!$G$2:$G$36)&gt;0,Versiones!$A$2:$A$36), "")</f>
        <v>V0.11</v>
      </c>
      <c r="AL17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0" s="78" t="str">
        <f>IFERROR(_xlfn.XLOOKUP(Tabla[[#This Row],[¿En qué versión fue corregido?]],Versiones!$A$2:$A$34,Versiones!$B$2:$B$34),"No encontrado")</f>
        <v>No encontrado</v>
      </c>
      <c r="AN170" s="88" t="str" cm="1">
        <f t="array" ref="AN170">IFERROR(_xlfn.XLOOKUP(TRUE,COUNTIF(Tabla[[#This Row],[Etiquetas]:[Etiquetas17]],Categorías!$A$2:$A$12)&gt;0,Categorías!$A$2:$A$12),"No encontrado")</f>
        <v>Funcional</v>
      </c>
      <c r="AO170" s="88" t="str" cm="1">
        <f t="array" ref="AO170">IFERROR(INDEX(Funcionalidades!$A$2:$A$80,MATCH(TRUE, COUNTIF(Reporte_Gral!R170:Z170,Funcionalidades!$A$2:$A$80)&gt;0,0)),"No encontrado")</f>
        <v>Pago-CODI</v>
      </c>
      <c r="AP170" s="87" t="str">
        <f>IF(AND(COUNTIF(Tabla[[#This Row],[Etiquetas]:[Etiquetas17]],"*UAT_V*")&gt;0,COUNTIF(Tabla[[#This Row],[Etiquetas]:[Etiquetas17]],"*QA-Integración*")=0),"SI","")</f>
        <v/>
      </c>
      <c r="AQ170" s="88" t="str" cm="1">
        <f t="array" ref="AQ170">IF(Tabla[[#This Row],[Fue encontrado durante UAT?]]="SI",IFERROR(_xlfn.XLOOKUP(TRUE,ISNUMBER(SEARCH("UAT_V",Tabla[[#This Row],[Etiquetas]:[Etiquetas17]])),Tabla[[#This Row],[Etiquetas]:[Etiquetas17]]),""),"")</f>
        <v/>
      </c>
      <c r="AR170" s="87" t="str">
        <f>IF(COUNTIF(Tabla[[#This Row],[Etiquetas]:[Etiquetas17]],"*Devuelto*")&gt;0,"SI","")</f>
        <v/>
      </c>
      <c r="AS170" s="167">
        <f>COUNTIF(Tabla[[#This Row],[Etiquetas]:[Etiquetas17]],"*Devuelto*")</f>
        <v>0</v>
      </c>
    </row>
    <row r="171" spans="1:45" ht="15" customHeight="1">
      <c r="A171" s="40" t="s">
        <v>128</v>
      </c>
      <c r="B171" s="40" t="s">
        <v>570</v>
      </c>
      <c r="C171" s="40">
        <v>108496</v>
      </c>
      <c r="D171" s="40" t="s">
        <v>571</v>
      </c>
      <c r="E171" s="40" t="s">
        <v>41</v>
      </c>
      <c r="F171" s="40" t="s">
        <v>24</v>
      </c>
      <c r="G171" s="40" t="s">
        <v>224</v>
      </c>
      <c r="H171" s="40" t="s">
        <v>151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 t="s">
        <v>139</v>
      </c>
      <c r="S171" s="40" t="s">
        <v>371</v>
      </c>
      <c r="T171" s="40" t="s">
        <v>468</v>
      </c>
      <c r="U171" s="40" t="s">
        <v>152</v>
      </c>
      <c r="V171" s="40" t="s">
        <v>204</v>
      </c>
      <c r="W171" s="40" t="s">
        <v>154</v>
      </c>
      <c r="X171" s="40" t="s">
        <v>536</v>
      </c>
      <c r="Y171" s="40"/>
      <c r="Z171" s="40"/>
      <c r="AA171" s="40" t="s">
        <v>134</v>
      </c>
      <c r="AB171" s="53">
        <v>45966.662499999999</v>
      </c>
      <c r="AC171" s="40"/>
      <c r="AD171" s="40"/>
      <c r="AE171" s="40"/>
      <c r="AF171" s="40"/>
      <c r="AG171" s="40" t="s">
        <v>141</v>
      </c>
      <c r="AH171" s="10" t="s">
        <v>159</v>
      </c>
      <c r="AI171" s="87"/>
      <c r="AJ171" s="87" cm="1">
        <f t="array" ref="AJ171">IFERROR(_xlfn.XLOOKUP(TRUE,COUNTIF(Tabla[[#This Row],[Etiquetas]:[Etiquetas17]],Versiones!$G$2:$G$36)&gt;0,Versiones!$B$2:$B$36), "")</f>
        <v>22</v>
      </c>
      <c r="AK171" s="87" t="str" cm="1">
        <f t="array" ref="AK171">IFERROR(_xlfn.XLOOKUP(TRUE,COUNTIF(Tabla[[#This Row],[Etiquetas]:[Etiquetas17]],Versiones!$G$2:$G$36)&gt;0,Versiones!$A$2:$A$36), "")</f>
        <v>V0.11</v>
      </c>
      <c r="AL17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1" s="78" t="str">
        <f>IFERROR(_xlfn.XLOOKUP(Tabla[[#This Row],[¿En qué versión fue corregido?]],Versiones!$A$2:$A$34,Versiones!$B$2:$B$34),"No encontrado")</f>
        <v>No encontrado</v>
      </c>
      <c r="AN171" s="88" t="str" cm="1">
        <f t="array" ref="AN171">IFERROR(_xlfn.XLOOKUP(TRUE,COUNTIF(Tabla[[#This Row],[Etiquetas]:[Etiquetas17]],Categorías!$A$2:$A$12)&gt;0,Categorías!$A$2:$A$12),"No encontrado")</f>
        <v>Funcional</v>
      </c>
      <c r="AO171" s="87" t="str" cm="1">
        <f t="array" ref="AO171">IFERROR(INDEX(Funcionalidades!$A$2:$A$80,MATCH(TRUE, COUNTIF(Reporte_Gral!R171:Z171,Funcionalidades!$A$2:$A$80)&gt;0,0)),"No encontrado")</f>
        <v>Registrar-Merma</v>
      </c>
      <c r="AP171" s="87" t="str">
        <f>IF(AND(COUNTIF(Tabla[[#This Row],[Etiquetas]:[Etiquetas17]],"*UAT_V*")&gt;0,COUNTIF(Tabla[[#This Row],[Etiquetas]:[Etiquetas17]],"*QA-Integración*")=0),"SI","")</f>
        <v/>
      </c>
      <c r="AQ171" s="88" t="str" cm="1">
        <f t="array" ref="AQ171">IF(Tabla[[#This Row],[Fue encontrado durante UAT?]]="SI",IFERROR(_xlfn.XLOOKUP(TRUE,ISNUMBER(SEARCH("UAT_V",Tabla[[#This Row],[Etiquetas]:[Etiquetas17]])),Tabla[[#This Row],[Etiquetas]:[Etiquetas17]]),""),"")</f>
        <v/>
      </c>
      <c r="AR171" s="87" t="str">
        <f>IF(COUNTIF(Tabla[[#This Row],[Etiquetas]:[Etiquetas17]],"*Devuelto*")&gt;0,"SI","")</f>
        <v/>
      </c>
      <c r="AS171" s="167">
        <f>COUNTIF(Tabla[[#This Row],[Etiquetas]:[Etiquetas17]],"*Devuelto*")</f>
        <v>0</v>
      </c>
    </row>
    <row r="172" spans="1:45" ht="15" customHeight="1">
      <c r="A172" s="40" t="s">
        <v>128</v>
      </c>
      <c r="B172" s="40" t="s">
        <v>572</v>
      </c>
      <c r="C172" s="40">
        <v>108490</v>
      </c>
      <c r="D172" s="40" t="s">
        <v>573</v>
      </c>
      <c r="E172" s="40" t="s">
        <v>36</v>
      </c>
      <c r="F172" s="40" t="s">
        <v>27</v>
      </c>
      <c r="G172" s="40" t="s">
        <v>561</v>
      </c>
      <c r="H172" s="40" t="s">
        <v>429</v>
      </c>
      <c r="I172" s="40" t="s">
        <v>224</v>
      </c>
      <c r="J172" s="40" t="s">
        <v>151</v>
      </c>
      <c r="K172" s="40"/>
      <c r="L172" s="40"/>
      <c r="M172" s="40"/>
      <c r="N172" s="40"/>
      <c r="O172" s="40"/>
      <c r="P172" s="40"/>
      <c r="Q172" s="40"/>
      <c r="R172" s="40" t="s">
        <v>302</v>
      </c>
      <c r="S172" s="40" t="s">
        <v>139</v>
      </c>
      <c r="T172" s="40" t="s">
        <v>468</v>
      </c>
      <c r="U172" s="40" t="s">
        <v>471</v>
      </c>
      <c r="V172" s="40"/>
      <c r="W172" s="40"/>
      <c r="X172" s="40"/>
      <c r="Y172" s="40"/>
      <c r="Z172" s="40"/>
      <c r="AA172" s="40" t="s">
        <v>217</v>
      </c>
      <c r="AB172" s="53">
        <v>45966.627083333333</v>
      </c>
      <c r="AC172" s="40"/>
      <c r="AD172" s="40"/>
      <c r="AE172" s="40"/>
      <c r="AF172" s="40"/>
      <c r="AG172" s="40" t="s">
        <v>135</v>
      </c>
      <c r="AH172" s="10" t="s">
        <v>159</v>
      </c>
      <c r="AI172" s="87"/>
      <c r="AJ172" s="87" cm="1">
        <f t="array" ref="AJ172">IFERROR(_xlfn.XLOOKUP(TRUE,COUNTIF(Tabla[[#This Row],[Etiquetas]:[Etiquetas17]],Versiones!$G$2:$G$36)&gt;0,Versiones!$B$2:$B$36), "")</f>
        <v>22</v>
      </c>
      <c r="AK172" s="87" t="str" cm="1">
        <f t="array" ref="AK172">IFERROR(_xlfn.XLOOKUP(TRUE,COUNTIF(Tabla[[#This Row],[Etiquetas]:[Etiquetas17]],Versiones!$G$2:$G$36)&gt;0,Versiones!$A$2:$A$36), "")</f>
        <v>V0.11</v>
      </c>
      <c r="AL17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2" s="78" t="str">
        <f>IFERROR(_xlfn.XLOOKUP(Tabla[[#This Row],[¿En qué versión fue corregido?]],Versiones!$A$2:$A$34,Versiones!$B$2:$B$34),"No encontrado")</f>
        <v>No encontrado</v>
      </c>
      <c r="AN172" s="88" t="str" cm="1">
        <f t="array" ref="AN172">IFERROR(_xlfn.XLOOKUP(TRUE,COUNTIF(Tabla[[#This Row],[Etiquetas]:[Etiquetas17]],Categorías!$A$2:$A$12)&gt;0,Categorías!$A$2:$A$12),"No encontrado")</f>
        <v>Funcional</v>
      </c>
      <c r="AO172" s="87" t="str" cm="1">
        <f t="array" ref="AO172">IFERROR(INDEX(Funcionalidades!$A$2:$A$80,MATCH(TRUE, COUNTIF(Reporte_Gral!R172:Z172,Funcionalidades!$A$2:$A$80)&gt;0,0)),"No encontrado")</f>
        <v>Devoluciones</v>
      </c>
      <c r="AP172" s="87" t="str">
        <f>IF(AND(COUNTIF(Tabla[[#This Row],[Etiquetas]:[Etiquetas17]],"*UAT_V*")&gt;0,COUNTIF(Tabla[[#This Row],[Etiquetas]:[Etiquetas17]],"*QA-Integración*")=0),"SI","")</f>
        <v/>
      </c>
      <c r="AQ172" s="88" t="str" cm="1">
        <f t="array" ref="AQ172">IF(Tabla[[#This Row],[Fue encontrado durante UAT?]]="SI",IFERROR(_xlfn.XLOOKUP(TRUE,ISNUMBER(SEARCH("UAT_V",Tabla[[#This Row],[Etiquetas]:[Etiquetas17]])),Tabla[[#This Row],[Etiquetas]:[Etiquetas17]]),""),"")</f>
        <v/>
      </c>
      <c r="AR172" s="87" t="str">
        <f>IF(COUNTIF(Tabla[[#This Row],[Etiquetas]:[Etiquetas17]],"*Devuelto*")&gt;0,"SI","")</f>
        <v/>
      </c>
      <c r="AS172" s="167">
        <f>COUNTIF(Tabla[[#This Row],[Etiquetas]:[Etiquetas17]],"*Devuelto*")</f>
        <v>0</v>
      </c>
    </row>
    <row r="173" spans="1:45" ht="15" customHeight="1">
      <c r="A173" s="40" t="s">
        <v>128</v>
      </c>
      <c r="B173" s="40" t="s">
        <v>574</v>
      </c>
      <c r="C173" s="40">
        <v>108481</v>
      </c>
      <c r="D173" s="40" t="s">
        <v>575</v>
      </c>
      <c r="E173" s="40" t="s">
        <v>40</v>
      </c>
      <c r="F173" s="40" t="s">
        <v>27</v>
      </c>
      <c r="G173" s="40" t="s">
        <v>561</v>
      </c>
      <c r="H173" s="40" t="s">
        <v>429</v>
      </c>
      <c r="I173" s="40" t="s">
        <v>224</v>
      </c>
      <c r="J173" s="40" t="s">
        <v>151</v>
      </c>
      <c r="K173" s="40"/>
      <c r="L173" s="40"/>
      <c r="M173" s="40"/>
      <c r="N173" s="40"/>
      <c r="O173" s="40"/>
      <c r="P173" s="40"/>
      <c r="Q173" s="40"/>
      <c r="R173" s="40" t="s">
        <v>273</v>
      </c>
      <c r="S173" s="40" t="s">
        <v>139</v>
      </c>
      <c r="T173" s="40" t="s">
        <v>468</v>
      </c>
      <c r="U173" s="40" t="s">
        <v>576</v>
      </c>
      <c r="V173" s="40" t="s">
        <v>226</v>
      </c>
      <c r="W173" s="40" t="s">
        <v>154</v>
      </c>
      <c r="X173" s="40" t="s">
        <v>188</v>
      </c>
      <c r="Y173" s="40"/>
      <c r="Z173" s="40"/>
      <c r="AA173" s="40" t="s">
        <v>217</v>
      </c>
      <c r="AB173" s="53">
        <v>45966.600694444445</v>
      </c>
      <c r="AC173" s="40" t="s">
        <v>174</v>
      </c>
      <c r="AD173" s="40"/>
      <c r="AE173" s="40"/>
      <c r="AF173" s="40"/>
      <c r="AG173" s="40" t="s">
        <v>135</v>
      </c>
      <c r="AH173" s="10" t="s">
        <v>159</v>
      </c>
      <c r="AI173" s="87"/>
      <c r="AJ173" s="87" cm="1">
        <f t="array" ref="AJ173">IFERROR(_xlfn.XLOOKUP(TRUE,COUNTIF(Tabla[[#This Row],[Etiquetas]:[Etiquetas17]],Versiones!$G$2:$G$36)&gt;0,Versiones!$B$2:$B$36), "")</f>
        <v>22</v>
      </c>
      <c r="AK173" s="87" t="str" cm="1">
        <f t="array" ref="AK173">IFERROR(_xlfn.XLOOKUP(TRUE,COUNTIF(Tabla[[#This Row],[Etiquetas]:[Etiquetas17]],Versiones!$G$2:$G$36)&gt;0,Versiones!$A$2:$A$36), "")</f>
        <v>V0.11</v>
      </c>
      <c r="AL17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73" s="78">
        <f>IFERROR(_xlfn.XLOOKUP(Tabla[[#This Row],[¿En qué versión fue corregido?]],Versiones!$A$2:$A$34,Versiones!$B$2:$B$34),"No encontrado")</f>
        <v>25</v>
      </c>
      <c r="AN173" s="88" t="str" cm="1">
        <f t="array" ref="AN173">IFERROR(_xlfn.XLOOKUP(TRUE,COUNTIF(Tabla[[#This Row],[Etiquetas]:[Etiquetas17]],Categorías!$A$2:$A$12)&gt;0,Categorías!$A$2:$A$12),"No encontrado")</f>
        <v>Funcional</v>
      </c>
      <c r="AO173" s="87" t="str" cm="1">
        <f t="array" ref="AO173">IFERROR(INDEX(Funcionalidades!$A$2:$A$80,MATCH(TRUE, COUNTIF(Reporte_Gral!R173:Z173,Funcionalidades!$A$2:$A$80)&gt;0,0)),"No encontrado")</f>
        <v>Reimprimir-Ticket</v>
      </c>
      <c r="AP173" s="87" t="str">
        <f>IF(AND(COUNTIF(Tabla[[#This Row],[Etiquetas]:[Etiquetas17]],"*UAT_V*")&gt;0,COUNTIF(Tabla[[#This Row],[Etiquetas]:[Etiquetas17]],"*QA-Integración*")=0),"SI","")</f>
        <v/>
      </c>
      <c r="AQ173" s="88" t="str" cm="1">
        <f t="array" ref="AQ173">IF(Tabla[[#This Row],[Fue encontrado durante UAT?]]="SI",IFERROR(_xlfn.XLOOKUP(TRUE,ISNUMBER(SEARCH("UAT_V",Tabla[[#This Row],[Etiquetas]:[Etiquetas17]])),Tabla[[#This Row],[Etiquetas]:[Etiquetas17]]),""),"")</f>
        <v/>
      </c>
      <c r="AR173" s="87" t="str">
        <f>IF(COUNTIF(Tabla[[#This Row],[Etiquetas]:[Etiquetas17]],"*Devuelto*")&gt;0,"SI","")</f>
        <v>SI</v>
      </c>
      <c r="AS173" s="167">
        <f>COUNTIF(Tabla[[#This Row],[Etiquetas]:[Etiquetas17]],"*Devuelto*")</f>
        <v>1</v>
      </c>
    </row>
    <row r="174" spans="1:45" ht="15" customHeight="1">
      <c r="A174" s="40" t="s">
        <v>128</v>
      </c>
      <c r="B174" s="40" t="s">
        <v>577</v>
      </c>
      <c r="C174" s="40">
        <v>108479</v>
      </c>
      <c r="D174" s="40" t="s">
        <v>578</v>
      </c>
      <c r="E174" s="40" t="s">
        <v>41</v>
      </c>
      <c r="F174" s="40" t="s">
        <v>26</v>
      </c>
      <c r="G174" s="40" t="s">
        <v>561</v>
      </c>
      <c r="H174" s="40" t="s">
        <v>429</v>
      </c>
      <c r="I174" s="40" t="s">
        <v>224</v>
      </c>
      <c r="J174" s="40" t="s">
        <v>151</v>
      </c>
      <c r="K174" s="40"/>
      <c r="L174" s="40"/>
      <c r="M174" s="40"/>
      <c r="N174" s="40"/>
      <c r="O174" s="40"/>
      <c r="P174" s="40"/>
      <c r="Q174" s="40"/>
      <c r="R174" s="40" t="s">
        <v>579</v>
      </c>
      <c r="S174" s="40" t="s">
        <v>273</v>
      </c>
      <c r="T174" s="40" t="s">
        <v>420</v>
      </c>
      <c r="U174" s="40" t="s">
        <v>131</v>
      </c>
      <c r="V174" s="40" t="s">
        <v>139</v>
      </c>
      <c r="W174" s="40" t="s">
        <v>468</v>
      </c>
      <c r="X174" s="40" t="s">
        <v>580</v>
      </c>
      <c r="Y174" s="40" t="s">
        <v>226</v>
      </c>
      <c r="Z174" s="40" t="s">
        <v>154</v>
      </c>
      <c r="AA174" s="40" t="s">
        <v>217</v>
      </c>
      <c r="AB174" s="53">
        <v>45966.597916666666</v>
      </c>
      <c r="AC174" s="40" t="s">
        <v>448</v>
      </c>
      <c r="AD174" s="40" t="s">
        <v>329</v>
      </c>
      <c r="AE174" s="40" t="s">
        <v>174</v>
      </c>
      <c r="AF174" s="40"/>
      <c r="AG174" s="40" t="s">
        <v>135</v>
      </c>
      <c r="AH174" s="10" t="s">
        <v>136</v>
      </c>
      <c r="AI174" s="87"/>
      <c r="AJ174" s="87" cm="1">
        <f t="array" ref="AJ174">IFERROR(_xlfn.XLOOKUP(TRUE,COUNTIF(Tabla[[#This Row],[Etiquetas]:[Etiquetas17]],Versiones!$G$2:$G$36)&gt;0,Versiones!$B$2:$B$36), "")</f>
        <v>22</v>
      </c>
      <c r="AK174" s="87" t="str" cm="1">
        <f t="array" ref="AK174">IFERROR(_xlfn.XLOOKUP(TRUE,COUNTIF(Tabla[[#This Row],[Etiquetas]:[Etiquetas17]],Versiones!$G$2:$G$36)&gt;0,Versiones!$A$2:$A$36), "")</f>
        <v>V0.11</v>
      </c>
      <c r="AL17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74" s="78">
        <f>IFERROR(_xlfn.XLOOKUP(Tabla[[#This Row],[¿En qué versión fue corregido?]],Versiones!$A$2:$A$34,Versiones!$B$2:$B$34),"No encontrado")</f>
        <v>25</v>
      </c>
      <c r="AN174" s="88" t="str" cm="1">
        <f t="array" ref="AN174">IFERROR(_xlfn.XLOOKUP(TRUE,COUNTIF(Tabla[[#This Row],[Etiquetas]:[Etiquetas17]],Categorías!$A$2:$A$12)&gt;0,Categorías!$A$2:$A$12),"No encontrado")</f>
        <v>Funcional</v>
      </c>
      <c r="AO174" s="88" t="str" cm="1">
        <f t="array" ref="AO174">IFERROR(INDEX(Funcionalidades!$A$2:$A$80,MATCH(TRUE, COUNTIF(Reporte_Gral!R174:Z174,Funcionalidades!$A$2:$A$80)&gt;0,0)),"No encontrado")</f>
        <v>Controlar-Gaveta</v>
      </c>
      <c r="AP174" s="87" t="str">
        <f>IF(AND(COUNTIF(Tabla[[#This Row],[Etiquetas]:[Etiquetas17]],"*UAT_V*")&gt;0,COUNTIF(Tabla[[#This Row],[Etiquetas]:[Etiquetas17]],"*QA-Integración*")=0),"SI","")</f>
        <v/>
      </c>
      <c r="AQ174" s="88" t="str" cm="1">
        <f t="array" ref="AQ174">IF(Tabla[[#This Row],[Fue encontrado durante UAT?]]="SI",IFERROR(_xlfn.XLOOKUP(TRUE,ISNUMBER(SEARCH("UAT_V",Tabla[[#This Row],[Etiquetas]:[Etiquetas17]])),Tabla[[#This Row],[Etiquetas]:[Etiquetas17]]),""),"")</f>
        <v/>
      </c>
      <c r="AR174" s="87" t="str">
        <f>IF(COUNTIF(Tabla[[#This Row],[Etiquetas]:[Etiquetas17]],"*Devuelto*")&gt;0,"SI","")</f>
        <v>SI</v>
      </c>
      <c r="AS174" s="167">
        <f>COUNTIF(Tabla[[#This Row],[Etiquetas]:[Etiquetas17]],"*Devuelto*")</f>
        <v>3</v>
      </c>
    </row>
    <row r="175" spans="1:45" ht="15" customHeight="1">
      <c r="A175" s="40" t="s">
        <v>128</v>
      </c>
      <c r="B175" s="40" t="s">
        <v>581</v>
      </c>
      <c r="C175" s="40">
        <v>108329</v>
      </c>
      <c r="D175" s="40" t="s">
        <v>582</v>
      </c>
      <c r="E175" s="40" t="s">
        <v>37</v>
      </c>
      <c r="F175" s="40" t="s">
        <v>27</v>
      </c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 t="s">
        <v>191</v>
      </c>
      <c r="S175" s="40" t="s">
        <v>139</v>
      </c>
      <c r="T175" s="40" t="s">
        <v>468</v>
      </c>
      <c r="U175" s="40" t="s">
        <v>536</v>
      </c>
      <c r="V175" s="40"/>
      <c r="W175" s="40"/>
      <c r="X175" s="40"/>
      <c r="Y175" s="40"/>
      <c r="Z175" s="40"/>
      <c r="AA175" s="40" t="s">
        <v>134</v>
      </c>
      <c r="AB175" s="53">
        <v>45966.370833333334</v>
      </c>
      <c r="AC175" s="40"/>
      <c r="AD175" s="40"/>
      <c r="AE175" s="40"/>
      <c r="AF175" s="40"/>
      <c r="AG175" s="40" t="s">
        <v>141</v>
      </c>
      <c r="AH175" s="42" t="s">
        <v>159</v>
      </c>
      <c r="AI175" s="87"/>
      <c r="AJ175" s="87" cm="1">
        <f t="array" ref="AJ175">IFERROR(_xlfn.XLOOKUP(TRUE,COUNTIF(Tabla[[#This Row],[Etiquetas]:[Etiquetas17]],Versiones!$G$2:$G$36)&gt;0,Versiones!$B$2:$B$36), "")</f>
        <v>22</v>
      </c>
      <c r="AK175" s="87" t="str" cm="1">
        <f t="array" ref="AK175">IFERROR(_xlfn.XLOOKUP(TRUE,COUNTIF(Tabla[[#This Row],[Etiquetas]:[Etiquetas17]],Versiones!$G$2:$G$36)&gt;0,Versiones!$A$2:$A$36), "")</f>
        <v>V0.11</v>
      </c>
      <c r="AL17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5" s="78" t="str">
        <f>IFERROR(_xlfn.XLOOKUP(Tabla[[#This Row],[¿En qué versión fue corregido?]],Versiones!$A$2:$A$34,Versiones!$B$2:$B$34),"No encontrado")</f>
        <v>No encontrado</v>
      </c>
      <c r="AN175" s="88" t="str" cm="1">
        <f t="array" ref="AN175">IFERROR(_xlfn.XLOOKUP(TRUE,COUNTIF(Tabla[[#This Row],[Etiquetas]:[Etiquetas17]],Categorías!$A$2:$A$12)&gt;0,Categorías!$A$2:$A$12),"No encontrado")</f>
        <v>Funcional</v>
      </c>
      <c r="AO175" s="88" t="str" cm="1">
        <f t="array" ref="AO175">IFERROR(INDEX(Funcionalidades!$A$2:$A$80,MATCH(TRUE, COUNTIF(Reporte_Gral!R175:Z175,Funcionalidades!$A$2:$A$80)&gt;0,0)),"No encontrado")</f>
        <v>Entrega-De-Valores</v>
      </c>
      <c r="AP175" s="87" t="str">
        <f>IF(AND(COUNTIF(Tabla[[#This Row],[Etiquetas]:[Etiquetas17]],"*UAT_V*")&gt;0,COUNTIF(Tabla[[#This Row],[Etiquetas]:[Etiquetas17]],"*QA-Integración*")=0),"SI","")</f>
        <v/>
      </c>
      <c r="AQ175" s="88" t="str" cm="1">
        <f t="array" ref="AQ175">IF(Tabla[[#This Row],[Fue encontrado durante UAT?]]="SI",IFERROR(_xlfn.XLOOKUP(TRUE,ISNUMBER(SEARCH("UAT_V",Tabla[[#This Row],[Etiquetas]:[Etiquetas17]])),Tabla[[#This Row],[Etiquetas]:[Etiquetas17]]),""),"")</f>
        <v/>
      </c>
      <c r="AR175" s="87" t="str">
        <f>IF(COUNTIF(Tabla[[#This Row],[Etiquetas]:[Etiquetas17]],"*Devuelto*")&gt;0,"SI","")</f>
        <v/>
      </c>
      <c r="AS175" s="167">
        <f>COUNTIF(Tabla[[#This Row],[Etiquetas]:[Etiquetas17]],"*Devuelto*")</f>
        <v>0</v>
      </c>
    </row>
    <row r="176" spans="1:45" ht="15" customHeight="1">
      <c r="A176" s="40" t="s">
        <v>128</v>
      </c>
      <c r="B176" s="40" t="s">
        <v>583</v>
      </c>
      <c r="C176" s="40">
        <v>108319</v>
      </c>
      <c r="D176" s="40" t="s">
        <v>584</v>
      </c>
      <c r="E176" s="40" t="s">
        <v>37</v>
      </c>
      <c r="F176" s="40" t="s">
        <v>24</v>
      </c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 t="s">
        <v>191</v>
      </c>
      <c r="S176" s="40" t="s">
        <v>371</v>
      </c>
      <c r="T176" s="40" t="s">
        <v>132</v>
      </c>
      <c r="U176" s="40" t="s">
        <v>468</v>
      </c>
      <c r="V176" s="40" t="s">
        <v>204</v>
      </c>
      <c r="W176" s="40" t="s">
        <v>154</v>
      </c>
      <c r="X176" s="40" t="s">
        <v>536</v>
      </c>
      <c r="Y176" s="40"/>
      <c r="Z176" s="40"/>
      <c r="AA176" s="40" t="s">
        <v>134</v>
      </c>
      <c r="AB176" s="53">
        <v>45966.347222222219</v>
      </c>
      <c r="AC176" s="40"/>
      <c r="AD176" s="40"/>
      <c r="AE176" s="40"/>
      <c r="AF176" s="40"/>
      <c r="AG176" s="40" t="s">
        <v>141</v>
      </c>
      <c r="AH176" s="10" t="s">
        <v>136</v>
      </c>
      <c r="AI176" s="87"/>
      <c r="AJ176" s="87" cm="1">
        <f t="array" ref="AJ176">IFERROR(_xlfn.XLOOKUP(TRUE,COUNTIF(Tabla[[#This Row],[Etiquetas]:[Etiquetas17]],Versiones!$G$2:$G$36)&gt;0,Versiones!$B$2:$B$36), "")</f>
        <v>22</v>
      </c>
      <c r="AK176" s="87" t="str" cm="1">
        <f t="array" ref="AK176">IFERROR(_xlfn.XLOOKUP(TRUE,COUNTIF(Tabla[[#This Row],[Etiquetas]:[Etiquetas17]],Versiones!$G$2:$G$36)&gt;0,Versiones!$A$2:$A$36), "")</f>
        <v>V0.11</v>
      </c>
      <c r="AL17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6" s="78" t="str">
        <f>IFERROR(_xlfn.XLOOKUP(Tabla[[#This Row],[¿En qué versión fue corregido?]],Versiones!$A$2:$A$34,Versiones!$B$2:$B$34),"No encontrado")</f>
        <v>No encontrado</v>
      </c>
      <c r="AN176" s="88" t="str" cm="1">
        <f t="array" ref="AN176">IFERROR(_xlfn.XLOOKUP(TRUE,COUNTIF(Tabla[[#This Row],[Etiquetas]:[Etiquetas17]],Categorías!$A$2:$A$12)&gt;0,Categorías!$A$2:$A$12),"No encontrado")</f>
        <v>Look&amp;Feel</v>
      </c>
      <c r="AO176" s="88" t="str" cm="1">
        <f t="array" ref="AO176">IFERROR(INDEX(Funcionalidades!$A$2:$A$80,MATCH(TRUE, COUNTIF(Reporte_Gral!R176:Z176,Funcionalidades!$A$2:$A$80)&gt;0,0)),"No encontrado")</f>
        <v>Entrega-De-Valores</v>
      </c>
      <c r="AP176" s="87" t="str">
        <f>IF(AND(COUNTIF(Tabla[[#This Row],[Etiquetas]:[Etiquetas17]],"*UAT_V*")&gt;0,COUNTIF(Tabla[[#This Row],[Etiquetas]:[Etiquetas17]],"*QA-Integración*")=0),"SI","")</f>
        <v/>
      </c>
      <c r="AQ176" s="88" t="str" cm="1">
        <f t="array" ref="AQ176">IF(Tabla[[#This Row],[Fue encontrado durante UAT?]]="SI",IFERROR(_xlfn.XLOOKUP(TRUE,ISNUMBER(SEARCH("UAT_V",Tabla[[#This Row],[Etiquetas]:[Etiquetas17]])),Tabla[[#This Row],[Etiquetas]:[Etiquetas17]]),""),"")</f>
        <v/>
      </c>
      <c r="AR176" s="87" t="str">
        <f>IF(COUNTIF(Tabla[[#This Row],[Etiquetas]:[Etiquetas17]],"*Devuelto*")&gt;0,"SI","")</f>
        <v/>
      </c>
      <c r="AS176" s="167">
        <f>COUNTIF(Tabla[[#This Row],[Etiquetas]:[Etiquetas17]],"*Devuelto*")</f>
        <v>0</v>
      </c>
    </row>
    <row r="177" spans="1:45" ht="15" customHeight="1">
      <c r="A177" s="40" t="s">
        <v>128</v>
      </c>
      <c r="B177" s="40" t="s">
        <v>585</v>
      </c>
      <c r="C177" s="40">
        <v>108106</v>
      </c>
      <c r="D177" s="40" t="s">
        <v>586</v>
      </c>
      <c r="E177" s="40" t="s">
        <v>41</v>
      </c>
      <c r="F177" s="40" t="s">
        <v>26</v>
      </c>
      <c r="G177" s="40" t="s">
        <v>307</v>
      </c>
      <c r="H177" s="40" t="s">
        <v>224</v>
      </c>
      <c r="I177" s="40" t="s">
        <v>151</v>
      </c>
      <c r="J177" s="40"/>
      <c r="K177" s="40"/>
      <c r="L177" s="40"/>
      <c r="M177" s="40"/>
      <c r="N177" s="40"/>
      <c r="O177" s="40"/>
      <c r="P177" s="40"/>
      <c r="Q177" s="40"/>
      <c r="R177" s="40" t="s">
        <v>191</v>
      </c>
      <c r="S177" s="40" t="s">
        <v>139</v>
      </c>
      <c r="T177" s="40" t="s">
        <v>468</v>
      </c>
      <c r="U177" s="40" t="s">
        <v>204</v>
      </c>
      <c r="V177" s="40" t="s">
        <v>154</v>
      </c>
      <c r="W177" s="40" t="s">
        <v>536</v>
      </c>
      <c r="X177" s="40"/>
      <c r="Y177" s="40"/>
      <c r="Z177" s="40"/>
      <c r="AA177" s="40" t="s">
        <v>134</v>
      </c>
      <c r="AB177" s="53">
        <v>45965.72152777778</v>
      </c>
      <c r="AC177" s="40" t="s">
        <v>329</v>
      </c>
      <c r="AD177" s="40"/>
      <c r="AE177" s="40"/>
      <c r="AF177" s="40"/>
      <c r="AG177" s="40" t="s">
        <v>141</v>
      </c>
      <c r="AH177" s="42" t="s">
        <v>320</v>
      </c>
      <c r="AI177" s="87"/>
      <c r="AJ177" s="87" cm="1">
        <f t="array" ref="AJ177">IFERROR(_xlfn.XLOOKUP(TRUE,COUNTIF(Tabla[[#This Row],[Etiquetas]:[Etiquetas17]],Versiones!$G$2:$G$36)&gt;0,Versiones!$B$2:$B$36), "")</f>
        <v>22</v>
      </c>
      <c r="AK177" s="87" t="str" cm="1">
        <f t="array" ref="AK177">IFERROR(_xlfn.XLOOKUP(TRUE,COUNTIF(Tabla[[#This Row],[Etiquetas]:[Etiquetas17]],Versiones!$G$2:$G$36)&gt;0,Versiones!$A$2:$A$36), "")</f>
        <v>V0.11</v>
      </c>
      <c r="AL17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77" s="78">
        <f>IFERROR(_xlfn.XLOOKUP(Tabla[[#This Row],[¿En qué versión fue corregido?]],Versiones!$A$2:$A$34,Versiones!$B$2:$B$34),"No encontrado")</f>
        <v>24</v>
      </c>
      <c r="AN177" s="88" t="str" cm="1">
        <f t="array" ref="AN177">IFERROR(_xlfn.XLOOKUP(TRUE,COUNTIF(Tabla[[#This Row],[Etiquetas]:[Etiquetas17]],Categorías!$A$2:$A$12)&gt;0,Categorías!$A$2:$A$12),"No encontrado")</f>
        <v>Funcional</v>
      </c>
      <c r="AO177" s="88" t="str" cm="1">
        <f t="array" ref="AO177">IFERROR(INDEX(Funcionalidades!$A$2:$A$80,MATCH(TRUE, COUNTIF(Reporte_Gral!R177:Z177,Funcionalidades!$A$2:$A$80)&gt;0,0)),"No encontrado")</f>
        <v>Entrega-De-Valores</v>
      </c>
      <c r="AP177" s="87" t="str">
        <f>IF(AND(COUNTIF(Tabla[[#This Row],[Etiquetas]:[Etiquetas17]],"*UAT_V*")&gt;0,COUNTIF(Tabla[[#This Row],[Etiquetas]:[Etiquetas17]],"*QA-Integración*")=0),"SI","")</f>
        <v/>
      </c>
      <c r="AQ177" s="88" t="str" cm="1">
        <f t="array" ref="AQ177">IF(Tabla[[#This Row],[Fue encontrado durante UAT?]]="SI",IFERROR(_xlfn.XLOOKUP(TRUE,ISNUMBER(SEARCH("UAT_V",Tabla[[#This Row],[Etiquetas]:[Etiquetas17]])),Tabla[[#This Row],[Etiquetas]:[Etiquetas17]]),""),"")</f>
        <v/>
      </c>
      <c r="AR177" s="87" t="str">
        <f>IF(COUNTIF(Tabla[[#This Row],[Etiquetas]:[Etiquetas17]],"*Devuelto*")&gt;0,"SI","")</f>
        <v/>
      </c>
      <c r="AS177" s="167">
        <f>COUNTIF(Tabla[[#This Row],[Etiquetas]:[Etiquetas17]],"*Devuelto*")</f>
        <v>0</v>
      </c>
    </row>
    <row r="178" spans="1:45" ht="15" customHeight="1">
      <c r="A178" s="40" t="s">
        <v>128</v>
      </c>
      <c r="B178" s="40" t="s">
        <v>587</v>
      </c>
      <c r="C178" s="40">
        <v>108099</v>
      </c>
      <c r="D178" s="40" t="s">
        <v>588</v>
      </c>
      <c r="E178" s="40" t="s">
        <v>36</v>
      </c>
      <c r="F178" s="40" t="s">
        <v>27</v>
      </c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 t="s">
        <v>191</v>
      </c>
      <c r="S178" s="40" t="s">
        <v>139</v>
      </c>
      <c r="T178" s="40" t="s">
        <v>468</v>
      </c>
      <c r="U178" s="40" t="s">
        <v>536</v>
      </c>
      <c r="V178" s="40"/>
      <c r="W178" s="40"/>
      <c r="X178" s="40"/>
      <c r="Y178" s="40"/>
      <c r="Z178" s="40"/>
      <c r="AA178" s="40" t="s">
        <v>134</v>
      </c>
      <c r="AB178" s="53">
        <v>45965.714583333334</v>
      </c>
      <c r="AC178" s="40"/>
      <c r="AD178" s="40"/>
      <c r="AE178" s="40"/>
      <c r="AF178" s="40"/>
      <c r="AG178" s="40" t="s">
        <v>141</v>
      </c>
      <c r="AH178" s="10" t="s">
        <v>159</v>
      </c>
      <c r="AI178" s="87"/>
      <c r="AJ178" s="87" cm="1">
        <f t="array" ref="AJ178">IFERROR(_xlfn.XLOOKUP(TRUE,COUNTIF(Tabla[[#This Row],[Etiquetas]:[Etiquetas17]],Versiones!$G$2:$G$36)&gt;0,Versiones!$B$2:$B$36), "")</f>
        <v>22</v>
      </c>
      <c r="AK178" s="87" t="str" cm="1">
        <f t="array" ref="AK178">IFERROR(_xlfn.XLOOKUP(TRUE,COUNTIF(Tabla[[#This Row],[Etiquetas]:[Etiquetas17]],Versiones!$G$2:$G$36)&gt;0,Versiones!$A$2:$A$36), "")</f>
        <v>V0.11</v>
      </c>
      <c r="AL17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8" s="78" t="str">
        <f>IFERROR(_xlfn.XLOOKUP(Tabla[[#This Row],[¿En qué versión fue corregido?]],Versiones!$A$2:$A$34,Versiones!$B$2:$B$34),"No encontrado")</f>
        <v>No encontrado</v>
      </c>
      <c r="AN178" s="88" t="str" cm="1">
        <f t="array" ref="AN178">IFERROR(_xlfn.XLOOKUP(TRUE,COUNTIF(Tabla[[#This Row],[Etiquetas]:[Etiquetas17]],Categorías!$A$2:$A$12)&gt;0,Categorías!$A$2:$A$12),"No encontrado")</f>
        <v>Funcional</v>
      </c>
      <c r="AO178" s="88" t="str" cm="1">
        <f t="array" ref="AO178">IFERROR(INDEX(Funcionalidades!$A$2:$A$80,MATCH(TRUE, COUNTIF(Reporte_Gral!R178:Z178,Funcionalidades!$A$2:$A$80)&gt;0,0)),"No encontrado")</f>
        <v>Entrega-De-Valores</v>
      </c>
      <c r="AP178" s="87" t="str">
        <f>IF(AND(COUNTIF(Tabla[[#This Row],[Etiquetas]:[Etiquetas17]],"*UAT_V*")&gt;0,COUNTIF(Tabla[[#This Row],[Etiquetas]:[Etiquetas17]],"*QA-Integración*")=0),"SI","")</f>
        <v/>
      </c>
      <c r="AQ178" s="88" t="str" cm="1">
        <f t="array" ref="AQ178">IF(Tabla[[#This Row],[Fue encontrado durante UAT?]]="SI",IFERROR(_xlfn.XLOOKUP(TRUE,ISNUMBER(SEARCH("UAT_V",Tabla[[#This Row],[Etiquetas]:[Etiquetas17]])),Tabla[[#This Row],[Etiquetas]:[Etiquetas17]]),""),"")</f>
        <v/>
      </c>
      <c r="AR178" s="87" t="str">
        <f>IF(COUNTIF(Tabla[[#This Row],[Etiquetas]:[Etiquetas17]],"*Devuelto*")&gt;0,"SI","")</f>
        <v/>
      </c>
      <c r="AS178" s="167">
        <f>COUNTIF(Tabla[[#This Row],[Etiquetas]:[Etiquetas17]],"*Devuelto*")</f>
        <v>0</v>
      </c>
    </row>
    <row r="179" spans="1:45" ht="15" customHeight="1">
      <c r="A179" s="40" t="s">
        <v>128</v>
      </c>
      <c r="B179" s="40" t="s">
        <v>589</v>
      </c>
      <c r="C179" s="40">
        <v>108095</v>
      </c>
      <c r="D179" s="40" t="s">
        <v>590</v>
      </c>
      <c r="E179" s="40" t="s">
        <v>36</v>
      </c>
      <c r="F179" s="40" t="s">
        <v>27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 t="s">
        <v>191</v>
      </c>
      <c r="S179" s="40" t="s">
        <v>139</v>
      </c>
      <c r="T179" s="40" t="s">
        <v>468</v>
      </c>
      <c r="U179" s="40" t="s">
        <v>536</v>
      </c>
      <c r="V179" s="40"/>
      <c r="W179" s="40"/>
      <c r="X179" s="40"/>
      <c r="Y179" s="40"/>
      <c r="Z179" s="40"/>
      <c r="AA179" s="40" t="s">
        <v>134</v>
      </c>
      <c r="AB179" s="53">
        <v>45965.704861111109</v>
      </c>
      <c r="AC179" s="40"/>
      <c r="AD179" s="40"/>
      <c r="AE179" s="40"/>
      <c r="AF179" s="40"/>
      <c r="AG179" s="40" t="s">
        <v>141</v>
      </c>
      <c r="AH179" s="10" t="s">
        <v>218</v>
      </c>
      <c r="AI179" s="87"/>
      <c r="AJ179" s="87" cm="1">
        <f t="array" ref="AJ179">IFERROR(_xlfn.XLOOKUP(TRUE,COUNTIF(Tabla[[#This Row],[Etiquetas]:[Etiquetas17]],Versiones!$G$2:$G$36)&gt;0,Versiones!$B$2:$B$36), "")</f>
        <v>22</v>
      </c>
      <c r="AK179" s="87" t="str" cm="1">
        <f t="array" ref="AK179">IFERROR(_xlfn.XLOOKUP(TRUE,COUNTIF(Tabla[[#This Row],[Etiquetas]:[Etiquetas17]],Versiones!$G$2:$G$36)&gt;0,Versiones!$A$2:$A$36), "")</f>
        <v>V0.11</v>
      </c>
      <c r="AL17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79" s="78" t="str">
        <f>IFERROR(_xlfn.XLOOKUP(Tabla[[#This Row],[¿En qué versión fue corregido?]],Versiones!$A$2:$A$34,Versiones!$B$2:$B$34),"No encontrado")</f>
        <v>No encontrado</v>
      </c>
      <c r="AN179" s="88" t="str" cm="1">
        <f t="array" ref="AN179">IFERROR(_xlfn.XLOOKUP(TRUE,COUNTIF(Tabla[[#This Row],[Etiquetas]:[Etiquetas17]],Categorías!$A$2:$A$12)&gt;0,Categorías!$A$2:$A$12),"No encontrado")</f>
        <v>Funcional</v>
      </c>
      <c r="AO179" s="87" t="str" cm="1">
        <f t="array" ref="AO179">IFERROR(INDEX(Funcionalidades!$A$2:$A$80,MATCH(TRUE, COUNTIF(Reporte_Gral!R179:Z179,Funcionalidades!$A$2:$A$80)&gt;0,0)),"No encontrado")</f>
        <v>Entrega-De-Valores</v>
      </c>
      <c r="AP179" s="87" t="str">
        <f>IF(AND(COUNTIF(Tabla[[#This Row],[Etiquetas]:[Etiquetas17]],"*UAT_V*")&gt;0,COUNTIF(Tabla[[#This Row],[Etiquetas]:[Etiquetas17]],"*QA-Integración*")=0),"SI","")</f>
        <v/>
      </c>
      <c r="AQ179" s="88" t="str" cm="1">
        <f t="array" ref="AQ179">IF(Tabla[[#This Row],[Fue encontrado durante UAT?]]="SI",IFERROR(_xlfn.XLOOKUP(TRUE,ISNUMBER(SEARCH("UAT_V",Tabla[[#This Row],[Etiquetas]:[Etiquetas17]])),Tabla[[#This Row],[Etiquetas]:[Etiquetas17]]),""),"")</f>
        <v/>
      </c>
      <c r="AR179" s="87" t="str">
        <f>IF(COUNTIF(Tabla[[#This Row],[Etiquetas]:[Etiquetas17]],"*Devuelto*")&gt;0,"SI","")</f>
        <v/>
      </c>
      <c r="AS179" s="167">
        <f>COUNTIF(Tabla[[#This Row],[Etiquetas]:[Etiquetas17]],"*Devuelto*")</f>
        <v>0</v>
      </c>
    </row>
    <row r="180" spans="1:45" ht="15" customHeight="1">
      <c r="A180" s="40" t="s">
        <v>128</v>
      </c>
      <c r="B180" s="40" t="s">
        <v>591</v>
      </c>
      <c r="C180" s="40">
        <v>108036</v>
      </c>
      <c r="D180" s="40" t="s">
        <v>592</v>
      </c>
      <c r="E180" s="40" t="s">
        <v>36</v>
      </c>
      <c r="F180" s="40" t="s">
        <v>26</v>
      </c>
      <c r="G180" s="40" t="s">
        <v>224</v>
      </c>
      <c r="H180" s="40" t="s">
        <v>151</v>
      </c>
      <c r="I180" s="40"/>
      <c r="J180" s="40"/>
      <c r="K180" s="40"/>
      <c r="L180" s="40"/>
      <c r="M180" s="40"/>
      <c r="N180" s="40"/>
      <c r="O180" s="40"/>
      <c r="P180" s="40"/>
      <c r="Q180" s="40"/>
      <c r="R180" s="40" t="s">
        <v>467</v>
      </c>
      <c r="S180" s="40" t="s">
        <v>139</v>
      </c>
      <c r="T180" s="40" t="s">
        <v>371</v>
      </c>
      <c r="U180" s="40" t="s">
        <v>468</v>
      </c>
      <c r="V180" s="40" t="s">
        <v>226</v>
      </c>
      <c r="W180" s="40" t="s">
        <v>154</v>
      </c>
      <c r="X180" s="40"/>
      <c r="Y180" s="40"/>
      <c r="Z180" s="40"/>
      <c r="AA180" s="40" t="s">
        <v>217</v>
      </c>
      <c r="AB180" s="53">
        <v>45965.668055555558</v>
      </c>
      <c r="AC180" s="40" t="s">
        <v>174</v>
      </c>
      <c r="AD180" s="40"/>
      <c r="AE180" s="40"/>
      <c r="AF180" s="40"/>
      <c r="AG180" s="40" t="s">
        <v>135</v>
      </c>
      <c r="AH180" s="10" t="s">
        <v>24</v>
      </c>
      <c r="AI180" s="87"/>
      <c r="AJ180" s="87" cm="1">
        <f t="array" ref="AJ180">IFERROR(_xlfn.XLOOKUP(TRUE,COUNTIF(Tabla[[#This Row],[Etiquetas]:[Etiquetas17]],Versiones!$G$2:$G$36)&gt;0,Versiones!$B$2:$B$36), "")</f>
        <v>22</v>
      </c>
      <c r="AK180" s="87" t="str" cm="1">
        <f t="array" ref="AK180">IFERROR(_xlfn.XLOOKUP(TRUE,COUNTIF(Tabla[[#This Row],[Etiquetas]:[Etiquetas17]],Versiones!$G$2:$G$36)&gt;0,Versiones!$A$2:$A$36), "")</f>
        <v>V0.11</v>
      </c>
      <c r="AL18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180" s="78">
        <f>IFERROR(_xlfn.XLOOKUP(Tabla[[#This Row],[¿En qué versión fue corregido?]],Versiones!$A$2:$A$34,Versiones!$B$2:$B$34),"No encontrado")</f>
        <v>25</v>
      </c>
      <c r="AN180" s="88" t="str" cm="1">
        <f t="array" ref="AN180">IFERROR(_xlfn.XLOOKUP(TRUE,COUNTIF(Tabla[[#This Row],[Etiquetas]:[Etiquetas17]],Categorías!$A$2:$A$12)&gt;0,Categorías!$A$2:$A$12),"No encontrado")</f>
        <v>Funcional</v>
      </c>
      <c r="AO180" s="87" t="str" cm="1">
        <f t="array" ref="AO180">IFERROR(INDEX(Funcionalidades!$A$2:$A$80,MATCH(TRUE, COUNTIF(Reporte_Gral!R180:Z180,Funcionalidades!$A$2:$A$80)&gt;0,0)),"No encontrado")</f>
        <v>Consulta-Transacción-SANTANDER</v>
      </c>
      <c r="AP180" s="87" t="str">
        <f>IF(AND(COUNTIF(Tabla[[#This Row],[Etiquetas]:[Etiquetas17]],"*UAT_V*")&gt;0,COUNTIF(Tabla[[#This Row],[Etiquetas]:[Etiquetas17]],"*QA-Integración*")=0),"SI","")</f>
        <v/>
      </c>
      <c r="AQ180" s="88" t="str" cm="1">
        <f t="array" ref="AQ180">IF(Tabla[[#This Row],[Fue encontrado durante UAT?]]="SI",IFERROR(_xlfn.XLOOKUP(TRUE,ISNUMBER(SEARCH("UAT_V",Tabla[[#This Row],[Etiquetas]:[Etiquetas17]])),Tabla[[#This Row],[Etiquetas]:[Etiquetas17]]),""),"")</f>
        <v/>
      </c>
      <c r="AR180" s="87" t="str">
        <f>IF(COUNTIF(Tabla[[#This Row],[Etiquetas]:[Etiquetas17]],"*Devuelto*")&gt;0,"SI","")</f>
        <v/>
      </c>
      <c r="AS180" s="167">
        <f>COUNTIF(Tabla[[#This Row],[Etiquetas]:[Etiquetas17]],"*Devuelto*")</f>
        <v>0</v>
      </c>
    </row>
    <row r="181" spans="1:45" ht="15" customHeight="1">
      <c r="A181" s="40" t="s">
        <v>128</v>
      </c>
      <c r="B181" s="40" t="s">
        <v>593</v>
      </c>
      <c r="C181" s="40">
        <v>108034</v>
      </c>
      <c r="D181" s="40" t="s">
        <v>594</v>
      </c>
      <c r="E181" s="40" t="s">
        <v>36</v>
      </c>
      <c r="F181" s="40" t="s">
        <v>24</v>
      </c>
      <c r="G181" s="40" t="s">
        <v>561</v>
      </c>
      <c r="H181" s="40" t="s">
        <v>224</v>
      </c>
      <c r="I181" s="40" t="s">
        <v>151</v>
      </c>
      <c r="J181" s="40"/>
      <c r="K181" s="40"/>
      <c r="L181" s="40"/>
      <c r="M181" s="40"/>
      <c r="N181" s="40"/>
      <c r="O181" s="40"/>
      <c r="P181" s="40"/>
      <c r="Q181" s="40"/>
      <c r="R181" s="40" t="s">
        <v>420</v>
      </c>
      <c r="S181" s="40" t="s">
        <v>312</v>
      </c>
      <c r="T181" s="40" t="s">
        <v>139</v>
      </c>
      <c r="U181" s="40" t="s">
        <v>371</v>
      </c>
      <c r="V181" s="40" t="s">
        <v>468</v>
      </c>
      <c r="W181" s="40" t="s">
        <v>226</v>
      </c>
      <c r="X181" s="40" t="s">
        <v>154</v>
      </c>
      <c r="Y181" s="40"/>
      <c r="Z181" s="40"/>
      <c r="AA181" s="40" t="s">
        <v>217</v>
      </c>
      <c r="AB181" s="53">
        <v>45965.666666666664</v>
      </c>
      <c r="AC181" s="40"/>
      <c r="AD181" s="40"/>
      <c r="AE181" s="40"/>
      <c r="AF181" s="40"/>
      <c r="AG181" s="40" t="s">
        <v>135</v>
      </c>
      <c r="AH181" s="10" t="s">
        <v>595</v>
      </c>
      <c r="AI181" s="87"/>
      <c r="AJ181" s="87" cm="1">
        <f t="array" ref="AJ181">IFERROR(_xlfn.XLOOKUP(TRUE,COUNTIF(Tabla[[#This Row],[Etiquetas]:[Etiquetas17]],Versiones!$G$2:$G$36)&gt;0,Versiones!$B$2:$B$36), "")</f>
        <v>22</v>
      </c>
      <c r="AK181" s="87" t="str" cm="1">
        <f t="array" ref="AK181">IFERROR(_xlfn.XLOOKUP(TRUE,COUNTIF(Tabla[[#This Row],[Etiquetas]:[Etiquetas17]],Versiones!$G$2:$G$36)&gt;0,Versiones!$A$2:$A$36), "")</f>
        <v>V0.11</v>
      </c>
      <c r="AL18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1" s="78" t="str">
        <f>IFERROR(_xlfn.XLOOKUP(Tabla[[#This Row],[¿En qué versión fue corregido?]],Versiones!$A$2:$A$34,Versiones!$B$2:$B$34),"No encontrado")</f>
        <v>No encontrado</v>
      </c>
      <c r="AN181" s="88" t="str" cm="1">
        <f t="array" ref="AN181">IFERROR(_xlfn.XLOOKUP(TRUE,COUNTIF(Tabla[[#This Row],[Etiquetas]:[Etiquetas17]],Categorías!$A$2:$A$12)&gt;0,Categorías!$A$2:$A$12),"No encontrado")</f>
        <v>Funcional</v>
      </c>
      <c r="AO181" s="87" t="str" cm="1">
        <f t="array" ref="AO181">IFERROR(INDEX(Funcionalidades!$A$2:$A$80,MATCH(TRUE, COUNTIF(Reporte_Gral!R181:Z181,Funcionalidades!$A$2:$A$80)&gt;0,0)),"No encontrado")</f>
        <v>Consulta-Última-Transacción-SANTANDER</v>
      </c>
      <c r="AP181" s="87" t="str">
        <f>IF(AND(COUNTIF(Tabla[[#This Row],[Etiquetas]:[Etiquetas17]],"*UAT_V*")&gt;0,COUNTIF(Tabla[[#This Row],[Etiquetas]:[Etiquetas17]],"*QA-Integración*")=0),"SI","")</f>
        <v/>
      </c>
      <c r="AQ181" s="88" t="str" cm="1">
        <f t="array" ref="AQ181">IF(Tabla[[#This Row],[Fue encontrado durante UAT?]]="SI",IFERROR(_xlfn.XLOOKUP(TRUE,ISNUMBER(SEARCH("UAT_V",Tabla[[#This Row],[Etiquetas]:[Etiquetas17]])),Tabla[[#This Row],[Etiquetas]:[Etiquetas17]]),""),"")</f>
        <v/>
      </c>
      <c r="AR181" s="87" t="str">
        <f>IF(COUNTIF(Tabla[[#This Row],[Etiquetas]:[Etiquetas17]],"*Devuelto*")&gt;0,"SI","")</f>
        <v>SI</v>
      </c>
      <c r="AS181" s="167">
        <f>COUNTIF(Tabla[[#This Row],[Etiquetas]:[Etiquetas17]],"*Devuelto*")</f>
        <v>1</v>
      </c>
    </row>
    <row r="182" spans="1:45" ht="15" customHeight="1">
      <c r="A182" s="40" t="s">
        <v>128</v>
      </c>
      <c r="B182" s="40" t="s">
        <v>596</v>
      </c>
      <c r="C182" s="40">
        <v>108009</v>
      </c>
      <c r="D182" s="40" t="s">
        <v>597</v>
      </c>
      <c r="E182" s="40" t="s">
        <v>37</v>
      </c>
      <c r="F182" s="40" t="s">
        <v>27</v>
      </c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 t="s">
        <v>371</v>
      </c>
      <c r="S182" s="40" t="s">
        <v>598</v>
      </c>
      <c r="T182" s="40" t="s">
        <v>132</v>
      </c>
      <c r="U182" s="40" t="s">
        <v>468</v>
      </c>
      <c r="V182" s="40" t="s">
        <v>536</v>
      </c>
      <c r="W182" s="40"/>
      <c r="X182" s="40"/>
      <c r="Y182" s="40"/>
      <c r="Z182" s="40"/>
      <c r="AA182" s="40" t="s">
        <v>134</v>
      </c>
      <c r="AB182" s="53">
        <v>45965.63958333333</v>
      </c>
      <c r="AC182" s="40"/>
      <c r="AD182" s="40"/>
      <c r="AE182" s="40"/>
      <c r="AF182" s="40"/>
      <c r="AG182" s="40" t="s">
        <v>141</v>
      </c>
      <c r="AH182" s="10" t="s">
        <v>136</v>
      </c>
      <c r="AI182" s="87"/>
      <c r="AJ182" s="87" cm="1">
        <f t="array" ref="AJ182">IFERROR(_xlfn.XLOOKUP(TRUE,COUNTIF(Tabla[[#This Row],[Etiquetas]:[Etiquetas17]],Versiones!$G$2:$G$36)&gt;0,Versiones!$B$2:$B$36), "")</f>
        <v>22</v>
      </c>
      <c r="AK182" s="87" t="str" cm="1">
        <f t="array" ref="AK182">IFERROR(_xlfn.XLOOKUP(TRUE,COUNTIF(Tabla[[#This Row],[Etiquetas]:[Etiquetas17]],Versiones!$G$2:$G$36)&gt;0,Versiones!$A$2:$A$36), "")</f>
        <v>V0.11</v>
      </c>
      <c r="AL18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2" s="78" t="str">
        <f>IFERROR(_xlfn.XLOOKUP(Tabla[[#This Row],[¿En qué versión fue corregido?]],Versiones!$A$2:$A$34,Versiones!$B$2:$B$34),"No encontrado")</f>
        <v>No encontrado</v>
      </c>
      <c r="AN182" s="88" t="str" cm="1">
        <f t="array" ref="AN182">IFERROR(_xlfn.XLOOKUP(TRUE,COUNTIF(Tabla[[#This Row],[Etiquetas]:[Etiquetas17]],Categorías!$A$2:$A$12)&gt;0,Categorías!$A$2:$A$12),"No encontrado")</f>
        <v>Look&amp;Feel</v>
      </c>
      <c r="AO182" s="87" t="str" cm="1">
        <f t="array" ref="AO182">IFERROR(INDEX(Funcionalidades!$A$2:$A$80,MATCH(TRUE, COUNTIF(Reporte_Gral!R182:Z182,Funcionalidades!$A$2:$A$80)&gt;0,0)),"No encontrado")</f>
        <v>Logout</v>
      </c>
      <c r="AP182" s="87" t="str">
        <f>IF(AND(COUNTIF(Tabla[[#This Row],[Etiquetas]:[Etiquetas17]],"*UAT_V*")&gt;0,COUNTIF(Tabla[[#This Row],[Etiquetas]:[Etiquetas17]],"*QA-Integración*")=0),"SI","")</f>
        <v/>
      </c>
      <c r="AQ182" s="88" t="str" cm="1">
        <f t="array" ref="AQ182">IF(Tabla[[#This Row],[Fue encontrado durante UAT?]]="SI",IFERROR(_xlfn.XLOOKUP(TRUE,ISNUMBER(SEARCH("UAT_V",Tabla[[#This Row],[Etiquetas]:[Etiquetas17]])),Tabla[[#This Row],[Etiquetas]:[Etiquetas17]]),""),"")</f>
        <v/>
      </c>
      <c r="AR182" s="87" t="str">
        <f>IF(COUNTIF(Tabla[[#This Row],[Etiquetas]:[Etiquetas17]],"*Devuelto*")&gt;0,"SI","")</f>
        <v/>
      </c>
      <c r="AS182" s="167">
        <f>COUNTIF(Tabla[[#This Row],[Etiquetas]:[Etiquetas17]],"*Devuelto*")</f>
        <v>0</v>
      </c>
    </row>
    <row r="183" spans="1:45" ht="15" customHeight="1">
      <c r="A183" s="40" t="s">
        <v>128</v>
      </c>
      <c r="B183" s="40" t="s">
        <v>599</v>
      </c>
      <c r="C183" s="40">
        <v>107995</v>
      </c>
      <c r="D183" s="40" t="s">
        <v>600</v>
      </c>
      <c r="E183" s="40" t="s">
        <v>36</v>
      </c>
      <c r="F183" s="40" t="s">
        <v>26</v>
      </c>
      <c r="G183" s="40" t="s">
        <v>307</v>
      </c>
      <c r="H183" s="40" t="s">
        <v>224</v>
      </c>
      <c r="I183" s="40" t="s">
        <v>151</v>
      </c>
      <c r="J183" s="40"/>
      <c r="K183" s="40"/>
      <c r="L183" s="40"/>
      <c r="M183" s="40"/>
      <c r="N183" s="40"/>
      <c r="O183" s="40"/>
      <c r="P183" s="40"/>
      <c r="Q183" s="40"/>
      <c r="R183" s="40" t="s">
        <v>207</v>
      </c>
      <c r="S183" s="40" t="s">
        <v>516</v>
      </c>
      <c r="T183" s="40" t="s">
        <v>132</v>
      </c>
      <c r="U183" s="40" t="s">
        <v>468</v>
      </c>
      <c r="V183" s="40" t="s">
        <v>226</v>
      </c>
      <c r="W183" s="40" t="s">
        <v>154</v>
      </c>
      <c r="X183" s="40" t="s">
        <v>536</v>
      </c>
      <c r="Y183" s="40"/>
      <c r="Z183" s="40"/>
      <c r="AA183" s="40" t="s">
        <v>134</v>
      </c>
      <c r="AB183" s="53">
        <v>45965.602777777778</v>
      </c>
      <c r="AC183" s="40" t="s">
        <v>329</v>
      </c>
      <c r="AD183" s="40"/>
      <c r="AE183" s="40"/>
      <c r="AF183" s="40"/>
      <c r="AG183" s="40" t="s">
        <v>135</v>
      </c>
      <c r="AH183" s="10" t="s">
        <v>159</v>
      </c>
      <c r="AI183" s="87"/>
      <c r="AJ183" s="87" cm="1">
        <f t="array" ref="AJ183">IFERROR(_xlfn.XLOOKUP(TRUE,COUNTIF(Tabla[[#This Row],[Etiquetas]:[Etiquetas17]],Versiones!$G$2:$G$36)&gt;0,Versiones!$B$2:$B$36), "")</f>
        <v>22</v>
      </c>
      <c r="AK183" s="87" t="str" cm="1">
        <f t="array" ref="AK183">IFERROR(_xlfn.XLOOKUP(TRUE,COUNTIF(Tabla[[#This Row],[Etiquetas]:[Etiquetas17]],Versiones!$G$2:$G$36)&gt;0,Versiones!$A$2:$A$36), "")</f>
        <v>V0.11</v>
      </c>
      <c r="AL18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83" s="78">
        <f>IFERROR(_xlfn.XLOOKUP(Tabla[[#This Row],[¿En qué versión fue corregido?]],Versiones!$A$2:$A$34,Versiones!$B$2:$B$34),"No encontrado")</f>
        <v>24</v>
      </c>
      <c r="AN183" s="88" t="str" cm="1">
        <f t="array" ref="AN183">IFERROR(_xlfn.XLOOKUP(TRUE,COUNTIF(Tabla[[#This Row],[Etiquetas]:[Etiquetas17]],Categorías!$A$2:$A$12)&gt;0,Categorías!$A$2:$A$12),"No encontrado")</f>
        <v>Look&amp;Feel</v>
      </c>
      <c r="AO183" s="87" t="str" cm="1">
        <f t="array" ref="AO183">IFERROR(INDEX(Funcionalidades!$A$2:$A$80,MATCH(TRUE, COUNTIF(Reporte_Gral!R183:Z183,Funcionalidades!$A$2:$A$80)&gt;0,0)),"No encontrado")</f>
        <v>Eliminar-Artículo-De-Venta</v>
      </c>
      <c r="AP183" s="87" t="str">
        <f>IF(AND(COUNTIF(Tabla[[#This Row],[Etiquetas]:[Etiquetas17]],"*UAT_V*")&gt;0,COUNTIF(Tabla[[#This Row],[Etiquetas]:[Etiquetas17]],"*QA-Integración*")=0),"SI","")</f>
        <v/>
      </c>
      <c r="AQ183" s="88" t="str" cm="1">
        <f t="array" ref="AQ183">IF(Tabla[[#This Row],[Fue encontrado durante UAT?]]="SI",IFERROR(_xlfn.XLOOKUP(TRUE,ISNUMBER(SEARCH("UAT_V",Tabla[[#This Row],[Etiquetas]:[Etiquetas17]])),Tabla[[#This Row],[Etiquetas]:[Etiquetas17]]),""),"")</f>
        <v/>
      </c>
      <c r="AR183" s="87" t="str">
        <f>IF(COUNTIF(Tabla[[#This Row],[Etiquetas]:[Etiquetas17]],"*Devuelto*")&gt;0,"SI","")</f>
        <v/>
      </c>
      <c r="AS183" s="167">
        <f>COUNTIF(Tabla[[#This Row],[Etiquetas]:[Etiquetas17]],"*Devuelto*")</f>
        <v>0</v>
      </c>
    </row>
    <row r="184" spans="1:45" ht="15" customHeight="1">
      <c r="A184" s="40" t="s">
        <v>128</v>
      </c>
      <c r="B184" s="40" t="s">
        <v>601</v>
      </c>
      <c r="C184" s="40">
        <v>107608</v>
      </c>
      <c r="D184" s="40" t="s">
        <v>602</v>
      </c>
      <c r="E184" s="40" t="s">
        <v>37</v>
      </c>
      <c r="F184" s="40" t="s">
        <v>27</v>
      </c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 t="s">
        <v>503</v>
      </c>
      <c r="S184" s="40" t="s">
        <v>139</v>
      </c>
      <c r="T184" s="40" t="s">
        <v>468</v>
      </c>
      <c r="U184" s="40" t="s">
        <v>536</v>
      </c>
      <c r="V184" s="40"/>
      <c r="W184" s="40"/>
      <c r="X184" s="40"/>
      <c r="Y184" s="40"/>
      <c r="Z184" s="40"/>
      <c r="AA184" s="40" t="s">
        <v>134</v>
      </c>
      <c r="AB184" s="53">
        <v>45964.663194444445</v>
      </c>
      <c r="AC184" s="40"/>
      <c r="AD184" s="40"/>
      <c r="AE184" s="40"/>
      <c r="AF184" s="40"/>
      <c r="AG184" s="40" t="s">
        <v>141</v>
      </c>
      <c r="AH184" s="10" t="s">
        <v>320</v>
      </c>
      <c r="AI184" s="87"/>
      <c r="AJ184" s="87" cm="1">
        <f t="array" ref="AJ184">IFERROR(_xlfn.XLOOKUP(TRUE,COUNTIF(Tabla[[#This Row],[Etiquetas]:[Etiquetas17]],Versiones!$G$2:$G$36)&gt;0,Versiones!$B$2:$B$36), "")</f>
        <v>22</v>
      </c>
      <c r="AK184" s="87" t="str" cm="1">
        <f t="array" ref="AK184">IFERROR(_xlfn.XLOOKUP(TRUE,COUNTIF(Tabla[[#This Row],[Etiquetas]:[Etiquetas17]],Versiones!$G$2:$G$36)&gt;0,Versiones!$A$2:$A$36), "")</f>
        <v>V0.11</v>
      </c>
      <c r="AL18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4" s="78" t="str">
        <f>IFERROR(_xlfn.XLOOKUP(Tabla[[#This Row],[¿En qué versión fue corregido?]],Versiones!$A$2:$A$34,Versiones!$B$2:$B$34),"No encontrado")</f>
        <v>No encontrado</v>
      </c>
      <c r="AN184" s="88" t="str" cm="1">
        <f t="array" ref="AN184">IFERROR(_xlfn.XLOOKUP(TRUE,COUNTIF(Tabla[[#This Row],[Etiquetas]:[Etiquetas17]],Categorías!$A$2:$A$12)&gt;0,Categorías!$A$2:$A$12),"No encontrado")</f>
        <v>Funcional</v>
      </c>
      <c r="AO184" s="87" t="str" cm="1">
        <f t="array" ref="AO184">IFERROR(INDEX(Funcionalidades!$A$2:$A$80,MATCH(TRUE, COUNTIF(Reporte_Gral!R184:Z184,Funcionalidades!$A$2:$A$80)&gt;0,0)),"No encontrado")</f>
        <v>Fondeo-Adicional</v>
      </c>
      <c r="AP184" s="87" t="str">
        <f>IF(AND(COUNTIF(Tabla[[#This Row],[Etiquetas]:[Etiquetas17]],"*UAT_V*")&gt;0,COUNTIF(Tabla[[#This Row],[Etiquetas]:[Etiquetas17]],"*QA-Integración*")=0),"SI","")</f>
        <v/>
      </c>
      <c r="AQ184" s="88" t="str" cm="1">
        <f t="array" ref="AQ184">IF(Tabla[[#This Row],[Fue encontrado durante UAT?]]="SI",IFERROR(_xlfn.XLOOKUP(TRUE,ISNUMBER(SEARCH("UAT_V",Tabla[[#This Row],[Etiquetas]:[Etiquetas17]])),Tabla[[#This Row],[Etiquetas]:[Etiquetas17]]),""),"")</f>
        <v/>
      </c>
      <c r="AR184" s="87" t="str">
        <f>IF(COUNTIF(Tabla[[#This Row],[Etiquetas]:[Etiquetas17]],"*Devuelto*")&gt;0,"SI","")</f>
        <v/>
      </c>
      <c r="AS184" s="167">
        <f>COUNTIF(Tabla[[#This Row],[Etiquetas]:[Etiquetas17]],"*Devuelto*")</f>
        <v>0</v>
      </c>
    </row>
    <row r="185" spans="1:45" ht="15" customHeight="1">
      <c r="A185" s="40" t="s">
        <v>128</v>
      </c>
      <c r="B185" s="40" t="s">
        <v>603</v>
      </c>
      <c r="C185" s="40">
        <v>107584</v>
      </c>
      <c r="D185" s="40" t="s">
        <v>604</v>
      </c>
      <c r="E185" s="40" t="s">
        <v>37</v>
      </c>
      <c r="F185" s="40" t="s">
        <v>27</v>
      </c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 t="s">
        <v>273</v>
      </c>
      <c r="S185" s="40" t="s">
        <v>503</v>
      </c>
      <c r="T185" s="40" t="s">
        <v>371</v>
      </c>
      <c r="U185" s="40" t="s">
        <v>132</v>
      </c>
      <c r="V185" s="40" t="s">
        <v>468</v>
      </c>
      <c r="W185" s="40" t="s">
        <v>226</v>
      </c>
      <c r="X185" s="40" t="s">
        <v>154</v>
      </c>
      <c r="Y185" s="40" t="s">
        <v>536</v>
      </c>
      <c r="Z185" s="40"/>
      <c r="AA185" s="40" t="s">
        <v>134</v>
      </c>
      <c r="AB185" s="53">
        <v>45964.598611111112</v>
      </c>
      <c r="AC185" s="40" t="s">
        <v>155</v>
      </c>
      <c r="AD185" s="40"/>
      <c r="AE185" s="40"/>
      <c r="AF185" s="40"/>
      <c r="AG185" s="40" t="s">
        <v>135</v>
      </c>
      <c r="AH185" s="10" t="s">
        <v>320</v>
      </c>
      <c r="AI185" s="87"/>
      <c r="AJ185" s="87" cm="1">
        <f t="array" ref="AJ185">IFERROR(_xlfn.XLOOKUP(TRUE,COUNTIF(Tabla[[#This Row],[Etiquetas]:[Etiquetas17]],Versiones!$G$2:$G$36)&gt;0,Versiones!$B$2:$B$36), "")</f>
        <v>22</v>
      </c>
      <c r="AK185" s="87" t="str" cm="1">
        <f t="array" ref="AK185">IFERROR(_xlfn.XLOOKUP(TRUE,COUNTIF(Tabla[[#This Row],[Etiquetas]:[Etiquetas17]],Versiones!$G$2:$G$36)&gt;0,Versiones!$A$2:$A$36), "")</f>
        <v>V0.11</v>
      </c>
      <c r="AL18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85" s="78">
        <f>IFERROR(_xlfn.XLOOKUP(Tabla[[#This Row],[¿En qué versión fue corregido?]],Versiones!$A$2:$A$34,Versiones!$B$2:$B$34),"No encontrado")</f>
        <v>0</v>
      </c>
      <c r="AN185" s="88" t="str" cm="1">
        <f t="array" ref="AN185">IFERROR(_xlfn.XLOOKUP(TRUE,COUNTIF(Tabla[[#This Row],[Etiquetas]:[Etiquetas17]],Categorías!$A$2:$A$12)&gt;0,Categorías!$A$2:$A$12),"No encontrado")</f>
        <v>Look&amp;Feel</v>
      </c>
      <c r="AO185" s="87" t="str" cm="1">
        <f t="array" ref="AO185">IFERROR(INDEX(Funcionalidades!$A$2:$A$80,MATCH(TRUE, COUNTIF(Reporte_Gral!R185:Z185,Funcionalidades!$A$2:$A$80)&gt;0,0)),"No encontrado")</f>
        <v>Fondeo-Adicional</v>
      </c>
      <c r="AP185" s="87" t="str">
        <f>IF(AND(COUNTIF(Tabla[[#This Row],[Etiquetas]:[Etiquetas17]],"*UAT_V*")&gt;0,COUNTIF(Tabla[[#This Row],[Etiquetas]:[Etiquetas17]],"*QA-Integración*")=0),"SI","")</f>
        <v/>
      </c>
      <c r="AQ185" s="88" t="str" cm="1">
        <f t="array" ref="AQ185">IF(Tabla[[#This Row],[Fue encontrado durante UAT?]]="SI",IFERROR(_xlfn.XLOOKUP(TRUE,ISNUMBER(SEARCH("UAT_V",Tabla[[#This Row],[Etiquetas]:[Etiquetas17]])),Tabla[[#This Row],[Etiquetas]:[Etiquetas17]]),""),"")</f>
        <v/>
      </c>
      <c r="AR185" s="87" t="str">
        <f>IF(COUNTIF(Tabla[[#This Row],[Etiquetas]:[Etiquetas17]],"*Devuelto*")&gt;0,"SI","")</f>
        <v>SI</v>
      </c>
      <c r="AS185" s="167">
        <f>COUNTIF(Tabla[[#This Row],[Etiquetas]:[Etiquetas17]],"*Devuelto*")</f>
        <v>1</v>
      </c>
    </row>
    <row r="186" spans="1:45" ht="15" customHeight="1">
      <c r="A186" s="40" t="s">
        <v>128</v>
      </c>
      <c r="B186" s="40" t="s">
        <v>605</v>
      </c>
      <c r="C186" s="40">
        <v>107022</v>
      </c>
      <c r="D186" s="40" t="s">
        <v>606</v>
      </c>
      <c r="E186" s="40" t="s">
        <v>36</v>
      </c>
      <c r="F186" s="40" t="s">
        <v>24</v>
      </c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 t="s">
        <v>302</v>
      </c>
      <c r="S186" s="40" t="s">
        <v>139</v>
      </c>
      <c r="T186" s="40" t="s">
        <v>468</v>
      </c>
      <c r="U186" s="40" t="s">
        <v>536</v>
      </c>
      <c r="V186" s="40"/>
      <c r="W186" s="40"/>
      <c r="X186" s="40"/>
      <c r="Y186" s="40"/>
      <c r="Z186" s="40"/>
      <c r="AA186" s="40" t="s">
        <v>134</v>
      </c>
      <c r="AB186" s="53">
        <v>45963.845138888886</v>
      </c>
      <c r="AC186" s="40"/>
      <c r="AD186" s="40"/>
      <c r="AE186" s="40"/>
      <c r="AF186" s="40"/>
      <c r="AG186" s="40" t="s">
        <v>135</v>
      </c>
      <c r="AH186" s="10" t="s">
        <v>320</v>
      </c>
      <c r="AI186" s="87"/>
      <c r="AJ186" s="87" cm="1">
        <f t="array" ref="AJ186">IFERROR(_xlfn.XLOOKUP(TRUE,COUNTIF(Tabla[[#This Row],[Etiquetas]:[Etiquetas17]],Versiones!$G$2:$G$36)&gt;0,Versiones!$B$2:$B$36), "")</f>
        <v>22</v>
      </c>
      <c r="AK186" s="87" t="str" cm="1">
        <f t="array" ref="AK186">IFERROR(_xlfn.XLOOKUP(TRUE,COUNTIF(Tabla[[#This Row],[Etiquetas]:[Etiquetas17]],Versiones!$G$2:$G$36)&gt;0,Versiones!$A$2:$A$36), "")</f>
        <v>V0.11</v>
      </c>
      <c r="AL18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6" s="78" t="str">
        <f>IFERROR(_xlfn.XLOOKUP(Tabla[[#This Row],[¿En qué versión fue corregido?]],Versiones!$A$2:$A$34,Versiones!$B$2:$B$34),"No encontrado")</f>
        <v>No encontrado</v>
      </c>
      <c r="AN186" s="88" t="str" cm="1">
        <f t="array" ref="AN186">IFERROR(_xlfn.XLOOKUP(TRUE,COUNTIF(Tabla[[#This Row],[Etiquetas]:[Etiquetas17]],Categorías!$A$2:$A$12)&gt;0,Categorías!$A$2:$A$12),"No encontrado")</f>
        <v>Funcional</v>
      </c>
      <c r="AO186" s="87" t="str" cm="1">
        <f t="array" ref="AO186">IFERROR(INDEX(Funcionalidades!$A$2:$A$80,MATCH(TRUE, COUNTIF(Reporte_Gral!R186:Z186,Funcionalidades!$A$2:$A$80)&gt;0,0)),"No encontrado")</f>
        <v>Devoluciones</v>
      </c>
      <c r="AP186" s="87" t="str">
        <f>IF(AND(COUNTIF(Tabla[[#This Row],[Etiquetas]:[Etiquetas17]],"*UAT_V*")&gt;0,COUNTIF(Tabla[[#This Row],[Etiquetas]:[Etiquetas17]],"*QA-Integración*")=0),"SI","")</f>
        <v/>
      </c>
      <c r="AQ186" s="88" t="str" cm="1">
        <f t="array" ref="AQ186">IF(Tabla[[#This Row],[Fue encontrado durante UAT?]]="SI",IFERROR(_xlfn.XLOOKUP(TRUE,ISNUMBER(SEARCH("UAT_V",Tabla[[#This Row],[Etiquetas]:[Etiquetas17]])),Tabla[[#This Row],[Etiquetas]:[Etiquetas17]]),""),"")</f>
        <v/>
      </c>
      <c r="AR186" s="87" t="str">
        <f>IF(COUNTIF(Tabla[[#This Row],[Etiquetas]:[Etiquetas17]],"*Devuelto*")&gt;0,"SI","")</f>
        <v/>
      </c>
      <c r="AS186" s="167">
        <f>COUNTIF(Tabla[[#This Row],[Etiquetas]:[Etiquetas17]],"*Devuelto*")</f>
        <v>0</v>
      </c>
    </row>
    <row r="187" spans="1:45" ht="15" customHeight="1">
      <c r="A187" s="40" t="s">
        <v>128</v>
      </c>
      <c r="B187" s="40" t="s">
        <v>607</v>
      </c>
      <c r="C187" s="40">
        <v>107011</v>
      </c>
      <c r="D187" s="40" t="s">
        <v>608</v>
      </c>
      <c r="E187" s="40" t="s">
        <v>36</v>
      </c>
      <c r="F187" s="40" t="s">
        <v>27</v>
      </c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 t="s">
        <v>139</v>
      </c>
      <c r="S187" s="40" t="s">
        <v>468</v>
      </c>
      <c r="T187" s="40" t="s">
        <v>323</v>
      </c>
      <c r="U187" s="40" t="s">
        <v>536</v>
      </c>
      <c r="V187" s="40"/>
      <c r="W187" s="40"/>
      <c r="X187" s="40"/>
      <c r="Y187" s="40"/>
      <c r="Z187" s="40"/>
      <c r="AA187" s="40" t="s">
        <v>134</v>
      </c>
      <c r="AB187" s="53">
        <v>45963.738888888889</v>
      </c>
      <c r="AC187" s="40"/>
      <c r="AD187" s="40"/>
      <c r="AE187" s="40"/>
      <c r="AF187" s="40"/>
      <c r="AG187" s="40" t="s">
        <v>141</v>
      </c>
      <c r="AH187" s="42" t="s">
        <v>320</v>
      </c>
      <c r="AI187" s="87"/>
      <c r="AJ187" s="87" cm="1">
        <f t="array" ref="AJ187">IFERROR(_xlfn.XLOOKUP(TRUE,COUNTIF(Tabla[[#This Row],[Etiquetas]:[Etiquetas17]],Versiones!$G$2:$G$36)&gt;0,Versiones!$B$2:$B$36), "")</f>
        <v>22</v>
      </c>
      <c r="AK187" s="87" t="str" cm="1">
        <f t="array" ref="AK187">IFERROR(_xlfn.XLOOKUP(TRUE,COUNTIF(Tabla[[#This Row],[Etiquetas]:[Etiquetas17]],Versiones!$G$2:$G$36)&gt;0,Versiones!$A$2:$A$36), "")</f>
        <v>V0.11</v>
      </c>
      <c r="AL18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7" s="78" t="str">
        <f>IFERROR(_xlfn.XLOOKUP(Tabla[[#This Row],[¿En qué versión fue corregido?]],Versiones!$A$2:$A$34,Versiones!$B$2:$B$34),"No encontrado")</f>
        <v>No encontrado</v>
      </c>
      <c r="AN187" s="88" t="str" cm="1">
        <f t="array" ref="AN187">IFERROR(_xlfn.XLOOKUP(TRUE,COUNTIF(Tabla[[#This Row],[Etiquetas]:[Etiquetas17]],Categorías!$A$2:$A$12)&gt;0,Categorías!$A$2:$A$12),"No encontrado")</f>
        <v>Funcional</v>
      </c>
      <c r="AO187" s="88" t="str" cm="1">
        <f t="array" ref="AO187">IFERROR(INDEX(Funcionalidades!$A$2:$A$80,MATCH(TRUE, COUNTIF(Reporte_Gral!R187:Z187,Funcionalidades!$A$2:$A$80)&gt;0,0)),"No encontrado")</f>
        <v>Registro-De-Gastos</v>
      </c>
      <c r="AP187" s="87" t="str">
        <f>IF(AND(COUNTIF(Tabla[[#This Row],[Etiquetas]:[Etiquetas17]],"*UAT_V*")&gt;0,COUNTIF(Tabla[[#This Row],[Etiquetas]:[Etiquetas17]],"*QA-Integración*")=0),"SI","")</f>
        <v/>
      </c>
      <c r="AQ187" s="88" t="str" cm="1">
        <f t="array" ref="AQ187">IF(Tabla[[#This Row],[Fue encontrado durante UAT?]]="SI",IFERROR(_xlfn.XLOOKUP(TRUE,ISNUMBER(SEARCH("UAT_V",Tabla[[#This Row],[Etiquetas]:[Etiquetas17]])),Tabla[[#This Row],[Etiquetas]:[Etiquetas17]]),""),"")</f>
        <v/>
      </c>
      <c r="AR187" s="87" t="str">
        <f>IF(COUNTIF(Tabla[[#This Row],[Etiquetas]:[Etiquetas17]],"*Devuelto*")&gt;0,"SI","")</f>
        <v/>
      </c>
      <c r="AS187" s="167">
        <f>COUNTIF(Tabla[[#This Row],[Etiquetas]:[Etiquetas17]],"*Devuelto*")</f>
        <v>0</v>
      </c>
    </row>
    <row r="188" spans="1:45" ht="15" customHeight="1">
      <c r="A188" s="40" t="s">
        <v>128</v>
      </c>
      <c r="B188" s="40" t="s">
        <v>609</v>
      </c>
      <c r="C188" s="40">
        <v>107010</v>
      </c>
      <c r="D188" s="40" t="s">
        <v>610</v>
      </c>
      <c r="E188" s="40" t="s">
        <v>36</v>
      </c>
      <c r="F188" s="40" t="s">
        <v>24</v>
      </c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 t="s">
        <v>139</v>
      </c>
      <c r="S188" s="40" t="s">
        <v>237</v>
      </c>
      <c r="T188" s="40" t="s">
        <v>468</v>
      </c>
      <c r="U188" s="40"/>
      <c r="V188" s="40"/>
      <c r="W188" s="40"/>
      <c r="X188" s="40"/>
      <c r="Y188" s="40"/>
      <c r="Z188" s="40"/>
      <c r="AA188" s="40" t="s">
        <v>134</v>
      </c>
      <c r="AB188" s="53">
        <v>45963.734027777777</v>
      </c>
      <c r="AC188" s="40"/>
      <c r="AD188" s="40"/>
      <c r="AE188" s="40"/>
      <c r="AF188" s="40"/>
      <c r="AG188" s="40" t="s">
        <v>141</v>
      </c>
      <c r="AH188" s="10" t="s">
        <v>136</v>
      </c>
      <c r="AI188" s="87"/>
      <c r="AJ188" s="87" cm="1">
        <f t="array" ref="AJ188">IFERROR(_xlfn.XLOOKUP(TRUE,COUNTIF(Tabla[[#This Row],[Etiquetas]:[Etiquetas17]],Versiones!$G$2:$G$36)&gt;0,Versiones!$B$2:$B$36), "")</f>
        <v>22</v>
      </c>
      <c r="AK188" s="87" t="str" cm="1">
        <f t="array" ref="AK188">IFERROR(_xlfn.XLOOKUP(TRUE,COUNTIF(Tabla[[#This Row],[Etiquetas]:[Etiquetas17]],Versiones!$G$2:$G$36)&gt;0,Versiones!$A$2:$A$36), "")</f>
        <v>V0.11</v>
      </c>
      <c r="AL18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8" s="78" t="str">
        <f>IFERROR(_xlfn.XLOOKUP(Tabla[[#This Row],[¿En qué versión fue corregido?]],Versiones!$A$2:$A$34,Versiones!$B$2:$B$34),"No encontrado")</f>
        <v>No encontrado</v>
      </c>
      <c r="AN188" s="88" t="str" cm="1">
        <f t="array" ref="AN188">IFERROR(_xlfn.XLOOKUP(TRUE,COUNTIF(Tabla[[#This Row],[Etiquetas]:[Etiquetas17]],Categorías!$A$2:$A$12)&gt;0,Categorías!$A$2:$A$12),"No encontrado")</f>
        <v>Funcional</v>
      </c>
      <c r="AO188" s="87" t="str" cm="1">
        <f t="array" ref="AO188">IFERROR(INDEX(Funcionalidades!$A$2:$A$80,MATCH(TRUE, COUNTIF(Reporte_Gral!R188:Z188,Funcionalidades!$A$2:$A$80)&gt;0,0)),"No encontrado")</f>
        <v>Main-Dashboard</v>
      </c>
      <c r="AP188" s="87" t="str">
        <f>IF(AND(COUNTIF(Tabla[[#This Row],[Etiquetas]:[Etiquetas17]],"*UAT_V*")&gt;0,COUNTIF(Tabla[[#This Row],[Etiquetas]:[Etiquetas17]],"*QA-Integración*")=0),"SI","")</f>
        <v/>
      </c>
      <c r="AQ188" s="88" t="str" cm="1">
        <f t="array" ref="AQ188">IF(Tabla[[#This Row],[Fue encontrado durante UAT?]]="SI",IFERROR(_xlfn.XLOOKUP(TRUE,ISNUMBER(SEARCH("UAT_V",Tabla[[#This Row],[Etiquetas]:[Etiquetas17]])),Tabla[[#This Row],[Etiquetas]:[Etiquetas17]]),""),"")</f>
        <v/>
      </c>
      <c r="AR188" s="87" t="str">
        <f>IF(COUNTIF(Tabla[[#This Row],[Etiquetas]:[Etiquetas17]],"*Devuelto*")&gt;0,"SI","")</f>
        <v/>
      </c>
      <c r="AS188" s="167">
        <f>COUNTIF(Tabla[[#This Row],[Etiquetas]:[Etiquetas17]],"*Devuelto*")</f>
        <v>0</v>
      </c>
    </row>
    <row r="189" spans="1:45" ht="15" customHeight="1">
      <c r="A189" s="40" t="s">
        <v>128</v>
      </c>
      <c r="B189" s="40" t="s">
        <v>611</v>
      </c>
      <c r="C189" s="40">
        <v>107006</v>
      </c>
      <c r="D189" s="40" t="s">
        <v>612</v>
      </c>
      <c r="E189" s="40" t="s">
        <v>36</v>
      </c>
      <c r="F189" s="40" t="s">
        <v>24</v>
      </c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 t="s">
        <v>139</v>
      </c>
      <c r="S189" s="40" t="s">
        <v>237</v>
      </c>
      <c r="T189" s="40" t="s">
        <v>468</v>
      </c>
      <c r="U189" s="40" t="s">
        <v>536</v>
      </c>
      <c r="V189" s="40"/>
      <c r="W189" s="40"/>
      <c r="X189" s="40"/>
      <c r="Y189" s="40"/>
      <c r="Z189" s="40"/>
      <c r="AA189" s="40" t="s">
        <v>134</v>
      </c>
      <c r="AB189" s="53">
        <v>45963.720833333333</v>
      </c>
      <c r="AC189" s="40"/>
      <c r="AD189" s="40"/>
      <c r="AE189" s="40"/>
      <c r="AF189" s="40"/>
      <c r="AG189" s="40" t="s">
        <v>141</v>
      </c>
      <c r="AH189" s="10" t="s">
        <v>320</v>
      </c>
      <c r="AI189" s="87"/>
      <c r="AJ189" s="87" cm="1">
        <f t="array" ref="AJ189">IFERROR(_xlfn.XLOOKUP(TRUE,COUNTIF(Tabla[[#This Row],[Etiquetas]:[Etiquetas17]],Versiones!$G$2:$G$36)&gt;0,Versiones!$B$2:$B$36), "")</f>
        <v>22</v>
      </c>
      <c r="AK189" s="87" t="str" cm="1">
        <f t="array" ref="AK189">IFERROR(_xlfn.XLOOKUP(TRUE,COUNTIF(Tabla[[#This Row],[Etiquetas]:[Etiquetas17]],Versiones!$G$2:$G$36)&gt;0,Versiones!$A$2:$A$36), "")</f>
        <v>V0.11</v>
      </c>
      <c r="AL18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89" s="78" t="str">
        <f>IFERROR(_xlfn.XLOOKUP(Tabla[[#This Row],[¿En qué versión fue corregido?]],Versiones!$A$2:$A$34,Versiones!$B$2:$B$34),"No encontrado")</f>
        <v>No encontrado</v>
      </c>
      <c r="AN189" s="88" t="str" cm="1">
        <f t="array" ref="AN189">IFERROR(_xlfn.XLOOKUP(TRUE,COUNTIF(Tabla[[#This Row],[Etiquetas]:[Etiquetas17]],Categorías!$A$2:$A$12)&gt;0,Categorías!$A$2:$A$12),"No encontrado")</f>
        <v>Funcional</v>
      </c>
      <c r="AO189" s="87" t="str" cm="1">
        <f t="array" ref="AO189">IFERROR(INDEX(Funcionalidades!$A$2:$A$80,MATCH(TRUE, COUNTIF(Reporte_Gral!R189:Z189,Funcionalidades!$A$2:$A$80)&gt;0,0)),"No encontrado")</f>
        <v>Main-Dashboard</v>
      </c>
      <c r="AP189" s="87" t="str">
        <f>IF(AND(COUNTIF(Tabla[[#This Row],[Etiquetas]:[Etiquetas17]],"*UAT_V*")&gt;0,COUNTIF(Tabla[[#This Row],[Etiquetas]:[Etiquetas17]],"*QA-Integración*")=0),"SI","")</f>
        <v/>
      </c>
      <c r="AQ189" s="88" t="str" cm="1">
        <f t="array" ref="AQ189">IF(Tabla[[#This Row],[Fue encontrado durante UAT?]]="SI",IFERROR(_xlfn.XLOOKUP(TRUE,ISNUMBER(SEARCH("UAT_V",Tabla[[#This Row],[Etiquetas]:[Etiquetas17]])),Tabla[[#This Row],[Etiquetas]:[Etiquetas17]]),""),"")</f>
        <v/>
      </c>
      <c r="AR189" s="87" t="str">
        <f>IF(COUNTIF(Tabla[[#This Row],[Etiquetas]:[Etiquetas17]],"*Devuelto*")&gt;0,"SI","")</f>
        <v/>
      </c>
      <c r="AS189" s="167">
        <f>COUNTIF(Tabla[[#This Row],[Etiquetas]:[Etiquetas17]],"*Devuelto*")</f>
        <v>0</v>
      </c>
    </row>
    <row r="190" spans="1:45" s="86" customFormat="1" ht="15" customHeight="1">
      <c r="A190" s="40" t="s">
        <v>128</v>
      </c>
      <c r="B190" s="40" t="s">
        <v>613</v>
      </c>
      <c r="C190" s="40">
        <v>107003</v>
      </c>
      <c r="D190" s="40" t="s">
        <v>614</v>
      </c>
      <c r="E190" s="40" t="s">
        <v>36</v>
      </c>
      <c r="F190" s="40" t="s">
        <v>24</v>
      </c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 t="s">
        <v>139</v>
      </c>
      <c r="S190" s="40" t="s">
        <v>237</v>
      </c>
      <c r="T190" s="40" t="s">
        <v>468</v>
      </c>
      <c r="U190" s="40" t="s">
        <v>536</v>
      </c>
      <c r="V190" s="40"/>
      <c r="W190" s="40"/>
      <c r="X190" s="40"/>
      <c r="Y190" s="40"/>
      <c r="Z190" s="40"/>
      <c r="AA190" s="40" t="s">
        <v>134</v>
      </c>
      <c r="AB190" s="53">
        <v>45963.617361111108</v>
      </c>
      <c r="AC190" s="40"/>
      <c r="AD190" s="40"/>
      <c r="AE190" s="40"/>
      <c r="AF190" s="40"/>
      <c r="AG190" s="40" t="s">
        <v>141</v>
      </c>
      <c r="AH190" s="10" t="s">
        <v>136</v>
      </c>
      <c r="AI190" s="87"/>
      <c r="AJ190" s="87" cm="1">
        <f t="array" ref="AJ190">IFERROR(_xlfn.XLOOKUP(TRUE,COUNTIF(Tabla[[#This Row],[Etiquetas]:[Etiquetas17]],Versiones!$G$2:$G$36)&gt;0,Versiones!$B$2:$B$36), "")</f>
        <v>22</v>
      </c>
      <c r="AK190" s="87" t="str" cm="1">
        <f t="array" ref="AK190">IFERROR(_xlfn.XLOOKUP(TRUE,COUNTIF(Tabla[[#This Row],[Etiquetas]:[Etiquetas17]],Versiones!$G$2:$G$36)&gt;0,Versiones!$A$2:$A$36), "")</f>
        <v>V0.11</v>
      </c>
      <c r="AL19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0" s="78" t="str">
        <f>IFERROR(_xlfn.XLOOKUP(Tabla[[#This Row],[¿En qué versión fue corregido?]],Versiones!$A$2:$A$34,Versiones!$B$2:$B$34),"No encontrado")</f>
        <v>No encontrado</v>
      </c>
      <c r="AN190" s="88" t="str" cm="1">
        <f t="array" ref="AN190">IFERROR(_xlfn.XLOOKUP(TRUE,COUNTIF(Tabla[[#This Row],[Etiquetas]:[Etiquetas17]],Categorías!$A$2:$A$12)&gt;0,Categorías!$A$2:$A$12),"No encontrado")</f>
        <v>Funcional</v>
      </c>
      <c r="AO190" s="88" t="str" cm="1">
        <f t="array" ref="AO190">IFERROR(INDEX(Funcionalidades!$A$2:$A$80,MATCH(TRUE, COUNTIF(Reporte_Gral!R190:Z190,Funcionalidades!$A$2:$A$80)&gt;0,0)),"No encontrado")</f>
        <v>Main-Dashboard</v>
      </c>
      <c r="AP190" s="87" t="str">
        <f>IF(AND(COUNTIF(Tabla[[#This Row],[Etiquetas]:[Etiquetas17]],"*UAT_V*")&gt;0,COUNTIF(Tabla[[#This Row],[Etiquetas]:[Etiquetas17]],"*QA-Integración*")=0),"SI","")</f>
        <v/>
      </c>
      <c r="AQ190" s="88" t="str" cm="1">
        <f t="array" ref="AQ190">IF(Tabla[[#This Row],[Fue encontrado durante UAT?]]="SI",IFERROR(_xlfn.XLOOKUP(TRUE,ISNUMBER(SEARCH("UAT_V",Tabla[[#This Row],[Etiquetas]:[Etiquetas17]])),Tabla[[#This Row],[Etiquetas]:[Etiquetas17]]),""),"")</f>
        <v/>
      </c>
      <c r="AR190" s="87" t="str">
        <f>IF(COUNTIF(Tabla[[#This Row],[Etiquetas]:[Etiquetas17]],"*Devuelto*")&gt;0,"SI","")</f>
        <v/>
      </c>
      <c r="AS190" s="167">
        <f>COUNTIF(Tabla[[#This Row],[Etiquetas]:[Etiquetas17]],"*Devuelto*")</f>
        <v>0</v>
      </c>
    </row>
    <row r="191" spans="1:45" ht="15" customHeight="1">
      <c r="A191" s="40" t="s">
        <v>128</v>
      </c>
      <c r="B191" s="40" t="s">
        <v>615</v>
      </c>
      <c r="C191" s="40">
        <v>107001</v>
      </c>
      <c r="D191" s="40" t="s">
        <v>616</v>
      </c>
      <c r="E191" s="40" t="s">
        <v>36</v>
      </c>
      <c r="F191" s="40" t="s">
        <v>26</v>
      </c>
      <c r="G191" s="40" t="s">
        <v>307</v>
      </c>
      <c r="H191" s="40" t="s">
        <v>224</v>
      </c>
      <c r="I191" s="40" t="s">
        <v>151</v>
      </c>
      <c r="J191" s="40"/>
      <c r="K191" s="40"/>
      <c r="L191" s="40"/>
      <c r="M191" s="40"/>
      <c r="N191" s="40"/>
      <c r="O191" s="40"/>
      <c r="P191" s="40"/>
      <c r="Q191" s="40"/>
      <c r="R191" s="40" t="s">
        <v>139</v>
      </c>
      <c r="S191" s="40" t="s">
        <v>351</v>
      </c>
      <c r="T191" s="40" t="s">
        <v>468</v>
      </c>
      <c r="U191" s="40" t="s">
        <v>204</v>
      </c>
      <c r="V191" s="40" t="s">
        <v>154</v>
      </c>
      <c r="W191" s="40" t="s">
        <v>536</v>
      </c>
      <c r="X191" s="40"/>
      <c r="Y191" s="40"/>
      <c r="Z191" s="40"/>
      <c r="AA191" s="40" t="s">
        <v>134</v>
      </c>
      <c r="AB191" s="53">
        <v>45963.605555555558</v>
      </c>
      <c r="AC191" s="40" t="s">
        <v>329</v>
      </c>
      <c r="AD191" s="40"/>
      <c r="AE191" s="40"/>
      <c r="AF191" s="40"/>
      <c r="AG191" s="40" t="s">
        <v>141</v>
      </c>
      <c r="AH191" s="42" t="s">
        <v>617</v>
      </c>
      <c r="AI191" s="87"/>
      <c r="AJ191" s="87" cm="1">
        <f t="array" ref="AJ191">IFERROR(_xlfn.XLOOKUP(TRUE,COUNTIF(Tabla[[#This Row],[Etiquetas]:[Etiquetas17]],Versiones!$G$2:$G$36)&gt;0,Versiones!$B$2:$B$36), "")</f>
        <v>22</v>
      </c>
      <c r="AK191" s="87" t="str" cm="1">
        <f t="array" ref="AK191">IFERROR(_xlfn.XLOOKUP(TRUE,COUNTIF(Tabla[[#This Row],[Etiquetas]:[Etiquetas17]],Versiones!$G$2:$G$36)&gt;0,Versiones!$A$2:$A$36), "")</f>
        <v>V0.11</v>
      </c>
      <c r="AL19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191" s="78">
        <f>IFERROR(_xlfn.XLOOKUP(Tabla[[#This Row],[¿En qué versión fue corregido?]],Versiones!$A$2:$A$34,Versiones!$B$2:$B$34),"No encontrado")</f>
        <v>24</v>
      </c>
      <c r="AN191" s="88" t="str" cm="1">
        <f t="array" ref="AN191">IFERROR(_xlfn.XLOOKUP(TRUE,COUNTIF(Tabla[[#This Row],[Etiquetas]:[Etiquetas17]],Categorías!$A$2:$A$12)&gt;0,Categorías!$A$2:$A$12),"No encontrado")</f>
        <v>Funcional</v>
      </c>
      <c r="AO191" s="87" t="str" cm="1">
        <f t="array" ref="AO191">IFERROR(INDEX(Funcionalidades!$A$2:$A$80,MATCH(TRUE, COUNTIF(Reporte_Gral!R191:Z191,Funcionalidades!$A$2:$A$80)&gt;0,0)),"No encontrado")</f>
        <v>Inicio-De-Día</v>
      </c>
      <c r="AP191" s="87" t="str">
        <f>IF(AND(COUNTIF(Tabla[[#This Row],[Etiquetas]:[Etiquetas17]],"*UAT_V*")&gt;0,COUNTIF(Tabla[[#This Row],[Etiquetas]:[Etiquetas17]],"*QA-Integración*")=0),"SI","")</f>
        <v/>
      </c>
      <c r="AQ191" s="88" t="str" cm="1">
        <f t="array" ref="AQ191">IF(Tabla[[#This Row],[Fue encontrado durante UAT?]]="SI",IFERROR(_xlfn.XLOOKUP(TRUE,ISNUMBER(SEARCH("UAT_V",Tabla[[#This Row],[Etiquetas]:[Etiquetas17]])),Tabla[[#This Row],[Etiquetas]:[Etiquetas17]]),""),"")</f>
        <v/>
      </c>
      <c r="AR191" s="87" t="str">
        <f>IF(COUNTIF(Tabla[[#This Row],[Etiquetas]:[Etiquetas17]],"*Devuelto*")&gt;0,"SI","")</f>
        <v/>
      </c>
      <c r="AS191" s="167">
        <f>COUNTIF(Tabla[[#This Row],[Etiquetas]:[Etiquetas17]],"*Devuelto*")</f>
        <v>0</v>
      </c>
    </row>
    <row r="192" spans="1:45" ht="15" customHeight="1">
      <c r="A192" s="40" t="s">
        <v>128</v>
      </c>
      <c r="B192" s="40" t="s">
        <v>618</v>
      </c>
      <c r="C192" s="40">
        <v>106999</v>
      </c>
      <c r="D192" s="40" t="s">
        <v>619</v>
      </c>
      <c r="E192" s="40" t="s">
        <v>36</v>
      </c>
      <c r="F192" s="40" t="s">
        <v>26</v>
      </c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 t="s">
        <v>620</v>
      </c>
      <c r="S192" s="40" t="s">
        <v>139</v>
      </c>
      <c r="T192" s="40" t="s">
        <v>468</v>
      </c>
      <c r="U192" s="40" t="s">
        <v>536</v>
      </c>
      <c r="V192" s="40"/>
      <c r="W192" s="40"/>
      <c r="X192" s="40"/>
      <c r="Y192" s="40"/>
      <c r="Z192" s="40"/>
      <c r="AA192" s="40" t="s">
        <v>134</v>
      </c>
      <c r="AB192" s="53">
        <v>45963.594444444447</v>
      </c>
      <c r="AC192" s="40" t="s">
        <v>448</v>
      </c>
      <c r="AD192" s="40"/>
      <c r="AE192" s="40"/>
      <c r="AF192" s="40"/>
      <c r="AG192" s="40" t="s">
        <v>141</v>
      </c>
      <c r="AH192" s="42" t="s">
        <v>617</v>
      </c>
      <c r="AI192" s="87"/>
      <c r="AJ192" s="87" cm="1">
        <f t="array" ref="AJ192">IFERROR(_xlfn.XLOOKUP(TRUE,COUNTIF(Tabla[[#This Row],[Etiquetas]:[Etiquetas17]],Versiones!$G$2:$G$36)&gt;0,Versiones!$B$2:$B$36), "")</f>
        <v>22</v>
      </c>
      <c r="AK192" s="87" t="str" cm="1">
        <f t="array" ref="AK192">IFERROR(_xlfn.XLOOKUP(TRUE,COUNTIF(Tabla[[#This Row],[Etiquetas]:[Etiquetas17]],Versiones!$G$2:$G$36)&gt;0,Versiones!$A$2:$A$36), "")</f>
        <v>V0.11</v>
      </c>
      <c r="AL19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V0.12</v>
      </c>
      <c r="AM192" s="78">
        <f>IFERROR(_xlfn.XLOOKUP(Tabla[[#This Row],[¿En qué versión fue corregido?]],Versiones!$A$2:$A$34,Versiones!$B$2:$B$34),"No encontrado")</f>
        <v>23</v>
      </c>
      <c r="AN192" s="88" t="str" cm="1">
        <f t="array" ref="AN192">IFERROR(_xlfn.XLOOKUP(TRUE,COUNTIF(Tabla[[#This Row],[Etiquetas]:[Etiquetas17]],Categorías!$A$2:$A$12)&gt;0,Categorías!$A$2:$A$12),"No encontrado")</f>
        <v>Funcional</v>
      </c>
      <c r="AO192" s="87" t="str" cm="1">
        <f t="array" ref="AO192">IFERROR(INDEX(Funcionalidades!$A$2:$A$80,MATCH(TRUE, COUNTIF(Reporte_Gral!R192:Z192,Funcionalidades!$A$2:$A$80)&gt;0,0)),"No encontrado")</f>
        <v>Cierre-De-Día</v>
      </c>
      <c r="AP192" s="87" t="str">
        <f>IF(AND(COUNTIF(Tabla[[#This Row],[Etiquetas]:[Etiquetas17]],"*UAT_V*")&gt;0,COUNTIF(Tabla[[#This Row],[Etiquetas]:[Etiquetas17]],"*QA-Integración*")=0),"SI","")</f>
        <v/>
      </c>
      <c r="AQ192" s="88" t="str" cm="1">
        <f t="array" ref="AQ192">IF(Tabla[[#This Row],[Fue encontrado durante UAT?]]="SI",IFERROR(_xlfn.XLOOKUP(TRUE,ISNUMBER(SEARCH("UAT_V",Tabla[[#This Row],[Etiquetas]:[Etiquetas17]])),Tabla[[#This Row],[Etiquetas]:[Etiquetas17]]),""),"")</f>
        <v/>
      </c>
      <c r="AR192" s="87" t="str">
        <f>IF(COUNTIF(Tabla[[#This Row],[Etiquetas]:[Etiquetas17]],"*Devuelto*")&gt;0,"SI","")</f>
        <v/>
      </c>
      <c r="AS192" s="167">
        <f>COUNTIF(Tabla[[#This Row],[Etiquetas]:[Etiquetas17]],"*Devuelto*")</f>
        <v>0</v>
      </c>
    </row>
    <row r="193" spans="1:45" ht="15" customHeight="1">
      <c r="A193" s="40" t="s">
        <v>128</v>
      </c>
      <c r="B193" s="40" t="s">
        <v>621</v>
      </c>
      <c r="C193" s="40">
        <v>106843</v>
      </c>
      <c r="D193" s="40" t="s">
        <v>622</v>
      </c>
      <c r="E193" s="40" t="s">
        <v>36</v>
      </c>
      <c r="F193" s="40" t="s">
        <v>27</v>
      </c>
      <c r="G193" s="40" t="s">
        <v>224</v>
      </c>
      <c r="H193" s="40" t="s">
        <v>151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 t="s">
        <v>145</v>
      </c>
      <c r="S193" s="40" t="s">
        <v>287</v>
      </c>
      <c r="T193" s="40" t="s">
        <v>468</v>
      </c>
      <c r="U193" s="40" t="s">
        <v>194</v>
      </c>
      <c r="V193" s="40" t="s">
        <v>536</v>
      </c>
      <c r="W193" s="40"/>
      <c r="X193" s="40"/>
      <c r="Y193" s="40"/>
      <c r="Z193" s="40"/>
      <c r="AA193" s="40" t="s">
        <v>134</v>
      </c>
      <c r="AB193" s="53">
        <v>45961.756944444445</v>
      </c>
      <c r="AC193" s="40" t="s">
        <v>155</v>
      </c>
      <c r="AD193" s="40"/>
      <c r="AE193" s="40"/>
      <c r="AF193" s="40"/>
      <c r="AG193" s="40" t="s">
        <v>141</v>
      </c>
      <c r="AH193" s="10" t="s">
        <v>136</v>
      </c>
      <c r="AI193" s="87"/>
      <c r="AJ193" s="87" cm="1">
        <f t="array" ref="AJ193">IFERROR(_xlfn.XLOOKUP(TRUE,COUNTIF(Tabla[[#This Row],[Etiquetas]:[Etiquetas17]],Versiones!$G$2:$G$36)&gt;0,Versiones!$B$2:$B$36), "")</f>
        <v>22</v>
      </c>
      <c r="AK193" s="87" t="str" cm="1">
        <f t="array" ref="AK193">IFERROR(_xlfn.XLOOKUP(TRUE,COUNTIF(Tabla[[#This Row],[Etiquetas]:[Etiquetas17]],Versiones!$G$2:$G$36)&gt;0,Versiones!$A$2:$A$36), "")</f>
        <v>V0.11</v>
      </c>
      <c r="AL19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93" s="78">
        <f>IFERROR(_xlfn.XLOOKUP(Tabla[[#This Row],[¿En qué versión fue corregido?]],Versiones!$A$2:$A$34,Versiones!$B$2:$B$34),"No encontrado")</f>
        <v>0</v>
      </c>
      <c r="AN193" s="88" t="str" cm="1">
        <f t="array" ref="AN193">IFERROR(_xlfn.XLOOKUP(TRUE,COUNTIF(Tabla[[#This Row],[Etiquetas]:[Etiquetas17]],Categorías!$A$2:$A$12)&gt;0,Categorías!$A$2:$A$12),"No encontrado")</f>
        <v>Eventos_iOT</v>
      </c>
      <c r="AO193" s="88" t="str" cm="1">
        <f t="array" ref="AO193">IFERROR(INDEX(Funcionalidades!$A$2:$A$80,MATCH(TRUE, COUNTIF(Reporte_Gral!R193:Z193,Funcionalidades!$A$2:$A$80)&gt;0,0)),"No encontrado")</f>
        <v>Cierre-De-Turno</v>
      </c>
      <c r="AP193" s="87" t="str">
        <f>IF(AND(COUNTIF(Tabla[[#This Row],[Etiquetas]:[Etiquetas17]],"*UAT_V*")&gt;0,COUNTIF(Tabla[[#This Row],[Etiquetas]:[Etiquetas17]],"*QA-Integración*")=0),"SI","")</f>
        <v/>
      </c>
      <c r="AQ193" s="88" t="str" cm="1">
        <f t="array" ref="AQ193">IF(Tabla[[#This Row],[Fue encontrado durante UAT?]]="SI",IFERROR(_xlfn.XLOOKUP(TRUE,ISNUMBER(SEARCH("UAT_V",Tabla[[#This Row],[Etiquetas]:[Etiquetas17]])),Tabla[[#This Row],[Etiquetas]:[Etiquetas17]]),""),"")</f>
        <v/>
      </c>
      <c r="AR193" s="87" t="str">
        <f>IF(COUNTIF(Tabla[[#This Row],[Etiquetas]:[Etiquetas17]],"*Devuelto*")&gt;0,"SI","")</f>
        <v/>
      </c>
      <c r="AS193" s="167">
        <f>COUNTIF(Tabla[[#This Row],[Etiquetas]:[Etiquetas17]],"*Devuelto*")</f>
        <v>0</v>
      </c>
    </row>
    <row r="194" spans="1:45" ht="15" customHeight="1">
      <c r="A194" s="40" t="s">
        <v>128</v>
      </c>
      <c r="B194" s="40" t="s">
        <v>623</v>
      </c>
      <c r="C194" s="40">
        <v>106836</v>
      </c>
      <c r="D194" s="40" t="s">
        <v>624</v>
      </c>
      <c r="E194" s="40" t="s">
        <v>36</v>
      </c>
      <c r="F194" s="40" t="s">
        <v>27</v>
      </c>
      <c r="G194" s="40" t="s">
        <v>224</v>
      </c>
      <c r="H194" s="40" t="s">
        <v>151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 t="s">
        <v>287</v>
      </c>
      <c r="S194" s="40" t="s">
        <v>442</v>
      </c>
      <c r="T194" s="40" t="s">
        <v>468</v>
      </c>
      <c r="U194" s="40" t="s">
        <v>194</v>
      </c>
      <c r="V194" s="40" t="s">
        <v>226</v>
      </c>
      <c r="W194" s="40" t="s">
        <v>154</v>
      </c>
      <c r="X194" s="40" t="s">
        <v>536</v>
      </c>
      <c r="Y194" s="40"/>
      <c r="Z194" s="40"/>
      <c r="AA194" s="40" t="s">
        <v>134</v>
      </c>
      <c r="AB194" s="53">
        <v>45961.750694444447</v>
      </c>
      <c r="AC194" s="40" t="s">
        <v>155</v>
      </c>
      <c r="AD194" s="40"/>
      <c r="AE194" s="40"/>
      <c r="AF194" s="40"/>
      <c r="AG194" s="40" t="s">
        <v>135</v>
      </c>
      <c r="AH194" s="10" t="s">
        <v>136</v>
      </c>
      <c r="AI194" s="87"/>
      <c r="AJ194" s="87" cm="1">
        <f t="array" ref="AJ194">IFERROR(_xlfn.XLOOKUP(TRUE,COUNTIF(Tabla[[#This Row],[Etiquetas]:[Etiquetas17]],Versiones!$G$2:$G$36)&gt;0,Versiones!$B$2:$B$36), "")</f>
        <v>22</v>
      </c>
      <c r="AK194" s="87" t="str" cm="1">
        <f t="array" ref="AK194">IFERROR(_xlfn.XLOOKUP(TRUE,COUNTIF(Tabla[[#This Row],[Etiquetas]:[Etiquetas17]],Versiones!$G$2:$G$36)&gt;0,Versiones!$A$2:$A$36), "")</f>
        <v>V0.11</v>
      </c>
      <c r="AL19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94" s="78">
        <f>IFERROR(_xlfn.XLOOKUP(Tabla[[#This Row],[¿En qué versión fue corregido?]],Versiones!$A$2:$A$34,Versiones!$B$2:$B$34),"No encontrado")</f>
        <v>0</v>
      </c>
      <c r="AN194" s="88" t="str" cm="1">
        <f t="array" ref="AN194">IFERROR(_xlfn.XLOOKUP(TRUE,COUNTIF(Tabla[[#This Row],[Etiquetas]:[Etiquetas17]],Categorías!$A$2:$A$12)&gt;0,Categorías!$A$2:$A$12),"No encontrado")</f>
        <v>Eventos_iOT</v>
      </c>
      <c r="AO194" s="88" t="str" cm="1">
        <f t="array" ref="AO194">IFERROR(INDEX(Funcionalidades!$A$2:$A$80,MATCH(TRUE, COUNTIF(Reporte_Gral!R194:Z194,Funcionalidades!$A$2:$A$80)&gt;0,0)),"No encontrado")</f>
        <v>Login</v>
      </c>
      <c r="AP194" s="87" t="str">
        <f>IF(AND(COUNTIF(Tabla[[#This Row],[Etiquetas]:[Etiquetas17]],"*UAT_V*")&gt;0,COUNTIF(Tabla[[#This Row],[Etiquetas]:[Etiquetas17]],"*QA-Integración*")=0),"SI","")</f>
        <v/>
      </c>
      <c r="AQ194" s="88" t="str" cm="1">
        <f t="array" ref="AQ194">IF(Tabla[[#This Row],[Fue encontrado durante UAT?]]="SI",IFERROR(_xlfn.XLOOKUP(TRUE,ISNUMBER(SEARCH("UAT_V",Tabla[[#This Row],[Etiquetas]:[Etiquetas17]])),Tabla[[#This Row],[Etiquetas]:[Etiquetas17]]),""),"")</f>
        <v/>
      </c>
      <c r="AR194" s="87" t="str">
        <f>IF(COUNTIF(Tabla[[#This Row],[Etiquetas]:[Etiquetas17]],"*Devuelto*")&gt;0,"SI","")</f>
        <v/>
      </c>
      <c r="AS194" s="167">
        <f>COUNTIF(Tabla[[#This Row],[Etiquetas]:[Etiquetas17]],"*Devuelto*")</f>
        <v>0</v>
      </c>
    </row>
    <row r="195" spans="1:45" ht="15" customHeight="1">
      <c r="A195" s="40" t="s">
        <v>128</v>
      </c>
      <c r="B195" s="40" t="s">
        <v>625</v>
      </c>
      <c r="C195" s="40">
        <v>106826</v>
      </c>
      <c r="D195" s="40" t="s">
        <v>626</v>
      </c>
      <c r="E195" s="40" t="s">
        <v>36</v>
      </c>
      <c r="F195" s="40" t="s">
        <v>27</v>
      </c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 t="s">
        <v>620</v>
      </c>
      <c r="S195" s="40" t="s">
        <v>287</v>
      </c>
      <c r="T195" s="40" t="s">
        <v>468</v>
      </c>
      <c r="U195" s="40" t="s">
        <v>194</v>
      </c>
      <c r="V195" s="40" t="s">
        <v>536</v>
      </c>
      <c r="W195" s="40"/>
      <c r="X195" s="40"/>
      <c r="Y195" s="40"/>
      <c r="Z195" s="40"/>
      <c r="AA195" s="40" t="s">
        <v>134</v>
      </c>
      <c r="AB195" s="53">
        <v>45961.736805555556</v>
      </c>
      <c r="AC195" s="40"/>
      <c r="AD195" s="40"/>
      <c r="AE195" s="40"/>
      <c r="AF195" s="40"/>
      <c r="AG195" s="40" t="s">
        <v>141</v>
      </c>
      <c r="AH195" s="10" t="s">
        <v>136</v>
      </c>
      <c r="AI195" s="87"/>
      <c r="AJ195" s="87" cm="1">
        <f t="array" ref="AJ195">IFERROR(_xlfn.XLOOKUP(TRUE,COUNTIF(Tabla[[#This Row],[Etiquetas]:[Etiquetas17]],Versiones!$G$2:$G$36)&gt;0,Versiones!$B$2:$B$36), "")</f>
        <v>22</v>
      </c>
      <c r="AK195" s="87" t="str" cm="1">
        <f t="array" ref="AK195">IFERROR(_xlfn.XLOOKUP(TRUE,COUNTIF(Tabla[[#This Row],[Etiquetas]:[Etiquetas17]],Versiones!$G$2:$G$36)&gt;0,Versiones!$A$2:$A$36), "")</f>
        <v>V0.11</v>
      </c>
      <c r="AL19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5" s="78" t="str">
        <f>IFERROR(_xlfn.XLOOKUP(Tabla[[#This Row],[¿En qué versión fue corregido?]],Versiones!$A$2:$A$34,Versiones!$B$2:$B$34),"No encontrado")</f>
        <v>No encontrado</v>
      </c>
      <c r="AN195" s="88" t="str" cm="1">
        <f t="array" ref="AN195">IFERROR(_xlfn.XLOOKUP(TRUE,COUNTIF(Tabla[[#This Row],[Etiquetas]:[Etiquetas17]],Categorías!$A$2:$A$12)&gt;0,Categorías!$A$2:$A$12),"No encontrado")</f>
        <v>Eventos_iOT</v>
      </c>
      <c r="AO195" s="88" t="str" cm="1">
        <f t="array" ref="AO195">IFERROR(INDEX(Funcionalidades!$A$2:$A$80,MATCH(TRUE, COUNTIF(Reporte_Gral!R195:Z195,Funcionalidades!$A$2:$A$80)&gt;0,0)),"No encontrado")</f>
        <v>Cierre-De-Día</v>
      </c>
      <c r="AP195" s="87" t="str">
        <f>IF(AND(COUNTIF(Tabla[[#This Row],[Etiquetas]:[Etiquetas17]],"*UAT_V*")&gt;0,COUNTIF(Tabla[[#This Row],[Etiquetas]:[Etiquetas17]],"*QA-Integración*")=0),"SI","")</f>
        <v/>
      </c>
      <c r="AQ195" s="88" t="str" cm="1">
        <f t="array" ref="AQ195">IF(Tabla[[#This Row],[Fue encontrado durante UAT?]]="SI",IFERROR(_xlfn.XLOOKUP(TRUE,ISNUMBER(SEARCH("UAT_V",Tabla[[#This Row],[Etiquetas]:[Etiquetas17]])),Tabla[[#This Row],[Etiquetas]:[Etiquetas17]]),""),"")</f>
        <v/>
      </c>
      <c r="AR195" s="87" t="str">
        <f>IF(COUNTIF(Tabla[[#This Row],[Etiquetas]:[Etiquetas17]],"*Devuelto*")&gt;0,"SI","")</f>
        <v/>
      </c>
      <c r="AS195" s="167">
        <f>COUNTIF(Tabla[[#This Row],[Etiquetas]:[Etiquetas17]],"*Devuelto*")</f>
        <v>0</v>
      </c>
    </row>
    <row r="196" spans="1:45" ht="15" customHeight="1">
      <c r="A196" s="40" t="s">
        <v>128</v>
      </c>
      <c r="B196" s="40" t="s">
        <v>627</v>
      </c>
      <c r="C196" s="40">
        <v>106574</v>
      </c>
      <c r="D196" s="40" t="s">
        <v>628</v>
      </c>
      <c r="E196" s="40" t="s">
        <v>36</v>
      </c>
      <c r="F196" s="40" t="s">
        <v>27</v>
      </c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 t="s">
        <v>139</v>
      </c>
      <c r="S196" s="40" t="s">
        <v>351</v>
      </c>
      <c r="T196" s="40" t="s">
        <v>629</v>
      </c>
      <c r="U196" s="40" t="s">
        <v>536</v>
      </c>
      <c r="V196" s="40"/>
      <c r="W196" s="40"/>
      <c r="X196" s="40"/>
      <c r="Y196" s="40"/>
      <c r="Z196" s="40"/>
      <c r="AA196" s="40" t="s">
        <v>134</v>
      </c>
      <c r="AB196" s="53">
        <v>45960.708333333336</v>
      </c>
      <c r="AC196" s="40"/>
      <c r="AD196" s="40"/>
      <c r="AE196" s="40"/>
      <c r="AF196" s="40"/>
      <c r="AG196" s="40" t="s">
        <v>141</v>
      </c>
      <c r="AH196" s="10" t="s">
        <v>218</v>
      </c>
      <c r="AI196" s="87"/>
      <c r="AJ196" s="87" cm="1">
        <f t="array" ref="AJ196">IFERROR(_xlfn.XLOOKUP(TRUE,COUNTIF(Tabla[[#This Row],[Etiquetas]:[Etiquetas17]],Versiones!$G$2:$G$36)&gt;0,Versiones!$B$2:$B$36), "")</f>
        <v>22</v>
      </c>
      <c r="AK196" s="87" t="str" cm="1">
        <f t="array" ref="AK196">IFERROR(_xlfn.XLOOKUP(TRUE,COUNTIF(Tabla[[#This Row],[Etiquetas]:[Etiquetas17]],Versiones!$G$2:$G$36)&gt;0,Versiones!$A$2:$A$36), "")</f>
        <v>V0.10.1</v>
      </c>
      <c r="AL19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6" s="78" t="str">
        <f>IFERROR(_xlfn.XLOOKUP(Tabla[[#This Row],[¿En qué versión fue corregido?]],Versiones!$A$2:$A$34,Versiones!$B$2:$B$34),"No encontrado")</f>
        <v>No encontrado</v>
      </c>
      <c r="AN196" s="88" t="str" cm="1">
        <f t="array" ref="AN196">IFERROR(_xlfn.XLOOKUP(TRUE,COUNTIF(Tabla[[#This Row],[Etiquetas]:[Etiquetas17]],Categorías!$A$2:$A$12)&gt;0,Categorías!$A$2:$A$12),"No encontrado")</f>
        <v>Funcional</v>
      </c>
      <c r="AO196" s="88" t="str" cm="1">
        <f t="array" ref="AO196">IFERROR(INDEX(Funcionalidades!$A$2:$A$80,MATCH(TRUE, COUNTIF(Reporte_Gral!R196:Z196,Funcionalidades!$A$2:$A$80)&gt;0,0)),"No encontrado")</f>
        <v>Inicio-De-Día</v>
      </c>
      <c r="AP196" s="87" t="str">
        <f>IF(AND(COUNTIF(Tabla[[#This Row],[Etiquetas]:[Etiquetas17]],"*UAT_V*")&gt;0,COUNTIF(Tabla[[#This Row],[Etiquetas]:[Etiquetas17]],"*QA-Integración*")=0),"SI","")</f>
        <v/>
      </c>
      <c r="AQ196" s="88" t="str" cm="1">
        <f t="array" ref="AQ196">IF(Tabla[[#This Row],[Fue encontrado durante UAT?]]="SI",IFERROR(_xlfn.XLOOKUP(TRUE,ISNUMBER(SEARCH("UAT_V",Tabla[[#This Row],[Etiquetas]:[Etiquetas17]])),Tabla[[#This Row],[Etiquetas]:[Etiquetas17]]),""),"")</f>
        <v/>
      </c>
      <c r="AR196" s="87" t="str">
        <f>IF(COUNTIF(Tabla[[#This Row],[Etiquetas]:[Etiquetas17]],"*Devuelto*")&gt;0,"SI","")</f>
        <v/>
      </c>
      <c r="AS196" s="167">
        <f>COUNTIF(Tabla[[#This Row],[Etiquetas]:[Etiquetas17]],"*Devuelto*")</f>
        <v>0</v>
      </c>
    </row>
    <row r="197" spans="1:45" ht="15" customHeight="1">
      <c r="A197" s="40" t="s">
        <v>128</v>
      </c>
      <c r="B197" s="40" t="s">
        <v>630</v>
      </c>
      <c r="C197" s="40">
        <v>106443</v>
      </c>
      <c r="D197" s="40" t="s">
        <v>631</v>
      </c>
      <c r="E197" s="40" t="s">
        <v>36</v>
      </c>
      <c r="F197" s="40" t="s">
        <v>27</v>
      </c>
      <c r="G197" s="40" t="s">
        <v>561</v>
      </c>
      <c r="H197" s="40" t="s">
        <v>429</v>
      </c>
      <c r="I197" s="40" t="s">
        <v>224</v>
      </c>
      <c r="J197" s="40" t="s">
        <v>151</v>
      </c>
      <c r="K197" s="40"/>
      <c r="L197" s="40"/>
      <c r="M197" s="40"/>
      <c r="N197" s="40"/>
      <c r="O197" s="40"/>
      <c r="P197" s="40"/>
      <c r="Q197" s="40"/>
      <c r="R197" s="40" t="s">
        <v>139</v>
      </c>
      <c r="S197" s="40" t="s">
        <v>506</v>
      </c>
      <c r="T197" s="40" t="s">
        <v>629</v>
      </c>
      <c r="U197" s="40" t="s">
        <v>536</v>
      </c>
      <c r="V197" s="40"/>
      <c r="W197" s="40"/>
      <c r="X197" s="40"/>
      <c r="Y197" s="40"/>
      <c r="Z197" s="40"/>
      <c r="AA197" s="40" t="s">
        <v>217</v>
      </c>
      <c r="AB197" s="53">
        <v>45960.493055555555</v>
      </c>
      <c r="AC197" s="40"/>
      <c r="AD197" s="40"/>
      <c r="AE197" s="40"/>
      <c r="AF197" s="40"/>
      <c r="AG197" s="40" t="s">
        <v>141</v>
      </c>
      <c r="AH197" s="10" t="s">
        <v>218</v>
      </c>
      <c r="AI197" s="87"/>
      <c r="AJ197" s="87" cm="1">
        <f t="array" ref="AJ197">IFERROR(_xlfn.XLOOKUP(TRUE,COUNTIF(Tabla[[#This Row],[Etiquetas]:[Etiquetas17]],Versiones!$G$2:$G$36)&gt;0,Versiones!$B$2:$B$36), "")</f>
        <v>22</v>
      </c>
      <c r="AK197" s="87" t="str" cm="1">
        <f t="array" ref="AK197">IFERROR(_xlfn.XLOOKUP(TRUE,COUNTIF(Tabla[[#This Row],[Etiquetas]:[Etiquetas17]],Versiones!$G$2:$G$36)&gt;0,Versiones!$A$2:$A$36), "")</f>
        <v>V0.10.1</v>
      </c>
      <c r="AL19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7" s="78" t="str">
        <f>IFERROR(_xlfn.XLOOKUP(Tabla[[#This Row],[¿En qué versión fue corregido?]],Versiones!$A$2:$A$34,Versiones!$B$2:$B$34),"No encontrado")</f>
        <v>No encontrado</v>
      </c>
      <c r="AN197" s="88" t="str" cm="1">
        <f t="array" ref="AN197">IFERROR(_xlfn.XLOOKUP(TRUE,COUNTIF(Tabla[[#This Row],[Etiquetas]:[Etiquetas17]],Categorías!$A$2:$A$12)&gt;0,Categorías!$A$2:$A$12),"No encontrado")</f>
        <v>Funcional</v>
      </c>
      <c r="AO197" s="88" t="str" cm="1">
        <f t="array" ref="AO197">IFERROR(INDEX(Funcionalidades!$A$2:$A$80,MATCH(TRUE, COUNTIF(Reporte_Gral!R197:Z197,Funcionalidades!$A$2:$A$80)&gt;0,0)),"No encontrado")</f>
        <v>Imprimir-Ticket</v>
      </c>
      <c r="AP197" s="87" t="str">
        <f>IF(AND(COUNTIF(Tabla[[#This Row],[Etiquetas]:[Etiquetas17]],"*UAT_V*")&gt;0,COUNTIF(Tabla[[#This Row],[Etiquetas]:[Etiquetas17]],"*QA-Integración*")=0),"SI","")</f>
        <v/>
      </c>
      <c r="AQ197" s="88" t="str" cm="1">
        <f t="array" ref="AQ197">IF(Tabla[[#This Row],[Fue encontrado durante UAT?]]="SI",IFERROR(_xlfn.XLOOKUP(TRUE,ISNUMBER(SEARCH("UAT_V",Tabla[[#This Row],[Etiquetas]:[Etiquetas17]])),Tabla[[#This Row],[Etiquetas]:[Etiquetas17]]),""),"")</f>
        <v/>
      </c>
      <c r="AR197" s="87" t="str">
        <f>IF(COUNTIF(Tabla[[#This Row],[Etiquetas]:[Etiquetas17]],"*Devuelto*")&gt;0,"SI","")</f>
        <v/>
      </c>
      <c r="AS197" s="167">
        <f>COUNTIF(Tabla[[#This Row],[Etiquetas]:[Etiquetas17]],"*Devuelto*")</f>
        <v>0</v>
      </c>
    </row>
    <row r="198" spans="1:45" ht="15" customHeight="1">
      <c r="A198" s="40" t="s">
        <v>128</v>
      </c>
      <c r="B198" s="40" t="s">
        <v>632</v>
      </c>
      <c r="C198" s="40">
        <v>106430</v>
      </c>
      <c r="D198" s="40" t="s">
        <v>633</v>
      </c>
      <c r="E198" s="40" t="s">
        <v>36</v>
      </c>
      <c r="F198" s="40" t="s">
        <v>27</v>
      </c>
      <c r="G198" s="40" t="s">
        <v>561</v>
      </c>
      <c r="H198" s="40" t="s">
        <v>429</v>
      </c>
      <c r="I198" s="40" t="s">
        <v>224</v>
      </c>
      <c r="J198" s="40" t="s">
        <v>151</v>
      </c>
      <c r="K198" s="40"/>
      <c r="L198" s="40"/>
      <c r="M198" s="40"/>
      <c r="N198" s="40"/>
      <c r="O198" s="40"/>
      <c r="P198" s="40"/>
      <c r="Q198" s="40"/>
      <c r="R198" s="40" t="s">
        <v>158</v>
      </c>
      <c r="S198" s="40" t="s">
        <v>579</v>
      </c>
      <c r="T198" s="40" t="s">
        <v>132</v>
      </c>
      <c r="U198" s="40" t="s">
        <v>629</v>
      </c>
      <c r="V198" s="40" t="s">
        <v>634</v>
      </c>
      <c r="W198" s="40"/>
      <c r="X198" s="40"/>
      <c r="Y198" s="40"/>
      <c r="Z198" s="40"/>
      <c r="AA198" s="40" t="s">
        <v>217</v>
      </c>
      <c r="AB198" s="53">
        <v>45960.48333333333</v>
      </c>
      <c r="AC198" s="40"/>
      <c r="AD198" s="40"/>
      <c r="AE198" s="40"/>
      <c r="AF198" s="40"/>
      <c r="AG198" s="40" t="s">
        <v>141</v>
      </c>
      <c r="AH198" s="10" t="s">
        <v>218</v>
      </c>
      <c r="AI198" s="87"/>
      <c r="AJ198" s="87" cm="1">
        <f t="array" ref="AJ198">IFERROR(_xlfn.XLOOKUP(TRUE,COUNTIF(Tabla[[#This Row],[Etiquetas]:[Etiquetas17]],Versiones!$G$2:$G$36)&gt;0,Versiones!$B$2:$B$36), "")</f>
        <v>22</v>
      </c>
      <c r="AK198" s="87" t="str" cm="1">
        <f t="array" ref="AK198">IFERROR(_xlfn.XLOOKUP(TRUE,COUNTIF(Tabla[[#This Row],[Etiquetas]:[Etiquetas17]],Versiones!$G$2:$G$36)&gt;0,Versiones!$A$2:$A$36), "")</f>
        <v>V0.10.1</v>
      </c>
      <c r="AL19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198" s="78" t="str">
        <f>IFERROR(_xlfn.XLOOKUP(Tabla[[#This Row],[¿En qué versión fue corregido?]],Versiones!$A$2:$A$34,Versiones!$B$2:$B$34),"No encontrado")</f>
        <v>No encontrado</v>
      </c>
      <c r="AN198" s="88" t="str" cm="1">
        <f t="array" ref="AN198">IFERROR(_xlfn.XLOOKUP(TRUE,COUNTIF(Tabla[[#This Row],[Etiquetas]:[Etiquetas17]],Categorías!$A$2:$A$12)&gt;0,Categorías!$A$2:$A$12),"No encontrado")</f>
        <v>Look&amp;Feel</v>
      </c>
      <c r="AO198" s="87" t="str" cm="1">
        <f t="array" ref="AO198">IFERROR(INDEX(Funcionalidades!$A$2:$A$80,MATCH(TRUE, COUNTIF(Reporte_Gral!R198:Z198,Funcionalidades!$A$2:$A$80)&gt;0,0)),"No encontrado")</f>
        <v>Alivios</v>
      </c>
      <c r="AP198" s="87" t="str">
        <f>IF(AND(COUNTIF(Tabla[[#This Row],[Etiquetas]:[Etiquetas17]],"*UAT_V*")&gt;0,COUNTIF(Tabla[[#This Row],[Etiquetas]:[Etiquetas17]],"*QA-Integración*")=0),"SI","")</f>
        <v/>
      </c>
      <c r="AQ198" s="88" t="str" cm="1">
        <f t="array" ref="AQ198">IF(Tabla[[#This Row],[Fue encontrado durante UAT?]]="SI",IFERROR(_xlfn.XLOOKUP(TRUE,ISNUMBER(SEARCH("UAT_V",Tabla[[#This Row],[Etiquetas]:[Etiquetas17]])),Tabla[[#This Row],[Etiquetas]:[Etiquetas17]]),""),"")</f>
        <v/>
      </c>
      <c r="AR198" s="87" t="str">
        <f>IF(COUNTIF(Tabla[[#This Row],[Etiquetas]:[Etiquetas17]],"*Devuelto*")&gt;0,"SI","")</f>
        <v>SI</v>
      </c>
      <c r="AS198" s="167">
        <f>COUNTIF(Tabla[[#This Row],[Etiquetas]:[Etiquetas17]],"*Devuelto*")</f>
        <v>1</v>
      </c>
    </row>
    <row r="199" spans="1:45" ht="15" customHeight="1">
      <c r="A199" s="40" t="s">
        <v>128</v>
      </c>
      <c r="B199" s="40" t="s">
        <v>635</v>
      </c>
      <c r="C199" s="40">
        <v>106248</v>
      </c>
      <c r="D199" s="40" t="s">
        <v>636</v>
      </c>
      <c r="E199" s="40" t="s">
        <v>37</v>
      </c>
      <c r="F199" s="40" t="s">
        <v>28</v>
      </c>
      <c r="G199" s="40" t="s">
        <v>637</v>
      </c>
      <c r="H199" s="40" t="s">
        <v>561</v>
      </c>
      <c r="I199" s="40" t="s">
        <v>429</v>
      </c>
      <c r="J199" s="40" t="s">
        <v>151</v>
      </c>
      <c r="K199" s="40"/>
      <c r="L199" s="40"/>
      <c r="M199" s="40"/>
      <c r="N199" s="40"/>
      <c r="O199" s="40"/>
      <c r="P199" s="40"/>
      <c r="Q199" s="40"/>
      <c r="R199" s="40" t="s">
        <v>638</v>
      </c>
      <c r="S199" s="40" t="s">
        <v>139</v>
      </c>
      <c r="T199" s="40" t="s">
        <v>629</v>
      </c>
      <c r="U199" s="40" t="s">
        <v>226</v>
      </c>
      <c r="V199" s="40" t="s">
        <v>154</v>
      </c>
      <c r="W199" s="40" t="s">
        <v>536</v>
      </c>
      <c r="X199" s="40"/>
      <c r="Y199" s="40"/>
      <c r="Z199" s="40"/>
      <c r="AA199" s="40" t="s">
        <v>217</v>
      </c>
      <c r="AB199" s="53">
        <v>45959.669444444444</v>
      </c>
      <c r="AC199" s="40" t="s">
        <v>155</v>
      </c>
      <c r="AD199" s="40"/>
      <c r="AE199" s="40"/>
      <c r="AF199" s="40"/>
      <c r="AG199" s="40" t="s">
        <v>135</v>
      </c>
      <c r="AH199" s="10" t="s">
        <v>218</v>
      </c>
      <c r="AI199" s="87"/>
      <c r="AJ199" s="87" cm="1">
        <f t="array" ref="AJ199">IFERROR(_xlfn.XLOOKUP(TRUE,COUNTIF(Tabla[[#This Row],[Etiquetas]:[Etiquetas17]],Versiones!$G$2:$G$36)&gt;0,Versiones!$B$2:$B$36), "")</f>
        <v>22</v>
      </c>
      <c r="AK199" s="87" t="str" cm="1">
        <f t="array" ref="AK199">IFERROR(_xlfn.XLOOKUP(TRUE,COUNTIF(Tabla[[#This Row],[Etiquetas]:[Etiquetas17]],Versiones!$G$2:$G$36)&gt;0,Versiones!$A$2:$A$36), "")</f>
        <v>V0.10.1</v>
      </c>
      <c r="AL19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199" s="78">
        <f>IFERROR(_xlfn.XLOOKUP(Tabla[[#This Row],[¿En qué versión fue corregido?]],Versiones!$A$2:$A$34,Versiones!$B$2:$B$34),"No encontrado")</f>
        <v>0</v>
      </c>
      <c r="AN199" s="88" t="str" cm="1">
        <f t="array" ref="AN199">IFERROR(_xlfn.XLOOKUP(TRUE,COUNTIF(Tabla[[#This Row],[Etiquetas]:[Etiquetas17]],Categorías!$A$2:$A$12)&gt;0,Categorías!$A$2:$A$12),"No encontrado")</f>
        <v>Funcional</v>
      </c>
      <c r="AO199" s="88" t="str" cm="1">
        <f t="array" ref="AO199">IFERROR(INDEX(Funcionalidades!$A$2:$A$80,MATCH(TRUE, COUNTIF(Reporte_Gral!R199:Z199,Funcionalidades!$A$2:$A$80)&gt;0,0)),"No encontrado")</f>
        <v>Buscar-Artículo</v>
      </c>
      <c r="AP199" s="87" t="str">
        <f>IF(AND(COUNTIF(Tabla[[#This Row],[Etiquetas]:[Etiquetas17]],"*UAT_V*")&gt;0,COUNTIF(Tabla[[#This Row],[Etiquetas]:[Etiquetas17]],"*QA-Integración*")=0),"SI","")</f>
        <v/>
      </c>
      <c r="AQ199" s="88" t="str" cm="1">
        <f t="array" ref="AQ199">IF(Tabla[[#This Row],[Fue encontrado durante UAT?]]="SI",IFERROR(_xlfn.XLOOKUP(TRUE,ISNUMBER(SEARCH("UAT_V",Tabla[[#This Row],[Etiquetas]:[Etiquetas17]])),Tabla[[#This Row],[Etiquetas]:[Etiquetas17]]),""),"")</f>
        <v/>
      </c>
      <c r="AR199" s="87" t="str">
        <f>IF(COUNTIF(Tabla[[#This Row],[Etiquetas]:[Etiquetas17]],"*Devuelto*")&gt;0,"SI","")</f>
        <v/>
      </c>
      <c r="AS199" s="167">
        <f>COUNTIF(Tabla[[#This Row],[Etiquetas]:[Etiquetas17]],"*Devuelto*")</f>
        <v>0</v>
      </c>
    </row>
    <row r="200" spans="1:45" ht="15" customHeight="1">
      <c r="A200" s="40" t="s">
        <v>128</v>
      </c>
      <c r="B200" s="40" t="s">
        <v>639</v>
      </c>
      <c r="C200" s="40">
        <v>106239</v>
      </c>
      <c r="D200" s="40" t="s">
        <v>640</v>
      </c>
      <c r="E200" s="40" t="s">
        <v>36</v>
      </c>
      <c r="F200" s="40" t="s">
        <v>27</v>
      </c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 t="s">
        <v>139</v>
      </c>
      <c r="S200" s="40" t="s">
        <v>237</v>
      </c>
      <c r="T200" s="40" t="s">
        <v>629</v>
      </c>
      <c r="U200" s="40" t="s">
        <v>536</v>
      </c>
      <c r="V200" s="40"/>
      <c r="W200" s="40"/>
      <c r="X200" s="40"/>
      <c r="Y200" s="40"/>
      <c r="Z200" s="40"/>
      <c r="AA200" s="40" t="s">
        <v>134</v>
      </c>
      <c r="AB200" s="53">
        <v>45959.659722222219</v>
      </c>
      <c r="AC200" s="40"/>
      <c r="AD200" s="40"/>
      <c r="AE200" s="40"/>
      <c r="AF200" s="40"/>
      <c r="AG200" s="40" t="s">
        <v>141</v>
      </c>
      <c r="AH200" s="10" t="s">
        <v>218</v>
      </c>
      <c r="AI200" s="87"/>
      <c r="AJ200" s="87" cm="1">
        <f t="array" ref="AJ200">IFERROR(_xlfn.XLOOKUP(TRUE,COUNTIF(Tabla[[#This Row],[Etiquetas]:[Etiquetas17]],Versiones!$G$2:$G$36)&gt;0,Versiones!$B$2:$B$36), "")</f>
        <v>22</v>
      </c>
      <c r="AK200" s="87" t="str" cm="1">
        <f t="array" ref="AK200">IFERROR(_xlfn.XLOOKUP(TRUE,COUNTIF(Tabla[[#This Row],[Etiquetas]:[Etiquetas17]],Versiones!$G$2:$G$36)&gt;0,Versiones!$A$2:$A$36), "")</f>
        <v>V0.10.1</v>
      </c>
      <c r="AL20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0" s="78" t="str">
        <f>IFERROR(_xlfn.XLOOKUP(Tabla[[#This Row],[¿En qué versión fue corregido?]],Versiones!$A$2:$A$34,Versiones!$B$2:$B$34),"No encontrado")</f>
        <v>No encontrado</v>
      </c>
      <c r="AN200" s="88" t="str" cm="1">
        <f t="array" ref="AN200">IFERROR(_xlfn.XLOOKUP(TRUE,COUNTIF(Tabla[[#This Row],[Etiquetas]:[Etiquetas17]],Categorías!$A$2:$A$12)&gt;0,Categorías!$A$2:$A$12),"No encontrado")</f>
        <v>Funcional</v>
      </c>
      <c r="AO200" s="87" t="str" cm="1">
        <f t="array" ref="AO200">IFERROR(INDEX(Funcionalidades!$A$2:$A$80,MATCH(TRUE, COUNTIF(Reporte_Gral!R200:Z200,Funcionalidades!$A$2:$A$80)&gt;0,0)),"No encontrado")</f>
        <v>Main-Dashboard</v>
      </c>
      <c r="AP200" s="87" t="str">
        <f>IF(AND(COUNTIF(Tabla[[#This Row],[Etiquetas]:[Etiquetas17]],"*UAT_V*")&gt;0,COUNTIF(Tabla[[#This Row],[Etiquetas]:[Etiquetas17]],"*QA-Integración*")=0),"SI","")</f>
        <v/>
      </c>
      <c r="AQ200" s="88" t="str" cm="1">
        <f t="array" ref="AQ200">IF(Tabla[[#This Row],[Fue encontrado durante UAT?]]="SI",IFERROR(_xlfn.XLOOKUP(TRUE,ISNUMBER(SEARCH("UAT_V",Tabla[[#This Row],[Etiquetas]:[Etiquetas17]])),Tabla[[#This Row],[Etiquetas]:[Etiquetas17]]),""),"")</f>
        <v/>
      </c>
      <c r="AR200" s="87" t="str">
        <f>IF(COUNTIF(Tabla[[#This Row],[Etiquetas]:[Etiquetas17]],"*Devuelto*")&gt;0,"SI","")</f>
        <v/>
      </c>
      <c r="AS200" s="167">
        <f>COUNTIF(Tabla[[#This Row],[Etiquetas]:[Etiquetas17]],"*Devuelto*")</f>
        <v>0</v>
      </c>
    </row>
    <row r="201" spans="1:45" ht="15" customHeight="1">
      <c r="A201" s="40" t="s">
        <v>128</v>
      </c>
      <c r="B201" s="40" t="s">
        <v>641</v>
      </c>
      <c r="C201" s="40">
        <v>106228</v>
      </c>
      <c r="D201" s="40" t="s">
        <v>642</v>
      </c>
      <c r="E201" s="40" t="s">
        <v>36</v>
      </c>
      <c r="F201" s="40" t="s">
        <v>27</v>
      </c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 t="s">
        <v>145</v>
      </c>
      <c r="S201" s="40" t="s">
        <v>139</v>
      </c>
      <c r="T201" s="40" t="s">
        <v>629</v>
      </c>
      <c r="U201" s="40" t="s">
        <v>536</v>
      </c>
      <c r="V201" s="40"/>
      <c r="W201" s="40"/>
      <c r="X201" s="40"/>
      <c r="Y201" s="40"/>
      <c r="Z201" s="40"/>
      <c r="AA201" s="40" t="s">
        <v>134</v>
      </c>
      <c r="AB201" s="53">
        <v>45959.629861111112</v>
      </c>
      <c r="AC201" s="40"/>
      <c r="AD201" s="40"/>
      <c r="AE201" s="40"/>
      <c r="AF201" s="40"/>
      <c r="AG201" s="40" t="s">
        <v>141</v>
      </c>
      <c r="AH201" s="10" t="s">
        <v>218</v>
      </c>
      <c r="AI201" s="87"/>
      <c r="AJ201" s="87" cm="1">
        <f t="array" ref="AJ201">IFERROR(_xlfn.XLOOKUP(TRUE,COUNTIF(Tabla[[#This Row],[Etiquetas]:[Etiquetas17]],Versiones!$G$2:$G$36)&gt;0,Versiones!$B$2:$B$36), "")</f>
        <v>22</v>
      </c>
      <c r="AK201" s="87" t="str" cm="1">
        <f t="array" ref="AK201">IFERROR(_xlfn.XLOOKUP(TRUE,COUNTIF(Tabla[[#This Row],[Etiquetas]:[Etiquetas17]],Versiones!$G$2:$G$36)&gt;0,Versiones!$A$2:$A$36), "")</f>
        <v>V0.10.1</v>
      </c>
      <c r="AL20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1" s="78" t="str">
        <f>IFERROR(_xlfn.XLOOKUP(Tabla[[#This Row],[¿En qué versión fue corregido?]],Versiones!$A$2:$A$34,Versiones!$B$2:$B$34),"No encontrado")</f>
        <v>No encontrado</v>
      </c>
      <c r="AN201" s="88" t="str" cm="1">
        <f t="array" ref="AN201">IFERROR(_xlfn.XLOOKUP(TRUE,COUNTIF(Tabla[[#This Row],[Etiquetas]:[Etiquetas17]],Categorías!$A$2:$A$12)&gt;0,Categorías!$A$2:$A$12),"No encontrado")</f>
        <v>Funcional</v>
      </c>
      <c r="AO201" s="88" t="str" cm="1">
        <f t="array" ref="AO201">IFERROR(INDEX(Funcionalidades!$A$2:$A$80,MATCH(TRUE, COUNTIF(Reporte_Gral!R201:Z201,Funcionalidades!$A$2:$A$80)&gt;0,0)),"No encontrado")</f>
        <v>Cierre-De-Turno</v>
      </c>
      <c r="AP201" s="87" t="str">
        <f>IF(AND(COUNTIF(Tabla[[#This Row],[Etiquetas]:[Etiquetas17]],"*UAT_V*")&gt;0,COUNTIF(Tabla[[#This Row],[Etiquetas]:[Etiquetas17]],"*QA-Integración*")=0),"SI","")</f>
        <v/>
      </c>
      <c r="AQ201" s="88" t="str" cm="1">
        <f t="array" ref="AQ201">IF(Tabla[[#This Row],[Fue encontrado durante UAT?]]="SI",IFERROR(_xlfn.XLOOKUP(TRUE,ISNUMBER(SEARCH("UAT_V",Tabla[[#This Row],[Etiquetas]:[Etiquetas17]])),Tabla[[#This Row],[Etiquetas]:[Etiquetas17]]),""),"")</f>
        <v/>
      </c>
      <c r="AR201" s="87" t="str">
        <f>IF(COUNTIF(Tabla[[#This Row],[Etiquetas]:[Etiquetas17]],"*Devuelto*")&gt;0,"SI","")</f>
        <v/>
      </c>
      <c r="AS201" s="167">
        <f>COUNTIF(Tabla[[#This Row],[Etiquetas]:[Etiquetas17]],"*Devuelto*")</f>
        <v>0</v>
      </c>
    </row>
    <row r="202" spans="1:45" ht="15" customHeight="1">
      <c r="A202" s="40" t="s">
        <v>128</v>
      </c>
      <c r="B202" s="40" t="s">
        <v>643</v>
      </c>
      <c r="C202" s="40">
        <v>106225</v>
      </c>
      <c r="D202" s="40" t="s">
        <v>644</v>
      </c>
      <c r="E202" s="40" t="s">
        <v>41</v>
      </c>
      <c r="F202" s="40" t="s">
        <v>24</v>
      </c>
      <c r="G202" s="40" t="s">
        <v>307</v>
      </c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 t="s">
        <v>158</v>
      </c>
      <c r="S202" s="40" t="s">
        <v>139</v>
      </c>
      <c r="T202" s="40" t="s">
        <v>629</v>
      </c>
      <c r="U202" s="40" t="s">
        <v>226</v>
      </c>
      <c r="V202" s="40" t="s">
        <v>154</v>
      </c>
      <c r="W202" s="40" t="s">
        <v>536</v>
      </c>
      <c r="X202" s="40"/>
      <c r="Y202" s="40"/>
      <c r="Z202" s="40"/>
      <c r="AA202" s="40" t="s">
        <v>217</v>
      </c>
      <c r="AB202" s="53">
        <v>45959.618055555555</v>
      </c>
      <c r="AC202" s="40"/>
      <c r="AD202" s="40"/>
      <c r="AE202" s="40"/>
      <c r="AF202" s="40"/>
      <c r="AG202" s="40" t="s">
        <v>135</v>
      </c>
      <c r="AH202" s="10" t="s">
        <v>218</v>
      </c>
      <c r="AI202" s="87"/>
      <c r="AJ202" s="87" cm="1">
        <f t="array" ref="AJ202">IFERROR(_xlfn.XLOOKUP(TRUE,COUNTIF(Tabla[[#This Row],[Etiquetas]:[Etiquetas17]],Versiones!$G$2:$G$36)&gt;0,Versiones!$B$2:$B$36), "")</f>
        <v>22</v>
      </c>
      <c r="AK202" s="87" t="str" cm="1">
        <f t="array" ref="AK202">IFERROR(_xlfn.XLOOKUP(TRUE,COUNTIF(Tabla[[#This Row],[Etiquetas]:[Etiquetas17]],Versiones!$G$2:$G$36)&gt;0,Versiones!$A$2:$A$36), "")</f>
        <v>V0.10.1</v>
      </c>
      <c r="AL20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2" s="78" t="str">
        <f>IFERROR(_xlfn.XLOOKUP(Tabla[[#This Row],[¿En qué versión fue corregido?]],Versiones!$A$2:$A$34,Versiones!$B$2:$B$34),"No encontrado")</f>
        <v>No encontrado</v>
      </c>
      <c r="AN202" s="88" t="str" cm="1">
        <f t="array" ref="AN202">IFERROR(_xlfn.XLOOKUP(TRUE,COUNTIF(Tabla[[#This Row],[Etiquetas]:[Etiquetas17]],Categorías!$A$2:$A$12)&gt;0,Categorías!$A$2:$A$12),"No encontrado")</f>
        <v>Funcional</v>
      </c>
      <c r="AO202" s="87" t="str" cm="1">
        <f t="array" ref="AO202">IFERROR(INDEX(Funcionalidades!$A$2:$A$80,MATCH(TRUE, COUNTIF(Reporte_Gral!R202:Z202,Funcionalidades!$A$2:$A$80)&gt;0,0)),"No encontrado")</f>
        <v>Alivios</v>
      </c>
      <c r="AP202" s="87" t="str">
        <f>IF(AND(COUNTIF(Tabla[[#This Row],[Etiquetas]:[Etiquetas17]],"*UAT_V*")&gt;0,COUNTIF(Tabla[[#This Row],[Etiquetas]:[Etiquetas17]],"*QA-Integración*")=0),"SI","")</f>
        <v/>
      </c>
      <c r="AQ202" s="88" t="str" cm="1">
        <f t="array" ref="AQ202">IF(Tabla[[#This Row],[Fue encontrado durante UAT?]]="SI",IFERROR(_xlfn.XLOOKUP(TRUE,ISNUMBER(SEARCH("UAT_V",Tabla[[#This Row],[Etiquetas]:[Etiquetas17]])),Tabla[[#This Row],[Etiquetas]:[Etiquetas17]]),""),"")</f>
        <v/>
      </c>
      <c r="AR202" s="87" t="str">
        <f>IF(COUNTIF(Tabla[[#This Row],[Etiquetas]:[Etiquetas17]],"*Devuelto*")&gt;0,"SI","")</f>
        <v/>
      </c>
      <c r="AS202" s="167">
        <f>COUNTIF(Tabla[[#This Row],[Etiquetas]:[Etiquetas17]],"*Devuelto*")</f>
        <v>0</v>
      </c>
    </row>
    <row r="203" spans="1:45" ht="15" customHeight="1">
      <c r="A203" s="40" t="s">
        <v>128</v>
      </c>
      <c r="B203" s="40" t="s">
        <v>645</v>
      </c>
      <c r="C203" s="40">
        <v>106224</v>
      </c>
      <c r="D203" s="40" t="s">
        <v>646</v>
      </c>
      <c r="E203" s="40" t="s">
        <v>36</v>
      </c>
      <c r="F203" s="40" t="s">
        <v>26</v>
      </c>
      <c r="G203" s="40" t="s">
        <v>637</v>
      </c>
      <c r="H203" s="40" t="s">
        <v>561</v>
      </c>
      <c r="I203" s="40" t="s">
        <v>429</v>
      </c>
      <c r="J203" s="40" t="s">
        <v>307</v>
      </c>
      <c r="K203" s="40" t="s">
        <v>224</v>
      </c>
      <c r="L203" s="40" t="s">
        <v>151</v>
      </c>
      <c r="M203" s="40"/>
      <c r="N203" s="40"/>
      <c r="O203" s="40"/>
      <c r="P203" s="40"/>
      <c r="Q203" s="40"/>
      <c r="R203" s="40" t="s">
        <v>139</v>
      </c>
      <c r="S203" s="40" t="s">
        <v>345</v>
      </c>
      <c r="T203" s="40" t="s">
        <v>629</v>
      </c>
      <c r="U203" s="40" t="s">
        <v>226</v>
      </c>
      <c r="V203" s="40" t="s">
        <v>154</v>
      </c>
      <c r="W203" s="40" t="s">
        <v>188</v>
      </c>
      <c r="X203" s="40" t="s">
        <v>536</v>
      </c>
      <c r="Y203" s="40"/>
      <c r="Z203" s="40"/>
      <c r="AA203" s="40" t="s">
        <v>217</v>
      </c>
      <c r="AB203" s="53">
        <v>45959.615277777775</v>
      </c>
      <c r="AC203" s="40" t="s">
        <v>329</v>
      </c>
      <c r="AD203" s="40"/>
      <c r="AE203" s="40"/>
      <c r="AF203" s="40"/>
      <c r="AG203" s="40" t="s">
        <v>135</v>
      </c>
      <c r="AH203" s="10" t="s">
        <v>218</v>
      </c>
      <c r="AI203" s="87"/>
      <c r="AJ203" s="87" cm="1">
        <f t="array" ref="AJ203">IFERROR(_xlfn.XLOOKUP(TRUE,COUNTIF(Tabla[[#This Row],[Etiquetas]:[Etiquetas17]],Versiones!$G$2:$G$36)&gt;0,Versiones!$B$2:$B$36), "")</f>
        <v>22</v>
      </c>
      <c r="AK203" s="87" t="str" cm="1">
        <f t="array" ref="AK203">IFERROR(_xlfn.XLOOKUP(TRUE,COUNTIF(Tabla[[#This Row],[Etiquetas]:[Etiquetas17]],Versiones!$G$2:$G$36)&gt;0,Versiones!$A$2:$A$36), "")</f>
        <v>V0.10.1</v>
      </c>
      <c r="AL20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03" s="78">
        <f>IFERROR(_xlfn.XLOOKUP(Tabla[[#This Row],[¿En qué versión fue corregido?]],Versiones!$A$2:$A$34,Versiones!$B$2:$B$34),"No encontrado")</f>
        <v>24</v>
      </c>
      <c r="AN203" s="88" t="str" cm="1">
        <f t="array" ref="AN203">IFERROR(_xlfn.XLOOKUP(TRUE,COUNTIF(Tabla[[#This Row],[Etiquetas]:[Etiquetas17]],Categorías!$A$2:$A$12)&gt;0,Categorías!$A$2:$A$12),"No encontrado")</f>
        <v>Funcional</v>
      </c>
      <c r="AO203" s="87" t="str" cm="1">
        <f t="array" ref="AO203">IFERROR(INDEX(Funcionalidades!$A$2:$A$80,MATCH(TRUE, COUNTIF(Reporte_Gral!R203:Z203,Funcionalidades!$A$2:$A$80)&gt;0,0)),"No encontrado")</f>
        <v>Inicio-De-Turno</v>
      </c>
      <c r="AP203" s="87" t="str">
        <f>IF(AND(COUNTIF(Tabla[[#This Row],[Etiquetas]:[Etiquetas17]],"*UAT_V*")&gt;0,COUNTIF(Tabla[[#This Row],[Etiquetas]:[Etiquetas17]],"*QA-Integración*")=0),"SI","")</f>
        <v/>
      </c>
      <c r="AQ203" s="88" t="str" cm="1">
        <f t="array" ref="AQ203">IF(Tabla[[#This Row],[Fue encontrado durante UAT?]]="SI",IFERROR(_xlfn.XLOOKUP(TRUE,ISNUMBER(SEARCH("UAT_V",Tabla[[#This Row],[Etiquetas]:[Etiquetas17]])),Tabla[[#This Row],[Etiquetas]:[Etiquetas17]]),""),"")</f>
        <v/>
      </c>
      <c r="AR203" s="87" t="str">
        <f>IF(COUNTIF(Tabla[[#This Row],[Etiquetas]:[Etiquetas17]],"*Devuelto*")&gt;0,"SI","")</f>
        <v/>
      </c>
      <c r="AS203" s="167">
        <f>COUNTIF(Tabla[[#This Row],[Etiquetas]:[Etiquetas17]],"*Devuelto*")</f>
        <v>0</v>
      </c>
    </row>
    <row r="204" spans="1:45" ht="15" customHeight="1">
      <c r="A204" s="40" t="s">
        <v>128</v>
      </c>
      <c r="B204" s="40" t="s">
        <v>647</v>
      </c>
      <c r="C204" s="40">
        <v>106215</v>
      </c>
      <c r="D204" s="40" t="s">
        <v>648</v>
      </c>
      <c r="E204" s="40" t="s">
        <v>36</v>
      </c>
      <c r="F204" s="40" t="s">
        <v>27</v>
      </c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 t="s">
        <v>145</v>
      </c>
      <c r="S204" s="40" t="s">
        <v>139</v>
      </c>
      <c r="T204" s="40" t="s">
        <v>629</v>
      </c>
      <c r="U204" s="40" t="s">
        <v>634</v>
      </c>
      <c r="V204" s="40"/>
      <c r="W204" s="40"/>
      <c r="X204" s="40"/>
      <c r="Y204" s="40"/>
      <c r="Z204" s="40"/>
      <c r="AA204" s="40" t="s">
        <v>134</v>
      </c>
      <c r="AB204" s="53">
        <v>45959.591666666667</v>
      </c>
      <c r="AC204" s="40"/>
      <c r="AD204" s="40"/>
      <c r="AE204" s="40"/>
      <c r="AF204" s="40"/>
      <c r="AG204" s="40" t="s">
        <v>141</v>
      </c>
      <c r="AH204" s="10" t="s">
        <v>221</v>
      </c>
      <c r="AI204" s="87"/>
      <c r="AJ204" s="87" cm="1">
        <f t="array" ref="AJ204">IFERROR(_xlfn.XLOOKUP(TRUE,COUNTIF(Tabla[[#This Row],[Etiquetas]:[Etiquetas17]],Versiones!$G$2:$G$36)&gt;0,Versiones!$B$2:$B$36), "")</f>
        <v>22</v>
      </c>
      <c r="AK204" s="87" t="str" cm="1">
        <f t="array" ref="AK204">IFERROR(_xlfn.XLOOKUP(TRUE,COUNTIF(Tabla[[#This Row],[Etiquetas]:[Etiquetas17]],Versiones!$G$2:$G$36)&gt;0,Versiones!$A$2:$A$36), "")</f>
        <v>V0.10.1</v>
      </c>
      <c r="AL20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4" s="78" t="str">
        <f>IFERROR(_xlfn.XLOOKUP(Tabla[[#This Row],[¿En qué versión fue corregido?]],Versiones!$A$2:$A$34,Versiones!$B$2:$B$34),"No encontrado")</f>
        <v>No encontrado</v>
      </c>
      <c r="AN204" s="88" t="str" cm="1">
        <f t="array" ref="AN204">IFERROR(_xlfn.XLOOKUP(TRUE,COUNTIF(Tabla[[#This Row],[Etiquetas]:[Etiquetas17]],Categorías!$A$2:$A$12)&gt;0,Categorías!$A$2:$A$12),"No encontrado")</f>
        <v>Funcional</v>
      </c>
      <c r="AO204" s="87" t="str" cm="1">
        <f t="array" ref="AO204">IFERROR(INDEX(Funcionalidades!$A$2:$A$80,MATCH(TRUE, COUNTIF(Reporte_Gral!R204:Z204,Funcionalidades!$A$2:$A$80)&gt;0,0)),"No encontrado")</f>
        <v>Cierre-De-Turno</v>
      </c>
      <c r="AP204" s="87" t="str">
        <f>IF(AND(COUNTIF(Tabla[[#This Row],[Etiquetas]:[Etiquetas17]],"*UAT_V*")&gt;0,COUNTIF(Tabla[[#This Row],[Etiquetas]:[Etiquetas17]],"*QA-Integración*")=0),"SI","")</f>
        <v/>
      </c>
      <c r="AQ204" s="88" t="str" cm="1">
        <f t="array" ref="AQ204">IF(Tabla[[#This Row],[Fue encontrado durante UAT?]]="SI",IFERROR(_xlfn.XLOOKUP(TRUE,ISNUMBER(SEARCH("UAT_V",Tabla[[#This Row],[Etiquetas]:[Etiquetas17]])),Tabla[[#This Row],[Etiquetas]:[Etiquetas17]]),""),"")</f>
        <v/>
      </c>
      <c r="AR204" s="87" t="str">
        <f>IF(COUNTIF(Tabla[[#This Row],[Etiquetas]:[Etiquetas17]],"*Devuelto*")&gt;0,"SI","")</f>
        <v/>
      </c>
      <c r="AS204" s="167">
        <f>COUNTIF(Tabla[[#This Row],[Etiquetas]:[Etiquetas17]],"*Devuelto*")</f>
        <v>0</v>
      </c>
    </row>
    <row r="205" spans="1:45" ht="15" customHeight="1">
      <c r="A205" s="40" t="s">
        <v>128</v>
      </c>
      <c r="B205" s="40" t="s">
        <v>649</v>
      </c>
      <c r="C205" s="40">
        <v>106204</v>
      </c>
      <c r="D205" s="40" t="s">
        <v>650</v>
      </c>
      <c r="E205" s="40" t="s">
        <v>37</v>
      </c>
      <c r="F205" s="40" t="s">
        <v>27</v>
      </c>
      <c r="G205" s="40" t="s">
        <v>637</v>
      </c>
      <c r="H205" s="40" t="s">
        <v>561</v>
      </c>
      <c r="I205" s="40" t="s">
        <v>429</v>
      </c>
      <c r="J205" s="40" t="s">
        <v>224</v>
      </c>
      <c r="K205" s="40" t="s">
        <v>151</v>
      </c>
      <c r="L205" s="40"/>
      <c r="M205" s="40"/>
      <c r="N205" s="40"/>
      <c r="O205" s="40"/>
      <c r="P205" s="40"/>
      <c r="Q205" s="40"/>
      <c r="R205" s="40" t="s">
        <v>139</v>
      </c>
      <c r="S205" s="40" t="s">
        <v>237</v>
      </c>
      <c r="T205" s="40" t="s">
        <v>629</v>
      </c>
      <c r="U205" s="40" t="s">
        <v>188</v>
      </c>
      <c r="V205" s="40" t="s">
        <v>634</v>
      </c>
      <c r="W205" s="40"/>
      <c r="X205" s="40"/>
      <c r="Y205" s="40"/>
      <c r="Z205" s="40"/>
      <c r="AA205" s="40" t="s">
        <v>217</v>
      </c>
      <c r="AB205" s="53">
        <v>45959.574999999997</v>
      </c>
      <c r="AC205" s="40"/>
      <c r="AD205" s="40"/>
      <c r="AE205" s="40"/>
      <c r="AF205" s="40"/>
      <c r="AG205" s="40" t="s">
        <v>141</v>
      </c>
      <c r="AH205" s="10" t="s">
        <v>221</v>
      </c>
      <c r="AI205" s="87"/>
      <c r="AJ205" s="87" cm="1">
        <f t="array" ref="AJ205">IFERROR(_xlfn.XLOOKUP(TRUE,COUNTIF(Tabla[[#This Row],[Etiquetas]:[Etiquetas17]],Versiones!$G$2:$G$36)&gt;0,Versiones!$B$2:$B$36), "")</f>
        <v>22</v>
      </c>
      <c r="AK205" s="87" t="str" cm="1">
        <f t="array" ref="AK205">IFERROR(_xlfn.XLOOKUP(TRUE,COUNTIF(Tabla[[#This Row],[Etiquetas]:[Etiquetas17]],Versiones!$G$2:$G$36)&gt;0,Versiones!$A$2:$A$36), "")</f>
        <v>V0.10.1</v>
      </c>
      <c r="AL20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5" s="78" t="str">
        <f>IFERROR(_xlfn.XLOOKUP(Tabla[[#This Row],[¿En qué versión fue corregido?]],Versiones!$A$2:$A$34,Versiones!$B$2:$B$34),"No encontrado")</f>
        <v>No encontrado</v>
      </c>
      <c r="AN205" s="88" t="str" cm="1">
        <f t="array" ref="AN205">IFERROR(_xlfn.XLOOKUP(TRUE,COUNTIF(Tabla[[#This Row],[Etiquetas]:[Etiquetas17]],Categorías!$A$2:$A$12)&gt;0,Categorías!$A$2:$A$12),"No encontrado")</f>
        <v>Funcional</v>
      </c>
      <c r="AO205" s="88" t="str" cm="1">
        <f t="array" ref="AO205">IFERROR(INDEX(Funcionalidades!$A$2:$A$80,MATCH(TRUE, COUNTIF(Reporte_Gral!R205:Z205,Funcionalidades!$A$2:$A$80)&gt;0,0)),"No encontrado")</f>
        <v>Main-Dashboard</v>
      </c>
      <c r="AP205" s="87" t="str">
        <f>IF(AND(COUNTIF(Tabla[[#This Row],[Etiquetas]:[Etiquetas17]],"*UAT_V*")&gt;0,COUNTIF(Tabla[[#This Row],[Etiquetas]:[Etiquetas17]],"*QA-Integración*")=0),"SI","")</f>
        <v/>
      </c>
      <c r="AQ205" s="88" t="str" cm="1">
        <f t="array" ref="AQ205">IF(Tabla[[#This Row],[Fue encontrado durante UAT?]]="SI",IFERROR(_xlfn.XLOOKUP(TRUE,ISNUMBER(SEARCH("UAT_V",Tabla[[#This Row],[Etiquetas]:[Etiquetas17]])),Tabla[[#This Row],[Etiquetas]:[Etiquetas17]]),""),"")</f>
        <v/>
      </c>
      <c r="AR205" s="87" t="str">
        <f>IF(COUNTIF(Tabla[[#This Row],[Etiquetas]:[Etiquetas17]],"*Devuelto*")&gt;0,"SI","")</f>
        <v/>
      </c>
      <c r="AS205" s="167">
        <f>COUNTIF(Tabla[[#This Row],[Etiquetas]:[Etiquetas17]],"*Devuelto*")</f>
        <v>0</v>
      </c>
    </row>
    <row r="206" spans="1:45" ht="15" customHeight="1">
      <c r="A206" s="40" t="s">
        <v>128</v>
      </c>
      <c r="B206" s="40" t="s">
        <v>651</v>
      </c>
      <c r="C206" s="40">
        <v>105969</v>
      </c>
      <c r="D206" s="40" t="s">
        <v>652</v>
      </c>
      <c r="E206" s="40" t="s">
        <v>36</v>
      </c>
      <c r="F206" s="40" t="s">
        <v>24</v>
      </c>
      <c r="G206" s="40" t="s">
        <v>224</v>
      </c>
      <c r="H206" s="40" t="s">
        <v>151</v>
      </c>
      <c r="I206" s="40"/>
      <c r="J206" s="40"/>
      <c r="K206" s="40"/>
      <c r="L206" s="40"/>
      <c r="M206" s="40"/>
      <c r="N206" s="40"/>
      <c r="O206" s="40"/>
      <c r="P206" s="40"/>
      <c r="Q206" s="40"/>
      <c r="R206" s="40" t="s">
        <v>139</v>
      </c>
      <c r="S206" s="40" t="s">
        <v>371</v>
      </c>
      <c r="T206" s="40" t="s">
        <v>629</v>
      </c>
      <c r="U206" s="40" t="s">
        <v>152</v>
      </c>
      <c r="V206" s="40" t="s">
        <v>204</v>
      </c>
      <c r="W206" s="40" t="s">
        <v>154</v>
      </c>
      <c r="X206" s="40" t="s">
        <v>188</v>
      </c>
      <c r="Y206" s="40" t="s">
        <v>536</v>
      </c>
      <c r="Z206" s="40"/>
      <c r="AA206" s="40" t="s">
        <v>134</v>
      </c>
      <c r="AB206" s="53">
        <v>45958.723611111112</v>
      </c>
      <c r="AC206" s="40"/>
      <c r="AD206" s="40"/>
      <c r="AE206" s="40"/>
      <c r="AF206" s="40"/>
      <c r="AG206" s="40" t="s">
        <v>141</v>
      </c>
      <c r="AH206" s="10" t="s">
        <v>24</v>
      </c>
      <c r="AI206" s="87"/>
      <c r="AJ206" s="87" cm="1">
        <f t="array" ref="AJ206">IFERROR(_xlfn.XLOOKUP(TRUE,COUNTIF(Tabla[[#This Row],[Etiquetas]:[Etiquetas17]],Versiones!$G$2:$G$36)&gt;0,Versiones!$B$2:$B$36), "")</f>
        <v>22</v>
      </c>
      <c r="AK206" s="87" t="str" cm="1">
        <f t="array" ref="AK206">IFERROR(_xlfn.XLOOKUP(TRUE,COUNTIF(Tabla[[#This Row],[Etiquetas]:[Etiquetas17]],Versiones!$G$2:$G$36)&gt;0,Versiones!$A$2:$A$36), "")</f>
        <v>V0.10.1</v>
      </c>
      <c r="AL20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06" s="78" t="str">
        <f>IFERROR(_xlfn.XLOOKUP(Tabla[[#This Row],[¿En qué versión fue corregido?]],Versiones!$A$2:$A$34,Versiones!$B$2:$B$34),"No encontrado")</f>
        <v>No encontrado</v>
      </c>
      <c r="AN206" s="88" t="str" cm="1">
        <f t="array" ref="AN206">IFERROR(_xlfn.XLOOKUP(TRUE,COUNTIF(Tabla[[#This Row],[Etiquetas]:[Etiquetas17]],Categorías!$A$2:$A$12)&gt;0,Categorías!$A$2:$A$12),"No encontrado")</f>
        <v>Funcional</v>
      </c>
      <c r="AO206" s="87" t="str" cm="1">
        <f t="array" ref="AO206">IFERROR(INDEX(Funcionalidades!$A$2:$A$80,MATCH(TRUE, COUNTIF(Reporte_Gral!R206:Z206,Funcionalidades!$A$2:$A$80)&gt;0,0)),"No encontrado")</f>
        <v>Registrar-Merma</v>
      </c>
      <c r="AP206" s="87" t="str">
        <f>IF(AND(COUNTIF(Tabla[[#This Row],[Etiquetas]:[Etiquetas17]],"*UAT_V*")&gt;0,COUNTIF(Tabla[[#This Row],[Etiquetas]:[Etiquetas17]],"*QA-Integración*")=0),"SI","")</f>
        <v/>
      </c>
      <c r="AQ206" s="88" t="str" cm="1">
        <f t="array" ref="AQ206">IF(Tabla[[#This Row],[Fue encontrado durante UAT?]]="SI",IFERROR(_xlfn.XLOOKUP(TRUE,ISNUMBER(SEARCH("UAT_V",Tabla[[#This Row],[Etiquetas]:[Etiquetas17]])),Tabla[[#This Row],[Etiquetas]:[Etiquetas17]]),""),"")</f>
        <v/>
      </c>
      <c r="AR206" s="87" t="str">
        <f>IF(COUNTIF(Tabla[[#This Row],[Etiquetas]:[Etiquetas17]],"*Devuelto*")&gt;0,"SI","")</f>
        <v/>
      </c>
      <c r="AS206" s="167">
        <f>COUNTIF(Tabla[[#This Row],[Etiquetas]:[Etiquetas17]],"*Devuelto*")</f>
        <v>0</v>
      </c>
    </row>
    <row r="207" spans="1:45" ht="15" customHeight="1">
      <c r="A207" s="40" t="s">
        <v>128</v>
      </c>
      <c r="B207" s="40" t="s">
        <v>653</v>
      </c>
      <c r="C207" s="40">
        <v>105926</v>
      </c>
      <c r="D207" s="40" t="s">
        <v>654</v>
      </c>
      <c r="E207" s="40" t="s">
        <v>36</v>
      </c>
      <c r="F207" s="40" t="s">
        <v>26</v>
      </c>
      <c r="G207" s="40" t="s">
        <v>637</v>
      </c>
      <c r="H207" s="40" t="s">
        <v>561</v>
      </c>
      <c r="I207" s="40" t="s">
        <v>307</v>
      </c>
      <c r="J207" s="40" t="s">
        <v>224</v>
      </c>
      <c r="K207" s="40" t="s">
        <v>151</v>
      </c>
      <c r="L207" s="40"/>
      <c r="M207" s="40"/>
      <c r="N207" s="40"/>
      <c r="O207" s="40"/>
      <c r="P207" s="40"/>
      <c r="Q207" s="40"/>
      <c r="R207" s="40" t="s">
        <v>490</v>
      </c>
      <c r="S207" s="40" t="s">
        <v>516</v>
      </c>
      <c r="T207" s="40" t="s">
        <v>481</v>
      </c>
      <c r="U207" s="40" t="s">
        <v>629</v>
      </c>
      <c r="V207" s="40" t="s">
        <v>226</v>
      </c>
      <c r="W207" s="40" t="s">
        <v>154</v>
      </c>
      <c r="X207" s="40" t="s">
        <v>536</v>
      </c>
      <c r="Y207" s="40"/>
      <c r="Z207" s="40"/>
      <c r="AA207" s="40" t="s">
        <v>217</v>
      </c>
      <c r="AB207" s="53">
        <v>45958.684027777781</v>
      </c>
      <c r="AC207" s="40" t="s">
        <v>329</v>
      </c>
      <c r="AD207" s="40"/>
      <c r="AE207" s="40"/>
      <c r="AF207" s="40"/>
      <c r="AG207" s="40" t="s">
        <v>135</v>
      </c>
      <c r="AH207" s="10" t="s">
        <v>221</v>
      </c>
      <c r="AI207" s="87"/>
      <c r="AJ207" s="87" cm="1">
        <f t="array" ref="AJ207">IFERROR(_xlfn.XLOOKUP(TRUE,COUNTIF(Tabla[[#This Row],[Etiquetas]:[Etiquetas17]],Versiones!$G$2:$G$36)&gt;0,Versiones!$B$2:$B$36), "")</f>
        <v>22</v>
      </c>
      <c r="AK207" s="87" t="str" cm="1">
        <f t="array" ref="AK207">IFERROR(_xlfn.XLOOKUP(TRUE,COUNTIF(Tabla[[#This Row],[Etiquetas]:[Etiquetas17]],Versiones!$G$2:$G$36)&gt;0,Versiones!$A$2:$A$36), "")</f>
        <v>V0.10.1</v>
      </c>
      <c r="AL20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07" s="78">
        <f>IFERROR(_xlfn.XLOOKUP(Tabla[[#This Row],[¿En qué versión fue corregido?]],Versiones!$A$2:$A$34,Versiones!$B$2:$B$34),"No encontrado")</f>
        <v>24</v>
      </c>
      <c r="AN207" s="88" t="str" cm="1">
        <f t="array" ref="AN207">IFERROR(_xlfn.XLOOKUP(TRUE,COUNTIF(Tabla[[#This Row],[Etiquetas]:[Etiquetas17]],Categorías!$A$2:$A$12)&gt;0,Categorías!$A$2:$A$12),"No encontrado")</f>
        <v>Contenido/Datos</v>
      </c>
      <c r="AO207" s="88" t="str" cm="1">
        <f t="array" ref="AO207">IFERROR(INDEX(Funcionalidades!$A$2:$A$80,MATCH(TRUE, COUNTIF(Reporte_Gral!R207:Z207,Funcionalidades!$A$2:$A$80)&gt;0,0)),"No encontrado")</f>
        <v>Iniciar_Venta</v>
      </c>
      <c r="AP207" s="87" t="str">
        <f>IF(AND(COUNTIF(Tabla[[#This Row],[Etiquetas]:[Etiquetas17]],"*UAT_V*")&gt;0,COUNTIF(Tabla[[#This Row],[Etiquetas]:[Etiquetas17]],"*QA-Integración*")=0),"SI","")</f>
        <v/>
      </c>
      <c r="AQ207" s="88" t="str" cm="1">
        <f t="array" ref="AQ207">IF(Tabla[[#This Row],[Fue encontrado durante UAT?]]="SI",IFERROR(_xlfn.XLOOKUP(TRUE,ISNUMBER(SEARCH("UAT_V",Tabla[[#This Row],[Etiquetas]:[Etiquetas17]])),Tabla[[#This Row],[Etiquetas]:[Etiquetas17]]),""),"")</f>
        <v/>
      </c>
      <c r="AR207" s="87" t="str">
        <f>IF(COUNTIF(Tabla[[#This Row],[Etiquetas]:[Etiquetas17]],"*Devuelto*")&gt;0,"SI","")</f>
        <v/>
      </c>
      <c r="AS207" s="167">
        <f>COUNTIF(Tabla[[#This Row],[Etiquetas]:[Etiquetas17]],"*Devuelto*")</f>
        <v>0</v>
      </c>
    </row>
    <row r="208" spans="1:45" ht="15" customHeight="1">
      <c r="A208" s="40" t="s">
        <v>128</v>
      </c>
      <c r="B208" s="40" t="s">
        <v>655</v>
      </c>
      <c r="C208" s="40">
        <v>105919</v>
      </c>
      <c r="D208" s="40" t="s">
        <v>656</v>
      </c>
      <c r="E208" s="40" t="s">
        <v>36</v>
      </c>
      <c r="F208" s="40" t="s">
        <v>26</v>
      </c>
      <c r="G208" s="40" t="s">
        <v>637</v>
      </c>
      <c r="H208" s="40" t="s">
        <v>561</v>
      </c>
      <c r="I208" s="40" t="s">
        <v>429</v>
      </c>
      <c r="J208" s="40" t="s">
        <v>224</v>
      </c>
      <c r="K208" s="40" t="s">
        <v>151</v>
      </c>
      <c r="L208" s="40"/>
      <c r="M208" s="40"/>
      <c r="N208" s="40"/>
      <c r="O208" s="40"/>
      <c r="P208" s="40"/>
      <c r="Q208" s="40"/>
      <c r="R208" s="40" t="s">
        <v>638</v>
      </c>
      <c r="S208" s="40" t="s">
        <v>139</v>
      </c>
      <c r="T208" s="40" t="s">
        <v>629</v>
      </c>
      <c r="U208" s="40" t="s">
        <v>226</v>
      </c>
      <c r="V208" s="40" t="s">
        <v>154</v>
      </c>
      <c r="W208" s="40" t="s">
        <v>536</v>
      </c>
      <c r="X208" s="40"/>
      <c r="Y208" s="40"/>
      <c r="Z208" s="40"/>
      <c r="AA208" s="40" t="s">
        <v>217</v>
      </c>
      <c r="AB208" s="53">
        <v>45958.676388888889</v>
      </c>
      <c r="AC208" s="40" t="s">
        <v>174</v>
      </c>
      <c r="AD208" s="40"/>
      <c r="AE208" s="40"/>
      <c r="AF208" s="40"/>
      <c r="AG208" s="40" t="s">
        <v>135</v>
      </c>
      <c r="AH208" s="10" t="s">
        <v>221</v>
      </c>
      <c r="AI208" s="87"/>
      <c r="AJ208" s="87" cm="1">
        <f t="array" ref="AJ208">IFERROR(_xlfn.XLOOKUP(TRUE,COUNTIF(Tabla[[#This Row],[Etiquetas]:[Etiquetas17]],Versiones!$G$2:$G$36)&gt;0,Versiones!$B$2:$B$36), "")</f>
        <v>22</v>
      </c>
      <c r="AK208" s="87" t="str" cm="1">
        <f t="array" ref="AK208">IFERROR(_xlfn.XLOOKUP(TRUE,COUNTIF(Tabla[[#This Row],[Etiquetas]:[Etiquetas17]],Versiones!$G$2:$G$36)&gt;0,Versiones!$A$2:$A$36), "")</f>
        <v>V0.10.1</v>
      </c>
      <c r="AL20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08" s="78">
        <f>IFERROR(_xlfn.XLOOKUP(Tabla[[#This Row],[¿En qué versión fue corregido?]],Versiones!$A$2:$A$34,Versiones!$B$2:$B$34),"No encontrado")</f>
        <v>25</v>
      </c>
      <c r="AN208" s="88" t="str" cm="1">
        <f t="array" ref="AN208">IFERROR(_xlfn.XLOOKUP(TRUE,COUNTIF(Tabla[[#This Row],[Etiquetas]:[Etiquetas17]],Categorías!$A$2:$A$12)&gt;0,Categorías!$A$2:$A$12),"No encontrado")</f>
        <v>Funcional</v>
      </c>
      <c r="AO208" s="87" t="str" cm="1">
        <f t="array" ref="AO208">IFERROR(INDEX(Funcionalidades!$A$2:$A$80,MATCH(TRUE, COUNTIF(Reporte_Gral!R208:Z208,Funcionalidades!$A$2:$A$80)&gt;0,0)),"No encontrado")</f>
        <v>Buscar-Artículo</v>
      </c>
      <c r="AP208" s="87" t="str">
        <f>IF(AND(COUNTIF(Tabla[[#This Row],[Etiquetas]:[Etiquetas17]],"*UAT_V*")&gt;0,COUNTIF(Tabla[[#This Row],[Etiquetas]:[Etiquetas17]],"*QA-Integración*")=0),"SI","")</f>
        <v/>
      </c>
      <c r="AQ208" s="88" t="str" cm="1">
        <f t="array" ref="AQ208">IF(Tabla[[#This Row],[Fue encontrado durante UAT?]]="SI",IFERROR(_xlfn.XLOOKUP(TRUE,ISNUMBER(SEARCH("UAT_V",Tabla[[#This Row],[Etiquetas]:[Etiquetas17]])),Tabla[[#This Row],[Etiquetas]:[Etiquetas17]]),""),"")</f>
        <v/>
      </c>
      <c r="AR208" s="87" t="str">
        <f>IF(COUNTIF(Tabla[[#This Row],[Etiquetas]:[Etiquetas17]],"*Devuelto*")&gt;0,"SI","")</f>
        <v/>
      </c>
      <c r="AS208" s="167">
        <f>COUNTIF(Tabla[[#This Row],[Etiquetas]:[Etiquetas17]],"*Devuelto*")</f>
        <v>0</v>
      </c>
    </row>
    <row r="209" spans="1:45" ht="15" customHeight="1">
      <c r="A209" s="40" t="s">
        <v>128</v>
      </c>
      <c r="B209" s="40" t="s">
        <v>657</v>
      </c>
      <c r="C209" s="40">
        <v>105896</v>
      </c>
      <c r="D209" s="40" t="s">
        <v>658</v>
      </c>
      <c r="E209" s="40" t="s">
        <v>37</v>
      </c>
      <c r="F209" s="40" t="s">
        <v>26</v>
      </c>
      <c r="G209" s="40" t="s">
        <v>637</v>
      </c>
      <c r="H209" s="40" t="s">
        <v>561</v>
      </c>
      <c r="I209" s="40" t="s">
        <v>429</v>
      </c>
      <c r="J209" s="40" t="s">
        <v>307</v>
      </c>
      <c r="K209" s="40" t="s">
        <v>224</v>
      </c>
      <c r="L209" s="40" t="s">
        <v>151</v>
      </c>
      <c r="M209" s="40"/>
      <c r="N209" s="40"/>
      <c r="O209" s="40"/>
      <c r="P209" s="40"/>
      <c r="Q209" s="40"/>
      <c r="R209" s="40" t="s">
        <v>139</v>
      </c>
      <c r="S209" s="40" t="s">
        <v>535</v>
      </c>
      <c r="T209" s="40" t="s">
        <v>629</v>
      </c>
      <c r="U209" s="40" t="s">
        <v>188</v>
      </c>
      <c r="V209" s="40" t="s">
        <v>536</v>
      </c>
      <c r="W209" s="40"/>
      <c r="X209" s="40"/>
      <c r="Y209" s="40"/>
      <c r="Z209" s="40"/>
      <c r="AA209" s="40" t="s">
        <v>217</v>
      </c>
      <c r="AB209" s="53">
        <v>45958.646527777775</v>
      </c>
      <c r="AC209" s="40" t="s">
        <v>329</v>
      </c>
      <c r="AD209" s="40"/>
      <c r="AE209" s="40"/>
      <c r="AF209" s="40"/>
      <c r="AG209" s="40" t="s">
        <v>135</v>
      </c>
      <c r="AH209" s="10" t="s">
        <v>221</v>
      </c>
      <c r="AI209" s="87"/>
      <c r="AJ209" s="87" cm="1">
        <f t="array" ref="AJ209">IFERROR(_xlfn.XLOOKUP(TRUE,COUNTIF(Tabla[[#This Row],[Etiquetas]:[Etiquetas17]],Versiones!$G$2:$G$36)&gt;0,Versiones!$B$2:$B$36), "")</f>
        <v>22</v>
      </c>
      <c r="AK209" s="87" t="str" cm="1">
        <f t="array" ref="AK209">IFERROR(_xlfn.XLOOKUP(TRUE,COUNTIF(Tabla[[#This Row],[Etiquetas]:[Etiquetas17]],Versiones!$G$2:$G$36)&gt;0,Versiones!$A$2:$A$36), "")</f>
        <v>V0.10.1</v>
      </c>
      <c r="AL20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09" s="78">
        <f>IFERROR(_xlfn.XLOOKUP(Tabla[[#This Row],[¿En qué versión fue corregido?]],Versiones!$A$2:$A$34,Versiones!$B$2:$B$34),"No encontrado")</f>
        <v>24</v>
      </c>
      <c r="AN209" s="88" t="str" cm="1">
        <f t="array" ref="AN209">IFERROR(_xlfn.XLOOKUP(TRUE,COUNTIF(Tabla[[#This Row],[Etiquetas]:[Etiquetas17]],Categorías!$A$2:$A$12)&gt;0,Categorías!$A$2:$A$12),"No encontrado")</f>
        <v>Funcional</v>
      </c>
      <c r="AO209" s="88" t="str" cm="1">
        <f t="array" ref="AO209">IFERROR(INDEX(Funcionalidades!$A$2:$A$80,MATCH(TRUE, COUNTIF(Reporte_Gral!R209:Z209,Funcionalidades!$A$2:$A$80)&gt;0,0)),"No encontrado")</f>
        <v>Pago-En-Efectivo</v>
      </c>
      <c r="AP209" s="87" t="str">
        <f>IF(AND(COUNTIF(Tabla[[#This Row],[Etiquetas]:[Etiquetas17]],"*UAT_V*")&gt;0,COUNTIF(Tabla[[#This Row],[Etiquetas]:[Etiquetas17]],"*QA-Integración*")=0),"SI","")</f>
        <v/>
      </c>
      <c r="AQ209" s="88" t="str" cm="1">
        <f t="array" ref="AQ209">IF(Tabla[[#This Row],[Fue encontrado durante UAT?]]="SI",IFERROR(_xlfn.XLOOKUP(TRUE,ISNUMBER(SEARCH("UAT_V",Tabla[[#This Row],[Etiquetas]:[Etiquetas17]])),Tabla[[#This Row],[Etiquetas]:[Etiquetas17]]),""),"")</f>
        <v/>
      </c>
      <c r="AR209" s="87" t="str">
        <f>IF(COUNTIF(Tabla[[#This Row],[Etiquetas]:[Etiquetas17]],"*Devuelto*")&gt;0,"SI","")</f>
        <v/>
      </c>
      <c r="AS209" s="167">
        <f>COUNTIF(Tabla[[#This Row],[Etiquetas]:[Etiquetas17]],"*Devuelto*")</f>
        <v>0</v>
      </c>
    </row>
    <row r="210" spans="1:45" s="87" customFormat="1" ht="15" customHeight="1">
      <c r="A210" s="40" t="s">
        <v>128</v>
      </c>
      <c r="B210" s="40" t="s">
        <v>659</v>
      </c>
      <c r="C210" s="40">
        <v>105894</v>
      </c>
      <c r="D210" s="40" t="s">
        <v>660</v>
      </c>
      <c r="E210" s="40" t="s">
        <v>40</v>
      </c>
      <c r="F210" s="40" t="s">
        <v>27</v>
      </c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 t="s">
        <v>139</v>
      </c>
      <c r="S210" s="40" t="s">
        <v>629</v>
      </c>
      <c r="T210" s="40" t="s">
        <v>323</v>
      </c>
      <c r="U210" s="40" t="s">
        <v>188</v>
      </c>
      <c r="V210" s="40" t="s">
        <v>536</v>
      </c>
      <c r="W210" s="40"/>
      <c r="X210" s="40"/>
      <c r="Y210" s="40"/>
      <c r="Z210" s="40"/>
      <c r="AA210" s="40" t="s">
        <v>134</v>
      </c>
      <c r="AB210" s="53">
        <v>45958.645138888889</v>
      </c>
      <c r="AC210" s="40"/>
      <c r="AD210" s="40"/>
      <c r="AE210" s="40"/>
      <c r="AF210" s="40"/>
      <c r="AG210" s="40" t="s">
        <v>141</v>
      </c>
      <c r="AH210" s="10" t="s">
        <v>221</v>
      </c>
      <c r="AJ210" s="87" cm="1">
        <f t="array" ref="AJ210">IFERROR(_xlfn.XLOOKUP(TRUE,COUNTIF(Tabla[[#This Row],[Etiquetas]:[Etiquetas17]],Versiones!$G$2:$G$36)&gt;0,Versiones!$B$2:$B$36), "")</f>
        <v>22</v>
      </c>
      <c r="AK210" s="87" t="str" cm="1">
        <f t="array" ref="AK210">IFERROR(_xlfn.XLOOKUP(TRUE,COUNTIF(Tabla[[#This Row],[Etiquetas]:[Etiquetas17]],Versiones!$G$2:$G$36)&gt;0,Versiones!$A$2:$A$36), "")</f>
        <v>V0.10.1</v>
      </c>
      <c r="AL21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10" s="78" t="str">
        <f>IFERROR(_xlfn.XLOOKUP(Tabla[[#This Row],[¿En qué versión fue corregido?]],Versiones!$A$2:$A$34,Versiones!$B$2:$B$34),"No encontrado")</f>
        <v>No encontrado</v>
      </c>
      <c r="AN210" s="88" t="str" cm="1">
        <f t="array" ref="AN210">IFERROR(_xlfn.XLOOKUP(TRUE,COUNTIF(Tabla[[#This Row],[Etiquetas]:[Etiquetas17]],Categorías!$A$2:$A$12)&gt;0,Categorías!$A$2:$A$12),"No encontrado")</f>
        <v>Funcional</v>
      </c>
      <c r="AO210" s="87" t="str" cm="1">
        <f t="array" ref="AO210">IFERROR(INDEX(Funcionalidades!$A$2:$A$80,MATCH(TRUE, COUNTIF(Reporte_Gral!R210:Z210,Funcionalidades!$A$2:$A$80)&gt;0,0)),"No encontrado")</f>
        <v>Registro-De-Gastos</v>
      </c>
      <c r="AP210" s="87" t="str">
        <f>IF(AND(COUNTIF(Tabla[[#This Row],[Etiquetas]:[Etiquetas17]],"*UAT_V*")&gt;0,COUNTIF(Tabla[[#This Row],[Etiquetas]:[Etiquetas17]],"*QA-Integración*")=0),"SI","")</f>
        <v/>
      </c>
      <c r="AQ210" s="88" t="str" cm="1">
        <f t="array" ref="AQ210">IF(Tabla[[#This Row],[Fue encontrado durante UAT?]]="SI",IFERROR(_xlfn.XLOOKUP(TRUE,ISNUMBER(SEARCH("UAT_V",Tabla[[#This Row],[Etiquetas]:[Etiquetas17]])),Tabla[[#This Row],[Etiquetas]:[Etiquetas17]]),""),"")</f>
        <v/>
      </c>
      <c r="AR210" s="87" t="str">
        <f>IF(COUNTIF(Tabla[[#This Row],[Etiquetas]:[Etiquetas17]],"*Devuelto*")&gt;0,"SI","")</f>
        <v/>
      </c>
      <c r="AS210" s="167">
        <f>COUNTIF(Tabla[[#This Row],[Etiquetas]:[Etiquetas17]],"*Devuelto*")</f>
        <v>0</v>
      </c>
    </row>
    <row r="211" spans="1:45" ht="15" customHeight="1">
      <c r="A211" s="40" t="s">
        <v>128</v>
      </c>
      <c r="B211" s="40" t="s">
        <v>661</v>
      </c>
      <c r="C211" s="40">
        <v>105371</v>
      </c>
      <c r="D211" s="40" t="s">
        <v>662</v>
      </c>
      <c r="E211" s="40" t="s">
        <v>36</v>
      </c>
      <c r="F211" s="40" t="s">
        <v>26</v>
      </c>
      <c r="G211" s="40" t="s">
        <v>637</v>
      </c>
      <c r="H211" s="40" t="s">
        <v>561</v>
      </c>
      <c r="I211" s="40" t="s">
        <v>429</v>
      </c>
      <c r="J211" s="40" t="s">
        <v>307</v>
      </c>
      <c r="K211" s="40" t="s">
        <v>224</v>
      </c>
      <c r="L211" s="40" t="s">
        <v>151</v>
      </c>
      <c r="M211" s="40"/>
      <c r="N211" s="40"/>
      <c r="O211" s="40"/>
      <c r="P211" s="40"/>
      <c r="Q211" s="40"/>
      <c r="R211" s="40" t="s">
        <v>663</v>
      </c>
      <c r="S211" s="40" t="s">
        <v>139</v>
      </c>
      <c r="T211" s="40" t="s">
        <v>664</v>
      </c>
      <c r="U211" s="40" t="s">
        <v>226</v>
      </c>
      <c r="V211" s="40" t="s">
        <v>154</v>
      </c>
      <c r="W211" s="40"/>
      <c r="X211" s="40"/>
      <c r="Y211" s="40"/>
      <c r="Z211" s="40"/>
      <c r="AA211" s="40" t="s">
        <v>217</v>
      </c>
      <c r="AB211" s="53">
        <v>45957.701388888891</v>
      </c>
      <c r="AC211" s="40" t="s">
        <v>511</v>
      </c>
      <c r="AD211" s="40"/>
      <c r="AE211" s="40"/>
      <c r="AF211" s="40"/>
      <c r="AG211" s="40" t="s">
        <v>135</v>
      </c>
      <c r="AH211" s="10" t="s">
        <v>221</v>
      </c>
      <c r="AI211" s="87"/>
      <c r="AJ211" s="87" cm="1">
        <f t="array" ref="AJ211">IFERROR(_xlfn.XLOOKUP(TRUE,COUNTIF(Tabla[[#This Row],[Etiquetas]:[Etiquetas17]],Versiones!$G$2:$G$36)&gt;0,Versiones!$B$2:$B$36), "")</f>
        <v>22</v>
      </c>
      <c r="AK211" s="87" t="str" cm="1">
        <f t="array" ref="AK211">IFERROR(_xlfn.XLOOKUP(TRUE,COUNTIF(Tabla[[#This Row],[Etiquetas]:[Etiquetas17]],Versiones!$G$2:$G$36)&gt;0,Versiones!$A$2:$A$36), "")</f>
        <v>V0.10</v>
      </c>
      <c r="AL21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11" s="78">
        <f>IFERROR(_xlfn.XLOOKUP(Tabla[[#This Row],[¿En qué versión fue corregido?]],Versiones!$A$2:$A$34,Versiones!$B$2:$B$34),"No encontrado")</f>
        <v>23</v>
      </c>
      <c r="AN211" s="88" t="str" cm="1">
        <f t="array" ref="AN211">IFERROR(_xlfn.XLOOKUP(TRUE,COUNTIF(Tabla[[#This Row],[Etiquetas]:[Etiquetas17]],Categorías!$A$2:$A$12)&gt;0,Categorías!$A$2:$A$12),"No encontrado")</f>
        <v>Funcional</v>
      </c>
      <c r="AO211" s="88" t="str" cm="1">
        <f t="array" ref="AO211">IFERROR(INDEX(Funcionalidades!$A$2:$A$80,MATCH(TRUE, COUNTIF(Reporte_Gral!R211:Z211,Funcionalidades!$A$2:$A$80)&gt;0,0)),"No encontrado")</f>
        <v>Confirmar-Inicio-De-Turno</v>
      </c>
      <c r="AP211" s="87" t="str">
        <f>IF(AND(COUNTIF(Tabla[[#This Row],[Etiquetas]:[Etiquetas17]],"*UAT_V*")&gt;0,COUNTIF(Tabla[[#This Row],[Etiquetas]:[Etiquetas17]],"*QA-Integración*")=0),"SI","")</f>
        <v/>
      </c>
      <c r="AQ211" s="88" t="str" cm="1">
        <f t="array" ref="AQ211">IF(Tabla[[#This Row],[Fue encontrado durante UAT?]]="SI",IFERROR(_xlfn.XLOOKUP(TRUE,ISNUMBER(SEARCH("UAT_V",Tabla[[#This Row],[Etiquetas]:[Etiquetas17]])),Tabla[[#This Row],[Etiquetas]:[Etiquetas17]]),""),"")</f>
        <v/>
      </c>
      <c r="AR211" s="87" t="str">
        <f>IF(COUNTIF(Tabla[[#This Row],[Etiquetas]:[Etiquetas17]],"*Devuelto*")&gt;0,"SI","")</f>
        <v/>
      </c>
      <c r="AS211" s="167">
        <f>COUNTIF(Tabla[[#This Row],[Etiquetas]:[Etiquetas17]],"*Devuelto*")</f>
        <v>0</v>
      </c>
    </row>
    <row r="212" spans="1:45" ht="15" customHeight="1">
      <c r="A212" s="40" t="s">
        <v>128</v>
      </c>
      <c r="B212" s="40" t="s">
        <v>665</v>
      </c>
      <c r="C212" s="40">
        <v>105329</v>
      </c>
      <c r="D212" s="40" t="s">
        <v>666</v>
      </c>
      <c r="E212" s="40" t="s">
        <v>36</v>
      </c>
      <c r="F212" s="40" t="s">
        <v>27</v>
      </c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 t="s">
        <v>145</v>
      </c>
      <c r="S212" s="40" t="s">
        <v>139</v>
      </c>
      <c r="T212" s="40" t="s">
        <v>664</v>
      </c>
      <c r="U212" s="40" t="s">
        <v>536</v>
      </c>
      <c r="V212" s="40"/>
      <c r="W212" s="40"/>
      <c r="X212" s="40"/>
      <c r="Y212" s="40"/>
      <c r="Z212" s="40"/>
      <c r="AA212" s="40" t="s">
        <v>134</v>
      </c>
      <c r="AB212" s="53">
        <v>45957.662499999999</v>
      </c>
      <c r="AC212" s="40"/>
      <c r="AD212" s="40"/>
      <c r="AE212" s="40"/>
      <c r="AF212" s="40"/>
      <c r="AG212" s="40" t="s">
        <v>141</v>
      </c>
      <c r="AH212" s="10" t="s">
        <v>221</v>
      </c>
      <c r="AI212" s="87"/>
      <c r="AJ212" s="87" cm="1">
        <f t="array" ref="AJ212">IFERROR(_xlfn.XLOOKUP(TRUE,COUNTIF(Tabla[[#This Row],[Etiquetas]:[Etiquetas17]],Versiones!$G$2:$G$36)&gt;0,Versiones!$B$2:$B$36), "")</f>
        <v>22</v>
      </c>
      <c r="AK212" s="87" t="str" cm="1">
        <f t="array" ref="AK212">IFERROR(_xlfn.XLOOKUP(TRUE,COUNTIF(Tabla[[#This Row],[Etiquetas]:[Etiquetas17]],Versiones!$G$2:$G$36)&gt;0,Versiones!$A$2:$A$36), "")</f>
        <v>V0.10</v>
      </c>
      <c r="AL21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12" s="78" t="str">
        <f>IFERROR(_xlfn.XLOOKUP(Tabla[[#This Row],[¿En qué versión fue corregido?]],Versiones!$A$2:$A$34,Versiones!$B$2:$B$34),"No encontrado")</f>
        <v>No encontrado</v>
      </c>
      <c r="AN212" s="88" t="str" cm="1">
        <f t="array" ref="AN212">IFERROR(_xlfn.XLOOKUP(TRUE,COUNTIF(Tabla[[#This Row],[Etiquetas]:[Etiquetas17]],Categorías!$A$2:$A$12)&gt;0,Categorías!$A$2:$A$12),"No encontrado")</f>
        <v>Funcional</v>
      </c>
      <c r="AO212" s="88" t="str" cm="1">
        <f t="array" ref="AO212">IFERROR(INDEX(Funcionalidades!$A$2:$A$80,MATCH(TRUE, COUNTIF(Reporte_Gral!R212:Z212,Funcionalidades!$A$2:$A$80)&gt;0,0)),"No encontrado")</f>
        <v>Cierre-De-Turno</v>
      </c>
      <c r="AP212" s="87" t="str">
        <f>IF(AND(COUNTIF(Tabla[[#This Row],[Etiquetas]:[Etiquetas17]],"*UAT_V*")&gt;0,COUNTIF(Tabla[[#This Row],[Etiquetas]:[Etiquetas17]],"*QA-Integración*")=0),"SI","")</f>
        <v/>
      </c>
      <c r="AQ212" s="88" t="str" cm="1">
        <f t="array" ref="AQ212">IF(Tabla[[#This Row],[Fue encontrado durante UAT?]]="SI",IFERROR(_xlfn.XLOOKUP(TRUE,ISNUMBER(SEARCH("UAT_V",Tabla[[#This Row],[Etiquetas]:[Etiquetas17]])),Tabla[[#This Row],[Etiquetas]:[Etiquetas17]]),""),"")</f>
        <v/>
      </c>
      <c r="AR212" s="87" t="str">
        <f>IF(COUNTIF(Tabla[[#This Row],[Etiquetas]:[Etiquetas17]],"*Devuelto*")&gt;0,"SI","")</f>
        <v/>
      </c>
      <c r="AS212" s="167">
        <f>COUNTIF(Tabla[[#This Row],[Etiquetas]:[Etiquetas17]],"*Devuelto*")</f>
        <v>0</v>
      </c>
    </row>
    <row r="213" spans="1:45" ht="15" customHeight="1">
      <c r="A213" s="40" t="s">
        <v>128</v>
      </c>
      <c r="B213" s="40" t="s">
        <v>667</v>
      </c>
      <c r="C213" s="40">
        <v>105316</v>
      </c>
      <c r="D213" s="40" t="s">
        <v>668</v>
      </c>
      <c r="E213" s="40" t="s">
        <v>36</v>
      </c>
      <c r="F213" s="40" t="s">
        <v>27</v>
      </c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 t="s">
        <v>145</v>
      </c>
      <c r="S213" s="40" t="s">
        <v>139</v>
      </c>
      <c r="T213" s="40" t="s">
        <v>664</v>
      </c>
      <c r="U213" s="40" t="s">
        <v>536</v>
      </c>
      <c r="V213" s="40"/>
      <c r="W213" s="40"/>
      <c r="X213" s="40"/>
      <c r="Y213" s="40"/>
      <c r="Z213" s="40"/>
      <c r="AA213" s="40" t="s">
        <v>134</v>
      </c>
      <c r="AB213" s="53">
        <v>45957.638194444444</v>
      </c>
      <c r="AC213" s="40"/>
      <c r="AD213" s="40"/>
      <c r="AE213" s="40"/>
      <c r="AF213" s="40"/>
      <c r="AG213" s="40" t="s">
        <v>141</v>
      </c>
      <c r="AH213" s="10" t="s">
        <v>136</v>
      </c>
      <c r="AI213" s="87"/>
      <c r="AJ213" s="87" cm="1">
        <f t="array" ref="AJ213">IFERROR(_xlfn.XLOOKUP(TRUE,COUNTIF(Tabla[[#This Row],[Etiquetas]:[Etiquetas17]],Versiones!$G$2:$G$36)&gt;0,Versiones!$B$2:$B$36), "")</f>
        <v>22</v>
      </c>
      <c r="AK213" s="87" t="str" cm="1">
        <f t="array" ref="AK213">IFERROR(_xlfn.XLOOKUP(TRUE,COUNTIF(Tabla[[#This Row],[Etiquetas]:[Etiquetas17]],Versiones!$G$2:$G$36)&gt;0,Versiones!$A$2:$A$36), "")</f>
        <v>V0.10</v>
      </c>
      <c r="AL21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13" s="78" t="str">
        <f>IFERROR(_xlfn.XLOOKUP(Tabla[[#This Row],[¿En qué versión fue corregido?]],Versiones!$A$2:$A$34,Versiones!$B$2:$B$34),"No encontrado")</f>
        <v>No encontrado</v>
      </c>
      <c r="AN213" s="88" t="str" cm="1">
        <f t="array" ref="AN213">IFERROR(_xlfn.XLOOKUP(TRUE,COUNTIF(Tabla[[#This Row],[Etiquetas]:[Etiquetas17]],Categorías!$A$2:$A$12)&gt;0,Categorías!$A$2:$A$12),"No encontrado")</f>
        <v>Funcional</v>
      </c>
      <c r="AO213" s="87" t="str" cm="1">
        <f t="array" ref="AO213">IFERROR(INDEX(Funcionalidades!$A$2:$A$80,MATCH(TRUE, COUNTIF(Reporte_Gral!R213:Z213,Funcionalidades!$A$2:$A$80)&gt;0,0)),"No encontrado")</f>
        <v>Cierre-De-Turno</v>
      </c>
      <c r="AP213" s="87" t="str">
        <f>IF(AND(COUNTIF(Tabla[[#This Row],[Etiquetas]:[Etiquetas17]],"*UAT_V*")&gt;0,COUNTIF(Tabla[[#This Row],[Etiquetas]:[Etiquetas17]],"*QA-Integración*")=0),"SI","")</f>
        <v/>
      </c>
      <c r="AQ213" s="88" t="str" cm="1">
        <f t="array" ref="AQ213">IF(Tabla[[#This Row],[Fue encontrado durante UAT?]]="SI",IFERROR(_xlfn.XLOOKUP(TRUE,ISNUMBER(SEARCH("UAT_V",Tabla[[#This Row],[Etiquetas]:[Etiquetas17]])),Tabla[[#This Row],[Etiquetas]:[Etiquetas17]]),""),"")</f>
        <v/>
      </c>
      <c r="AR213" s="87" t="str">
        <f>IF(COUNTIF(Tabla[[#This Row],[Etiquetas]:[Etiquetas17]],"*Devuelto*")&gt;0,"SI","")</f>
        <v/>
      </c>
      <c r="AS213" s="167">
        <f>COUNTIF(Tabla[[#This Row],[Etiquetas]:[Etiquetas17]],"*Devuelto*")</f>
        <v>0</v>
      </c>
    </row>
    <row r="214" spans="1:45" ht="15" customHeight="1">
      <c r="A214" s="40" t="s">
        <v>128</v>
      </c>
      <c r="B214" s="40" t="s">
        <v>669</v>
      </c>
      <c r="C214" s="40">
        <v>105205</v>
      </c>
      <c r="D214" s="40" t="s">
        <v>670</v>
      </c>
      <c r="E214" s="40" t="s">
        <v>36</v>
      </c>
      <c r="F214" s="40" t="s">
        <v>26</v>
      </c>
      <c r="G214" s="40" t="s">
        <v>637</v>
      </c>
      <c r="H214" s="40" t="s">
        <v>561</v>
      </c>
      <c r="I214" s="40" t="s">
        <v>429</v>
      </c>
      <c r="J214" s="40" t="s">
        <v>307</v>
      </c>
      <c r="K214" s="40" t="s">
        <v>224</v>
      </c>
      <c r="L214" s="40" t="s">
        <v>151</v>
      </c>
      <c r="M214" s="40"/>
      <c r="N214" s="40"/>
      <c r="O214" s="40"/>
      <c r="P214" s="40"/>
      <c r="Q214" s="40"/>
      <c r="R214" s="40" t="s">
        <v>139</v>
      </c>
      <c r="S214" s="40" t="s">
        <v>481</v>
      </c>
      <c r="T214" s="40" t="s">
        <v>664</v>
      </c>
      <c r="U214" s="40" t="s">
        <v>226</v>
      </c>
      <c r="V214" s="40" t="s">
        <v>154</v>
      </c>
      <c r="W214" s="40" t="s">
        <v>188</v>
      </c>
      <c r="X214" s="40" t="s">
        <v>536</v>
      </c>
      <c r="Y214" s="40"/>
      <c r="Z214" s="40"/>
      <c r="AA214" s="40" t="s">
        <v>217</v>
      </c>
      <c r="AB214" s="53">
        <v>45957.467361111114</v>
      </c>
      <c r="AC214" s="40" t="s">
        <v>329</v>
      </c>
      <c r="AD214" s="40"/>
      <c r="AE214" s="40"/>
      <c r="AF214" s="40"/>
      <c r="AG214" s="40" t="s">
        <v>135</v>
      </c>
      <c r="AH214" s="10" t="s">
        <v>136</v>
      </c>
      <c r="AI214" s="87"/>
      <c r="AJ214" s="87" cm="1">
        <f t="array" ref="AJ214">IFERROR(_xlfn.XLOOKUP(TRUE,COUNTIF(Tabla[[#This Row],[Etiquetas]:[Etiquetas17]],Versiones!$G$2:$G$36)&gt;0,Versiones!$B$2:$B$36), "")</f>
        <v>22</v>
      </c>
      <c r="AK214" s="87" t="str" cm="1">
        <f t="array" ref="AK214">IFERROR(_xlfn.XLOOKUP(TRUE,COUNTIF(Tabla[[#This Row],[Etiquetas]:[Etiquetas17]],Versiones!$G$2:$G$36)&gt;0,Versiones!$A$2:$A$36), "")</f>
        <v>V0.10</v>
      </c>
      <c r="AL21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14" s="78">
        <f>IFERROR(_xlfn.XLOOKUP(Tabla[[#This Row],[¿En qué versión fue corregido?]],Versiones!$A$2:$A$34,Versiones!$B$2:$B$34),"No encontrado")</f>
        <v>24</v>
      </c>
      <c r="AN214" s="88" t="str" cm="1">
        <f t="array" ref="AN214">IFERROR(_xlfn.XLOOKUP(TRUE,COUNTIF(Tabla[[#This Row],[Etiquetas]:[Etiquetas17]],Categorías!$A$2:$A$12)&gt;0,Categorías!$A$2:$A$12),"No encontrado")</f>
        <v>Funcional</v>
      </c>
      <c r="AO214" s="88" t="str" cm="1">
        <f t="array" ref="AO214">IFERROR(INDEX(Funcionalidades!$A$2:$A$80,MATCH(TRUE, COUNTIF(Reporte_Gral!R214:Z214,Funcionalidades!$A$2:$A$80)&gt;0,0)),"No encontrado")</f>
        <v>Iniciar_Venta</v>
      </c>
      <c r="AP214" s="87" t="str">
        <f>IF(AND(COUNTIF(Tabla[[#This Row],[Etiquetas]:[Etiquetas17]],"*UAT_V*")&gt;0,COUNTIF(Tabla[[#This Row],[Etiquetas]:[Etiquetas17]],"*QA-Integración*")=0),"SI","")</f>
        <v/>
      </c>
      <c r="AQ214" s="88" t="str" cm="1">
        <f t="array" ref="AQ214">IF(Tabla[[#This Row],[Fue encontrado durante UAT?]]="SI",IFERROR(_xlfn.XLOOKUP(TRUE,ISNUMBER(SEARCH("UAT_V",Tabla[[#This Row],[Etiquetas]:[Etiquetas17]])),Tabla[[#This Row],[Etiquetas]:[Etiquetas17]]),""),"")</f>
        <v/>
      </c>
      <c r="AR214" s="87" t="str">
        <f>IF(COUNTIF(Tabla[[#This Row],[Etiquetas]:[Etiquetas17]],"*Devuelto*")&gt;0,"SI","")</f>
        <v/>
      </c>
      <c r="AS214" s="167">
        <f>COUNTIF(Tabla[[#This Row],[Etiquetas]:[Etiquetas17]],"*Devuelto*")</f>
        <v>0</v>
      </c>
    </row>
    <row r="215" spans="1:45" ht="15" customHeight="1">
      <c r="A215" s="40" t="s">
        <v>128</v>
      </c>
      <c r="B215" s="40" t="s">
        <v>671</v>
      </c>
      <c r="C215" s="40">
        <v>105063</v>
      </c>
      <c r="D215" s="40" t="s">
        <v>672</v>
      </c>
      <c r="E215" s="40" t="s">
        <v>36</v>
      </c>
      <c r="F215" s="40" t="s">
        <v>23</v>
      </c>
      <c r="G215" s="40" t="s">
        <v>637</v>
      </c>
      <c r="H215" s="40" t="s">
        <v>561</v>
      </c>
      <c r="I215" s="40"/>
      <c r="J215" s="40"/>
      <c r="K215" s="40"/>
      <c r="L215" s="40"/>
      <c r="M215" s="40"/>
      <c r="N215" s="40"/>
      <c r="O215" s="40"/>
      <c r="P215" s="40"/>
      <c r="Q215" s="40"/>
      <c r="R215" s="40" t="s">
        <v>139</v>
      </c>
      <c r="S215" s="40" t="s">
        <v>442</v>
      </c>
      <c r="T215" s="40" t="s">
        <v>664</v>
      </c>
      <c r="U215" s="40" t="s">
        <v>154</v>
      </c>
      <c r="V215" s="40" t="s">
        <v>536</v>
      </c>
      <c r="W215" s="40"/>
      <c r="X215" s="40"/>
      <c r="Y215" s="40"/>
      <c r="Z215" s="40"/>
      <c r="AA215" s="40" t="s">
        <v>217</v>
      </c>
      <c r="AB215" s="53">
        <v>45957.359722222223</v>
      </c>
      <c r="AC215" s="40"/>
      <c r="AD215" s="40"/>
      <c r="AE215" s="40"/>
      <c r="AF215" s="40"/>
      <c r="AG215" s="40" t="s">
        <v>141</v>
      </c>
      <c r="AH215" s="42" t="s">
        <v>617</v>
      </c>
      <c r="AI215" s="87"/>
      <c r="AJ215" s="87" cm="1">
        <f t="array" ref="AJ215">IFERROR(_xlfn.XLOOKUP(TRUE,COUNTIF(Tabla[[#This Row],[Etiquetas]:[Etiquetas17]],Versiones!$G$2:$G$36)&gt;0,Versiones!$B$2:$B$36), "")</f>
        <v>22</v>
      </c>
      <c r="AK215" s="87" t="str" cm="1">
        <f t="array" ref="AK215">IFERROR(_xlfn.XLOOKUP(TRUE,COUNTIF(Tabla[[#This Row],[Etiquetas]:[Etiquetas17]],Versiones!$G$2:$G$36)&gt;0,Versiones!$A$2:$A$36), "")</f>
        <v>V0.10</v>
      </c>
      <c r="AL21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15" s="78" t="str">
        <f>IFERROR(_xlfn.XLOOKUP(Tabla[[#This Row],[¿En qué versión fue corregido?]],Versiones!$A$2:$A$34,Versiones!$B$2:$B$34),"No encontrado")</f>
        <v>No encontrado</v>
      </c>
      <c r="AN215" s="88" t="str" cm="1">
        <f t="array" ref="AN215">IFERROR(_xlfn.XLOOKUP(TRUE,COUNTIF(Tabla[[#This Row],[Etiquetas]:[Etiquetas17]],Categorías!$A$2:$A$12)&gt;0,Categorías!$A$2:$A$12),"No encontrado")</f>
        <v>Funcional</v>
      </c>
      <c r="AO215" s="87" t="str" cm="1">
        <f t="array" ref="AO215">IFERROR(INDEX(Funcionalidades!$A$2:$A$80,MATCH(TRUE, COUNTIF(Reporte_Gral!R215:Z215,Funcionalidades!$A$2:$A$80)&gt;0,0)),"No encontrado")</f>
        <v>Login</v>
      </c>
      <c r="AP215" s="87" t="str">
        <f>IF(AND(COUNTIF(Tabla[[#This Row],[Etiquetas]:[Etiquetas17]],"*UAT_V*")&gt;0,COUNTIF(Tabla[[#This Row],[Etiquetas]:[Etiquetas17]],"*QA-Integración*")=0),"SI","")</f>
        <v/>
      </c>
      <c r="AQ215" s="88" t="str" cm="1">
        <f t="array" ref="AQ215">IF(Tabla[[#This Row],[Fue encontrado durante UAT?]]="SI",IFERROR(_xlfn.XLOOKUP(TRUE,ISNUMBER(SEARCH("UAT_V",Tabla[[#This Row],[Etiquetas]:[Etiquetas17]])),Tabla[[#This Row],[Etiquetas]:[Etiquetas17]]),""),"")</f>
        <v/>
      </c>
      <c r="AR215" s="87" t="str">
        <f>IF(COUNTIF(Tabla[[#This Row],[Etiquetas]:[Etiquetas17]],"*Devuelto*")&gt;0,"SI","")</f>
        <v/>
      </c>
      <c r="AS215" s="167">
        <f>COUNTIF(Tabla[[#This Row],[Etiquetas]:[Etiquetas17]],"*Devuelto*")</f>
        <v>0</v>
      </c>
    </row>
    <row r="216" spans="1:45" ht="15" customHeight="1">
      <c r="A216" s="40" t="s">
        <v>128</v>
      </c>
      <c r="B216" s="40" t="s">
        <v>673</v>
      </c>
      <c r="C216" s="40">
        <v>104914</v>
      </c>
      <c r="D216" s="40" t="s">
        <v>674</v>
      </c>
      <c r="E216" s="40" t="s">
        <v>37</v>
      </c>
      <c r="F216" s="40" t="s">
        <v>26</v>
      </c>
      <c r="G216" s="40" t="s">
        <v>637</v>
      </c>
      <c r="H216" s="40" t="s">
        <v>561</v>
      </c>
      <c r="I216" s="40" t="s">
        <v>429</v>
      </c>
      <c r="J216" s="40" t="s">
        <v>307</v>
      </c>
      <c r="K216" s="40" t="s">
        <v>224</v>
      </c>
      <c r="L216" s="40" t="s">
        <v>151</v>
      </c>
      <c r="M216" s="40"/>
      <c r="N216" s="40"/>
      <c r="O216" s="40"/>
      <c r="P216" s="40"/>
      <c r="Q216" s="40"/>
      <c r="R216" s="40" t="s">
        <v>139</v>
      </c>
      <c r="S216" s="40" t="s">
        <v>237</v>
      </c>
      <c r="T216" s="40" t="s">
        <v>629</v>
      </c>
      <c r="U216" s="40" t="s">
        <v>204</v>
      </c>
      <c r="V216" s="40" t="s">
        <v>154</v>
      </c>
      <c r="W216" s="40"/>
      <c r="X216" s="40"/>
      <c r="Y216" s="40"/>
      <c r="Z216" s="40"/>
      <c r="AA216" s="40" t="s">
        <v>348</v>
      </c>
      <c r="AB216" s="53">
        <v>45955.222222222219</v>
      </c>
      <c r="AC216" s="40" t="s">
        <v>675</v>
      </c>
      <c r="AD216" s="40" t="s">
        <v>329</v>
      </c>
      <c r="AE216" s="40"/>
      <c r="AF216" s="40"/>
      <c r="AG216" s="40" t="s">
        <v>141</v>
      </c>
      <c r="AH216" s="42" t="s">
        <v>617</v>
      </c>
      <c r="AI216" s="87"/>
      <c r="AJ216" s="87" cm="1">
        <f t="array" ref="AJ216">IFERROR(_xlfn.XLOOKUP(TRUE,COUNTIF(Tabla[[#This Row],[Etiquetas]:[Etiquetas17]],Versiones!$G$2:$G$36)&gt;0,Versiones!$B$2:$B$36), "")</f>
        <v>22</v>
      </c>
      <c r="AK216" s="87" t="str" cm="1">
        <f t="array" ref="AK216">IFERROR(_xlfn.XLOOKUP(TRUE,COUNTIF(Tabla[[#This Row],[Etiquetas]:[Etiquetas17]],Versiones!$G$2:$G$36)&gt;0,Versiones!$A$2:$A$36), "")</f>
        <v>V0.10.1</v>
      </c>
      <c r="AL21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16" s="78">
        <f>IFERROR(_xlfn.XLOOKUP(Tabla[[#This Row],[¿En qué versión fue corregido?]],Versiones!$A$2:$A$34,Versiones!$B$2:$B$34),"No encontrado")</f>
        <v>24</v>
      </c>
      <c r="AN216" s="88" t="str" cm="1">
        <f t="array" ref="AN216">IFERROR(_xlfn.XLOOKUP(TRUE,COUNTIF(Tabla[[#This Row],[Etiquetas]:[Etiquetas17]],Categorías!$A$2:$A$12)&gt;0,Categorías!$A$2:$A$12),"No encontrado")</f>
        <v>Funcional</v>
      </c>
      <c r="AO216" s="88" t="str" cm="1">
        <f t="array" ref="AO216">IFERROR(INDEX(Funcionalidades!$A$2:$A$80,MATCH(TRUE, COUNTIF(Reporte_Gral!R216:Z216,Funcionalidades!$A$2:$A$80)&gt;0,0)),"No encontrado")</f>
        <v>Main-Dashboard</v>
      </c>
      <c r="AP216" s="87" t="str">
        <f>IF(AND(COUNTIF(Tabla[[#This Row],[Etiquetas]:[Etiquetas17]],"*UAT_V*")&gt;0,COUNTIF(Tabla[[#This Row],[Etiquetas]:[Etiquetas17]],"*QA-Integración*")=0),"SI","")</f>
        <v/>
      </c>
      <c r="AQ216" s="88" t="str" cm="1">
        <f t="array" ref="AQ216">IF(Tabla[[#This Row],[Fue encontrado durante UAT?]]="SI",IFERROR(_xlfn.XLOOKUP(TRUE,ISNUMBER(SEARCH("UAT_V",Tabla[[#This Row],[Etiquetas]:[Etiquetas17]])),Tabla[[#This Row],[Etiquetas]:[Etiquetas17]]),""),"")</f>
        <v/>
      </c>
      <c r="AR216" s="87" t="str">
        <f>IF(COUNTIF(Tabla[[#This Row],[Etiquetas]:[Etiquetas17]],"*Devuelto*")&gt;0,"SI","")</f>
        <v/>
      </c>
      <c r="AS216" s="167">
        <f>COUNTIF(Tabla[[#This Row],[Etiquetas]:[Etiquetas17]],"*Devuelto*")</f>
        <v>0</v>
      </c>
    </row>
    <row r="217" spans="1:45" ht="15" customHeight="1">
      <c r="A217" s="40" t="s">
        <v>128</v>
      </c>
      <c r="B217" s="40" t="s">
        <v>676</v>
      </c>
      <c r="C217" s="40">
        <v>104826</v>
      </c>
      <c r="D217" s="40" t="s">
        <v>677</v>
      </c>
      <c r="E217" s="40" t="s">
        <v>40</v>
      </c>
      <c r="F217" s="40" t="s">
        <v>26</v>
      </c>
      <c r="G217" s="40" t="s">
        <v>637</v>
      </c>
      <c r="H217" s="40" t="s">
        <v>561</v>
      </c>
      <c r="I217" s="40" t="s">
        <v>307</v>
      </c>
      <c r="J217" s="40" t="s">
        <v>224</v>
      </c>
      <c r="K217" s="40" t="s">
        <v>151</v>
      </c>
      <c r="L217" s="40"/>
      <c r="M217" s="40"/>
      <c r="N217" s="40"/>
      <c r="O217" s="40"/>
      <c r="P217" s="40"/>
      <c r="Q217" s="40"/>
      <c r="R217" s="40" t="s">
        <v>516</v>
      </c>
      <c r="S217" s="40" t="s">
        <v>132</v>
      </c>
      <c r="T217" s="40" t="s">
        <v>237</v>
      </c>
      <c r="U217" s="40" t="s">
        <v>664</v>
      </c>
      <c r="V217" s="40" t="s">
        <v>204</v>
      </c>
      <c r="W217" s="40" t="s">
        <v>154</v>
      </c>
      <c r="X217" s="40" t="s">
        <v>188</v>
      </c>
      <c r="Y217" s="40" t="s">
        <v>536</v>
      </c>
      <c r="Z217" s="40"/>
      <c r="AA217" s="40" t="s">
        <v>217</v>
      </c>
      <c r="AB217" s="53">
        <v>45954.647916666669</v>
      </c>
      <c r="AC217" s="40" t="s">
        <v>675</v>
      </c>
      <c r="AD217" s="40" t="s">
        <v>329</v>
      </c>
      <c r="AE217" s="40"/>
      <c r="AF217" s="40"/>
      <c r="AG217" s="40" t="s">
        <v>135</v>
      </c>
      <c r="AH217" s="42" t="s">
        <v>617</v>
      </c>
      <c r="AI217" s="87"/>
      <c r="AJ217" s="87" cm="1">
        <f t="array" ref="AJ217">IFERROR(_xlfn.XLOOKUP(TRUE,COUNTIF(Tabla[[#This Row],[Etiquetas]:[Etiquetas17]],Versiones!$G$2:$G$36)&gt;0,Versiones!$B$2:$B$36), "")</f>
        <v>22</v>
      </c>
      <c r="AK217" s="87" t="str" cm="1">
        <f t="array" ref="AK217">IFERROR(_xlfn.XLOOKUP(TRUE,COUNTIF(Tabla[[#This Row],[Etiquetas]:[Etiquetas17]],Versiones!$G$2:$G$36)&gt;0,Versiones!$A$2:$A$36), "")</f>
        <v>V0.10</v>
      </c>
      <c r="AL21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17" s="78">
        <f>IFERROR(_xlfn.XLOOKUP(Tabla[[#This Row],[¿En qué versión fue corregido?]],Versiones!$A$2:$A$34,Versiones!$B$2:$B$34),"No encontrado")</f>
        <v>24</v>
      </c>
      <c r="AN217" s="88" t="str" cm="1">
        <f t="array" ref="AN217">IFERROR(_xlfn.XLOOKUP(TRUE,COUNTIF(Tabla[[#This Row],[Etiquetas]:[Etiquetas17]],Categorías!$A$2:$A$12)&gt;0,Categorías!$A$2:$A$12),"No encontrado")</f>
        <v>Look&amp;Feel</v>
      </c>
      <c r="AO217" s="88" t="str" cm="1">
        <f t="array" ref="AO217">IFERROR(INDEX(Funcionalidades!$A$2:$A$80,MATCH(TRUE, COUNTIF(Reporte_Gral!R217:Z217,Funcionalidades!$A$2:$A$80)&gt;0,0)),"No encontrado")</f>
        <v>Main-Dashboard</v>
      </c>
      <c r="AP217" s="87" t="str">
        <f>IF(AND(COUNTIF(Tabla[[#This Row],[Etiquetas]:[Etiquetas17]],"*UAT_V*")&gt;0,COUNTIF(Tabla[[#This Row],[Etiquetas]:[Etiquetas17]],"*QA-Integración*")=0),"SI","")</f>
        <v/>
      </c>
      <c r="AQ217" s="88" t="str" cm="1">
        <f t="array" ref="AQ217">IF(Tabla[[#This Row],[Fue encontrado durante UAT?]]="SI",IFERROR(_xlfn.XLOOKUP(TRUE,ISNUMBER(SEARCH("UAT_V",Tabla[[#This Row],[Etiquetas]:[Etiquetas17]])),Tabla[[#This Row],[Etiquetas]:[Etiquetas17]]),""),"")</f>
        <v/>
      </c>
      <c r="AR217" s="87" t="str">
        <f>IF(COUNTIF(Tabla[[#This Row],[Etiquetas]:[Etiquetas17]],"*Devuelto*")&gt;0,"SI","")</f>
        <v/>
      </c>
      <c r="AS217" s="167">
        <f>COUNTIF(Tabla[[#This Row],[Etiquetas]:[Etiquetas17]],"*Devuelto*")</f>
        <v>0</v>
      </c>
    </row>
    <row r="218" spans="1:45" ht="15" customHeight="1">
      <c r="A218" s="40" t="s">
        <v>128</v>
      </c>
      <c r="B218" s="40" t="s">
        <v>678</v>
      </c>
      <c r="C218" s="40">
        <v>104812</v>
      </c>
      <c r="D218" s="40" t="s">
        <v>679</v>
      </c>
      <c r="E218" s="40" t="s">
        <v>36</v>
      </c>
      <c r="F218" s="40" t="s">
        <v>26</v>
      </c>
      <c r="G218" s="40" t="s">
        <v>637</v>
      </c>
      <c r="H218" s="40" t="s">
        <v>561</v>
      </c>
      <c r="I218" s="40" t="s">
        <v>429</v>
      </c>
      <c r="J218" s="40" t="s">
        <v>307</v>
      </c>
      <c r="K218" s="40" t="s">
        <v>224</v>
      </c>
      <c r="L218" s="40" t="s">
        <v>151</v>
      </c>
      <c r="M218" s="40"/>
      <c r="N218" s="40"/>
      <c r="O218" s="40"/>
      <c r="P218" s="40"/>
      <c r="Q218" s="40"/>
      <c r="R218" s="40" t="s">
        <v>132</v>
      </c>
      <c r="S218" s="40" t="s">
        <v>237</v>
      </c>
      <c r="T218" s="40" t="s">
        <v>664</v>
      </c>
      <c r="U218" s="40" t="s">
        <v>204</v>
      </c>
      <c r="V218" s="40" t="s">
        <v>154</v>
      </c>
      <c r="W218" s="40" t="s">
        <v>188</v>
      </c>
      <c r="X218" s="40"/>
      <c r="Y218" s="40"/>
      <c r="Z218" s="40"/>
      <c r="AA218" s="40" t="s">
        <v>217</v>
      </c>
      <c r="AB218" s="53">
        <v>45954.633333333331</v>
      </c>
      <c r="AC218" s="40" t="s">
        <v>675</v>
      </c>
      <c r="AD218" s="40" t="s">
        <v>511</v>
      </c>
      <c r="AE218" s="40"/>
      <c r="AF218" s="40"/>
      <c r="AG218" s="40" t="s">
        <v>141</v>
      </c>
      <c r="AH218" s="10" t="s">
        <v>136</v>
      </c>
      <c r="AI218" s="87"/>
      <c r="AJ218" s="87" cm="1">
        <f t="array" ref="AJ218">IFERROR(_xlfn.XLOOKUP(TRUE,COUNTIF(Tabla[[#This Row],[Etiquetas]:[Etiquetas17]],Versiones!$G$2:$G$36)&gt;0,Versiones!$B$2:$B$36), "")</f>
        <v>22</v>
      </c>
      <c r="AK218" s="87" t="str" cm="1">
        <f t="array" ref="AK218">IFERROR(_xlfn.XLOOKUP(TRUE,COUNTIF(Tabla[[#This Row],[Etiquetas]:[Etiquetas17]],Versiones!$G$2:$G$36)&gt;0,Versiones!$A$2:$A$36), "")</f>
        <v>V0.10</v>
      </c>
      <c r="AL21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18" s="78">
        <f>IFERROR(_xlfn.XLOOKUP(Tabla[[#This Row],[¿En qué versión fue corregido?]],Versiones!$A$2:$A$34,Versiones!$B$2:$B$34),"No encontrado")</f>
        <v>23</v>
      </c>
      <c r="AN218" s="88" t="str" cm="1">
        <f t="array" ref="AN218">IFERROR(_xlfn.XLOOKUP(TRUE,COUNTIF(Tabla[[#This Row],[Etiquetas]:[Etiquetas17]],Categorías!$A$2:$A$12)&gt;0,Categorías!$A$2:$A$12),"No encontrado")</f>
        <v>Look&amp;Feel</v>
      </c>
      <c r="AO218" s="87" t="str" cm="1">
        <f t="array" ref="AO218">IFERROR(INDEX(Funcionalidades!$A$2:$A$80,MATCH(TRUE, COUNTIF(Reporte_Gral!R218:Z218,Funcionalidades!$A$2:$A$80)&gt;0,0)),"No encontrado")</f>
        <v>Main-Dashboard</v>
      </c>
      <c r="AP218" s="87" t="str">
        <f>IF(AND(COUNTIF(Tabla[[#This Row],[Etiquetas]:[Etiquetas17]],"*UAT_V*")&gt;0,COUNTIF(Tabla[[#This Row],[Etiquetas]:[Etiquetas17]],"*QA-Integración*")=0),"SI","")</f>
        <v/>
      </c>
      <c r="AQ218" s="88" t="str" cm="1">
        <f t="array" ref="AQ218">IF(Tabla[[#This Row],[Fue encontrado durante UAT?]]="SI",IFERROR(_xlfn.XLOOKUP(TRUE,ISNUMBER(SEARCH("UAT_V",Tabla[[#This Row],[Etiquetas]:[Etiquetas17]])),Tabla[[#This Row],[Etiquetas]:[Etiquetas17]]),""),"")</f>
        <v/>
      </c>
      <c r="AR218" s="87" t="str">
        <f>IF(COUNTIF(Tabla[[#This Row],[Etiquetas]:[Etiquetas17]],"*Devuelto*")&gt;0,"SI","")</f>
        <v/>
      </c>
      <c r="AS218" s="167">
        <f>COUNTIF(Tabla[[#This Row],[Etiquetas]:[Etiquetas17]],"*Devuelto*")</f>
        <v>0</v>
      </c>
    </row>
    <row r="219" spans="1:45" ht="15" customHeight="1">
      <c r="A219" s="40" t="s">
        <v>128</v>
      </c>
      <c r="B219" s="40" t="s">
        <v>680</v>
      </c>
      <c r="C219" s="40">
        <v>104788</v>
      </c>
      <c r="D219" s="40" t="s">
        <v>681</v>
      </c>
      <c r="E219" s="40" t="s">
        <v>36</v>
      </c>
      <c r="F219" s="40" t="s">
        <v>26</v>
      </c>
      <c r="G219" s="40" t="s">
        <v>637</v>
      </c>
      <c r="H219" s="40" t="s">
        <v>561</v>
      </c>
      <c r="I219" s="40" t="s">
        <v>429</v>
      </c>
      <c r="J219" s="40" t="s">
        <v>307</v>
      </c>
      <c r="K219" s="40" t="s">
        <v>224</v>
      </c>
      <c r="L219" s="40" t="s">
        <v>151</v>
      </c>
      <c r="M219" s="40"/>
      <c r="N219" s="40"/>
      <c r="O219" s="40"/>
      <c r="P219" s="40"/>
      <c r="Q219" s="40"/>
      <c r="R219" s="40" t="s">
        <v>460</v>
      </c>
      <c r="S219" s="40" t="s">
        <v>139</v>
      </c>
      <c r="T219" s="40" t="s">
        <v>664</v>
      </c>
      <c r="U219" s="40" t="s">
        <v>226</v>
      </c>
      <c r="V219" s="40" t="s">
        <v>154</v>
      </c>
      <c r="W219" s="40"/>
      <c r="X219" s="40"/>
      <c r="Y219" s="40"/>
      <c r="Z219" s="40"/>
      <c r="AA219" s="40" t="s">
        <v>217</v>
      </c>
      <c r="AB219" s="53">
        <v>45954.594444444447</v>
      </c>
      <c r="AC219" s="40" t="s">
        <v>675</v>
      </c>
      <c r="AD219" s="40" t="s">
        <v>511</v>
      </c>
      <c r="AE219" s="40"/>
      <c r="AF219" s="40"/>
      <c r="AG219" s="40" t="s">
        <v>135</v>
      </c>
      <c r="AH219" s="10" t="s">
        <v>159</v>
      </c>
      <c r="AI219" s="87"/>
      <c r="AJ219" s="87" cm="1">
        <f t="array" ref="AJ219">IFERROR(_xlfn.XLOOKUP(TRUE,COUNTIF(Tabla[[#This Row],[Etiquetas]:[Etiquetas17]],Versiones!$G$2:$G$36)&gt;0,Versiones!$B$2:$B$36), "")</f>
        <v>22</v>
      </c>
      <c r="AK219" s="87" t="str" cm="1">
        <f t="array" ref="AK219">IFERROR(_xlfn.XLOOKUP(TRUE,COUNTIF(Tabla[[#This Row],[Etiquetas]:[Etiquetas17]],Versiones!$G$2:$G$36)&gt;0,Versiones!$A$2:$A$36), "")</f>
        <v>V0.10</v>
      </c>
      <c r="AL21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19" s="78">
        <f>IFERROR(_xlfn.XLOOKUP(Tabla[[#This Row],[¿En qué versión fue corregido?]],Versiones!$A$2:$A$34,Versiones!$B$2:$B$34),"No encontrado")</f>
        <v>23</v>
      </c>
      <c r="AN219" s="88" t="str" cm="1">
        <f t="array" ref="AN219">IFERROR(_xlfn.XLOOKUP(TRUE,COUNTIF(Tabla[[#This Row],[Etiquetas]:[Etiquetas17]],Categorías!$A$2:$A$12)&gt;0,Categorías!$A$2:$A$12),"No encontrado")</f>
        <v>Funcional</v>
      </c>
      <c r="AO219" s="88" t="str" cm="1">
        <f t="array" ref="AO219">IFERROR(INDEX(Funcionalidades!$A$2:$A$80,MATCH(TRUE, COUNTIF(Reporte_Gral!R219:Z219,Funcionalidades!$A$2:$A$80)&gt;0,0)),"No encontrado")</f>
        <v>Cancelar-Venta</v>
      </c>
      <c r="AP219" s="87" t="str">
        <f>IF(AND(COUNTIF(Tabla[[#This Row],[Etiquetas]:[Etiquetas17]],"*UAT_V*")&gt;0,COUNTIF(Tabla[[#This Row],[Etiquetas]:[Etiquetas17]],"*QA-Integración*")=0),"SI","")</f>
        <v/>
      </c>
      <c r="AQ219" s="88" t="str" cm="1">
        <f t="array" ref="AQ219">IF(Tabla[[#This Row],[Fue encontrado durante UAT?]]="SI",IFERROR(_xlfn.XLOOKUP(TRUE,ISNUMBER(SEARCH("UAT_V",Tabla[[#This Row],[Etiquetas]:[Etiquetas17]])),Tabla[[#This Row],[Etiquetas]:[Etiquetas17]]),""),"")</f>
        <v/>
      </c>
      <c r="AR219" s="87" t="str">
        <f>IF(COUNTIF(Tabla[[#This Row],[Etiquetas]:[Etiquetas17]],"*Devuelto*")&gt;0,"SI","")</f>
        <v/>
      </c>
      <c r="AS219" s="167">
        <f>COUNTIF(Tabla[[#This Row],[Etiquetas]:[Etiquetas17]],"*Devuelto*")</f>
        <v>0</v>
      </c>
    </row>
    <row r="220" spans="1:45" ht="15" customHeight="1">
      <c r="A220" s="40" t="s">
        <v>128</v>
      </c>
      <c r="B220" s="40" t="s">
        <v>682</v>
      </c>
      <c r="C220" s="40">
        <v>104771</v>
      </c>
      <c r="D220" s="40" t="s">
        <v>683</v>
      </c>
      <c r="E220" s="40" t="s">
        <v>36</v>
      </c>
      <c r="F220" s="40" t="s">
        <v>26</v>
      </c>
      <c r="G220" s="40" t="s">
        <v>637</v>
      </c>
      <c r="H220" s="40" t="s">
        <v>561</v>
      </c>
      <c r="I220" s="40" t="s">
        <v>429</v>
      </c>
      <c r="J220" s="40" t="s">
        <v>307</v>
      </c>
      <c r="K220" s="40" t="s">
        <v>224</v>
      </c>
      <c r="L220" s="40" t="s">
        <v>151</v>
      </c>
      <c r="M220" s="40"/>
      <c r="N220" s="40"/>
      <c r="O220" s="40"/>
      <c r="P220" s="40"/>
      <c r="Q220" s="40"/>
      <c r="R220" s="40" t="s">
        <v>371</v>
      </c>
      <c r="S220" s="40" t="s">
        <v>132</v>
      </c>
      <c r="T220" s="40" t="s">
        <v>225</v>
      </c>
      <c r="U220" s="40" t="s">
        <v>664</v>
      </c>
      <c r="V220" s="40" t="s">
        <v>226</v>
      </c>
      <c r="W220" s="40" t="s">
        <v>154</v>
      </c>
      <c r="X220" s="40" t="s">
        <v>536</v>
      </c>
      <c r="Y220" s="40"/>
      <c r="Z220" s="40"/>
      <c r="AA220" s="40" t="s">
        <v>217</v>
      </c>
      <c r="AB220" s="53">
        <v>45954.563888888886</v>
      </c>
      <c r="AC220" s="40" t="s">
        <v>329</v>
      </c>
      <c r="AD220" s="40"/>
      <c r="AE220" s="40"/>
      <c r="AF220" s="40"/>
      <c r="AG220" s="40" t="s">
        <v>135</v>
      </c>
      <c r="AH220" s="10" t="s">
        <v>159</v>
      </c>
      <c r="AI220" s="87"/>
      <c r="AJ220" s="87" cm="1">
        <f t="array" ref="AJ220">IFERROR(_xlfn.XLOOKUP(TRUE,COUNTIF(Tabla[[#This Row],[Etiquetas]:[Etiquetas17]],Versiones!$G$2:$G$36)&gt;0,Versiones!$B$2:$B$36), "")</f>
        <v>22</v>
      </c>
      <c r="AK220" s="87" t="str" cm="1">
        <f t="array" ref="AK220">IFERROR(_xlfn.XLOOKUP(TRUE,COUNTIF(Tabla[[#This Row],[Etiquetas]:[Etiquetas17]],Versiones!$G$2:$G$36)&gt;0,Versiones!$A$2:$A$36), "")</f>
        <v>V0.10</v>
      </c>
      <c r="AL22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20" s="78">
        <f>IFERROR(_xlfn.XLOOKUP(Tabla[[#This Row],[¿En qué versión fue corregido?]],Versiones!$A$2:$A$34,Versiones!$B$2:$B$34),"No encontrado")</f>
        <v>24</v>
      </c>
      <c r="AN220" s="88" t="str" cm="1">
        <f t="array" ref="AN220">IFERROR(_xlfn.XLOOKUP(TRUE,COUNTIF(Tabla[[#This Row],[Etiquetas]:[Etiquetas17]],Categorías!$A$2:$A$12)&gt;0,Categorías!$A$2:$A$12),"No encontrado")</f>
        <v>Look&amp;Feel</v>
      </c>
      <c r="AO220" s="88" t="str" cm="1">
        <f t="array" ref="AO220">IFERROR(INDEX(Funcionalidades!$A$2:$A$80,MATCH(TRUE, COUNTIF(Reporte_Gral!R220:Z220,Funcionalidades!$A$2:$A$80)&gt;0,0)),"No encontrado")</f>
        <v>Pago-Con-Tarjeta</v>
      </c>
      <c r="AP220" s="87" t="str">
        <f>IF(AND(COUNTIF(Tabla[[#This Row],[Etiquetas]:[Etiquetas17]],"*UAT_V*")&gt;0,COUNTIF(Tabla[[#This Row],[Etiquetas]:[Etiquetas17]],"*QA-Integración*")=0),"SI","")</f>
        <v/>
      </c>
      <c r="AQ220" s="88" t="str" cm="1">
        <f t="array" ref="AQ220">IF(Tabla[[#This Row],[Fue encontrado durante UAT?]]="SI",IFERROR(_xlfn.XLOOKUP(TRUE,ISNUMBER(SEARCH("UAT_V",Tabla[[#This Row],[Etiquetas]:[Etiquetas17]])),Tabla[[#This Row],[Etiquetas]:[Etiquetas17]]),""),"")</f>
        <v/>
      </c>
      <c r="AR220" s="87" t="str">
        <f>IF(COUNTIF(Tabla[[#This Row],[Etiquetas]:[Etiquetas17]],"*Devuelto*")&gt;0,"SI","")</f>
        <v/>
      </c>
      <c r="AS220" s="167">
        <f>COUNTIF(Tabla[[#This Row],[Etiquetas]:[Etiquetas17]],"*Devuelto*")</f>
        <v>0</v>
      </c>
    </row>
    <row r="221" spans="1:45" ht="15" customHeight="1">
      <c r="A221" s="40" t="s">
        <v>128</v>
      </c>
      <c r="B221" s="40" t="s">
        <v>684</v>
      </c>
      <c r="C221" s="40">
        <v>104763</v>
      </c>
      <c r="D221" s="40" t="s">
        <v>685</v>
      </c>
      <c r="E221" s="40" t="s">
        <v>36</v>
      </c>
      <c r="F221" s="40" t="s">
        <v>27</v>
      </c>
      <c r="G221" s="40" t="s">
        <v>637</v>
      </c>
      <c r="H221" s="40" t="s">
        <v>561</v>
      </c>
      <c r="I221" s="40" t="s">
        <v>429</v>
      </c>
      <c r="J221" s="40" t="s">
        <v>224</v>
      </c>
      <c r="K221" s="40" t="s">
        <v>151</v>
      </c>
      <c r="L221" s="40"/>
      <c r="M221" s="40"/>
      <c r="N221" s="40"/>
      <c r="O221" s="40"/>
      <c r="P221" s="40"/>
      <c r="Q221" s="40"/>
      <c r="R221" s="40" t="s">
        <v>579</v>
      </c>
      <c r="S221" s="40" t="s">
        <v>620</v>
      </c>
      <c r="T221" s="40" t="s">
        <v>139</v>
      </c>
      <c r="U221" s="40" t="s">
        <v>664</v>
      </c>
      <c r="V221" s="40" t="s">
        <v>204</v>
      </c>
      <c r="W221" s="40" t="s">
        <v>154</v>
      </c>
      <c r="X221" s="40" t="s">
        <v>536</v>
      </c>
      <c r="Y221" s="40"/>
      <c r="Z221" s="40"/>
      <c r="AA221" s="40" t="s">
        <v>134</v>
      </c>
      <c r="AB221" s="53">
        <v>45954.534722222219</v>
      </c>
      <c r="AC221" s="40" t="s">
        <v>675</v>
      </c>
      <c r="AD221" s="40" t="s">
        <v>511</v>
      </c>
      <c r="AE221" s="40"/>
      <c r="AF221" s="40"/>
      <c r="AG221" s="40" t="s">
        <v>141</v>
      </c>
      <c r="AH221" s="10" t="s">
        <v>159</v>
      </c>
      <c r="AI221" s="87"/>
      <c r="AJ221" s="87" cm="1">
        <f t="array" ref="AJ221">IFERROR(_xlfn.XLOOKUP(TRUE,COUNTIF(Tabla[[#This Row],[Etiquetas]:[Etiquetas17]],Versiones!$G$2:$G$36)&gt;0,Versiones!$B$2:$B$36), "")</f>
        <v>22</v>
      </c>
      <c r="AK221" s="87" t="str" cm="1">
        <f t="array" ref="AK221">IFERROR(_xlfn.XLOOKUP(TRUE,COUNTIF(Tabla[[#This Row],[Etiquetas]:[Etiquetas17]],Versiones!$G$2:$G$36)&gt;0,Versiones!$A$2:$A$36), "")</f>
        <v>V0.10</v>
      </c>
      <c r="AL22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21" s="78">
        <f>IFERROR(_xlfn.XLOOKUP(Tabla[[#This Row],[¿En qué versión fue corregido?]],Versiones!$A$2:$A$34,Versiones!$B$2:$B$34),"No encontrado")</f>
        <v>23</v>
      </c>
      <c r="AN221" s="88" t="str" cm="1">
        <f t="array" ref="AN221">IFERROR(_xlfn.XLOOKUP(TRUE,COUNTIF(Tabla[[#This Row],[Etiquetas]:[Etiquetas17]],Categorías!$A$2:$A$12)&gt;0,Categorías!$A$2:$A$12),"No encontrado")</f>
        <v>Funcional</v>
      </c>
      <c r="AO221" s="88" t="str" cm="1">
        <f t="array" ref="AO221">IFERROR(INDEX(Funcionalidades!$A$2:$A$80,MATCH(TRUE, COUNTIF(Reporte_Gral!R221:Z221,Funcionalidades!$A$2:$A$80)&gt;0,0)),"No encontrado")</f>
        <v>Cierre-De-Día</v>
      </c>
      <c r="AP221" s="87" t="str">
        <f>IF(AND(COUNTIF(Tabla[[#This Row],[Etiquetas]:[Etiquetas17]],"*UAT_V*")&gt;0,COUNTIF(Tabla[[#This Row],[Etiquetas]:[Etiquetas17]],"*QA-Integración*")=0),"SI","")</f>
        <v/>
      </c>
      <c r="AQ221" s="88" t="str" cm="1">
        <f t="array" ref="AQ221">IF(Tabla[[#This Row],[Fue encontrado durante UAT?]]="SI",IFERROR(_xlfn.XLOOKUP(TRUE,ISNUMBER(SEARCH("UAT_V",Tabla[[#This Row],[Etiquetas]:[Etiquetas17]])),Tabla[[#This Row],[Etiquetas]:[Etiquetas17]]),""),"")</f>
        <v/>
      </c>
      <c r="AR221" s="87" t="str">
        <f>IF(COUNTIF(Tabla[[#This Row],[Etiquetas]:[Etiquetas17]],"*Devuelto*")&gt;0,"SI","")</f>
        <v>SI</v>
      </c>
      <c r="AS221" s="167">
        <f>COUNTIF(Tabla[[#This Row],[Etiquetas]:[Etiquetas17]],"*Devuelto*")</f>
        <v>1</v>
      </c>
    </row>
    <row r="222" spans="1:45" ht="15" customHeight="1">
      <c r="A222" s="40" t="s">
        <v>128</v>
      </c>
      <c r="B222" s="40" t="s">
        <v>686</v>
      </c>
      <c r="C222" s="40">
        <v>104746</v>
      </c>
      <c r="D222" s="40" t="s">
        <v>687</v>
      </c>
      <c r="E222" s="40" t="s">
        <v>36</v>
      </c>
      <c r="F222" s="40" t="s">
        <v>26</v>
      </c>
      <c r="G222" s="40" t="s">
        <v>637</v>
      </c>
      <c r="H222" s="40" t="s">
        <v>561</v>
      </c>
      <c r="I222" s="40" t="s">
        <v>429</v>
      </c>
      <c r="J222" s="40" t="s">
        <v>307</v>
      </c>
      <c r="K222" s="40" t="s">
        <v>224</v>
      </c>
      <c r="L222" s="40" t="s">
        <v>151</v>
      </c>
      <c r="M222" s="40"/>
      <c r="N222" s="40"/>
      <c r="O222" s="40"/>
      <c r="P222" s="40"/>
      <c r="Q222" s="40"/>
      <c r="R222" s="40" t="s">
        <v>139</v>
      </c>
      <c r="S222" s="40" t="s">
        <v>237</v>
      </c>
      <c r="T222" s="40" t="s">
        <v>629</v>
      </c>
      <c r="U222" s="40" t="s">
        <v>204</v>
      </c>
      <c r="V222" s="40" t="s">
        <v>154</v>
      </c>
      <c r="W222" s="40"/>
      <c r="X222" s="40"/>
      <c r="Y222" s="40"/>
      <c r="Z222" s="40"/>
      <c r="AA222" s="40" t="s">
        <v>134</v>
      </c>
      <c r="AB222" s="53">
        <v>45954.513194444444</v>
      </c>
      <c r="AC222" s="40" t="s">
        <v>675</v>
      </c>
      <c r="AD222" s="40" t="s">
        <v>511</v>
      </c>
      <c r="AE222" s="40"/>
      <c r="AF222" s="40"/>
      <c r="AG222" s="40" t="s">
        <v>141</v>
      </c>
      <c r="AH222" s="10" t="s">
        <v>136</v>
      </c>
      <c r="AI222" s="87"/>
      <c r="AJ222" s="87" cm="1">
        <f t="array" ref="AJ222">IFERROR(_xlfn.XLOOKUP(TRUE,COUNTIF(Tabla[[#This Row],[Etiquetas]:[Etiquetas17]],Versiones!$G$2:$G$36)&gt;0,Versiones!$B$2:$B$36), "")</f>
        <v>22</v>
      </c>
      <c r="AK222" s="87" t="str" cm="1">
        <f t="array" ref="AK222">IFERROR(_xlfn.XLOOKUP(TRUE,COUNTIF(Tabla[[#This Row],[Etiquetas]:[Etiquetas17]],Versiones!$G$2:$G$36)&gt;0,Versiones!$A$2:$A$36), "")</f>
        <v>V0.10.1</v>
      </c>
      <c r="AL22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22" s="78">
        <f>IFERROR(_xlfn.XLOOKUP(Tabla[[#This Row],[¿En qué versión fue corregido?]],Versiones!$A$2:$A$34,Versiones!$B$2:$B$34),"No encontrado")</f>
        <v>23</v>
      </c>
      <c r="AN222" s="88" t="str" cm="1">
        <f t="array" ref="AN222">IFERROR(_xlfn.XLOOKUP(TRUE,COUNTIF(Tabla[[#This Row],[Etiquetas]:[Etiquetas17]],Categorías!$A$2:$A$12)&gt;0,Categorías!$A$2:$A$12),"No encontrado")</f>
        <v>Funcional</v>
      </c>
      <c r="AO222" s="88" t="str" cm="1">
        <f t="array" ref="AO222">IFERROR(INDEX(Funcionalidades!$A$2:$A$80,MATCH(TRUE, COUNTIF(Reporte_Gral!R222:Z222,Funcionalidades!$A$2:$A$80)&gt;0,0)),"No encontrado")</f>
        <v>Main-Dashboard</v>
      </c>
      <c r="AP222" s="87" t="str">
        <f>IF(AND(COUNTIF(Tabla[[#This Row],[Etiquetas]:[Etiquetas17]],"*UAT_V*")&gt;0,COUNTIF(Tabla[[#This Row],[Etiquetas]:[Etiquetas17]],"*QA-Integración*")=0),"SI","")</f>
        <v/>
      </c>
      <c r="AQ222" s="88" t="str" cm="1">
        <f t="array" ref="AQ222">IF(Tabla[[#This Row],[Fue encontrado durante UAT?]]="SI",IFERROR(_xlfn.XLOOKUP(TRUE,ISNUMBER(SEARCH("UAT_V",Tabla[[#This Row],[Etiquetas]:[Etiquetas17]])),Tabla[[#This Row],[Etiquetas]:[Etiquetas17]]),""),"")</f>
        <v/>
      </c>
      <c r="AR222" s="87" t="str">
        <f>IF(COUNTIF(Tabla[[#This Row],[Etiquetas]:[Etiquetas17]],"*Devuelto*")&gt;0,"SI","")</f>
        <v/>
      </c>
      <c r="AS222" s="167">
        <f>COUNTIF(Tabla[[#This Row],[Etiquetas]:[Etiquetas17]],"*Devuelto*")</f>
        <v>0</v>
      </c>
    </row>
    <row r="223" spans="1:45" ht="15" customHeight="1">
      <c r="A223" s="40" t="s">
        <v>128</v>
      </c>
      <c r="B223" s="40" t="s">
        <v>688</v>
      </c>
      <c r="C223" s="40">
        <v>103589</v>
      </c>
      <c r="D223" s="40" t="s">
        <v>689</v>
      </c>
      <c r="E223" s="40" t="s">
        <v>37</v>
      </c>
      <c r="F223" s="40" t="s">
        <v>26</v>
      </c>
      <c r="G223" s="40" t="s">
        <v>307</v>
      </c>
      <c r="H223" s="40" t="s">
        <v>224</v>
      </c>
      <c r="I223" s="40" t="s">
        <v>151</v>
      </c>
      <c r="J223" s="40"/>
      <c r="K223" s="40"/>
      <c r="L223" s="40"/>
      <c r="M223" s="40"/>
      <c r="N223" s="40"/>
      <c r="O223" s="40"/>
      <c r="P223" s="40"/>
      <c r="Q223" s="40"/>
      <c r="R223" s="40" t="s">
        <v>690</v>
      </c>
      <c r="S223" s="40" t="s">
        <v>132</v>
      </c>
      <c r="T223" s="40" t="s">
        <v>691</v>
      </c>
      <c r="U223" s="40" t="s">
        <v>536</v>
      </c>
      <c r="V223" s="40"/>
      <c r="W223" s="40"/>
      <c r="X223" s="40"/>
      <c r="Y223" s="40"/>
      <c r="Z223" s="40"/>
      <c r="AA223" s="40" t="s">
        <v>134</v>
      </c>
      <c r="AB223" s="53">
        <v>45951.32916666667</v>
      </c>
      <c r="AC223" s="40" t="s">
        <v>329</v>
      </c>
      <c r="AD223" s="40"/>
      <c r="AE223" s="40"/>
      <c r="AF223" s="40"/>
      <c r="AG223" s="40" t="s">
        <v>141</v>
      </c>
      <c r="AH223" s="10" t="s">
        <v>136</v>
      </c>
      <c r="AI223" s="87"/>
      <c r="AJ223" s="87" cm="1">
        <f t="array" ref="AJ223">IFERROR(_xlfn.XLOOKUP(TRUE,COUNTIF(Tabla[[#This Row],[Etiquetas]:[Etiquetas17]],Versiones!$G$2:$G$36)&gt;0,Versiones!$B$2:$B$36), "")</f>
        <v>21</v>
      </c>
      <c r="AK223" s="87" t="str" cm="1">
        <f t="array" ref="AK223">IFERROR(_xlfn.XLOOKUP(TRUE,COUNTIF(Tabla[[#This Row],[Etiquetas]:[Etiquetas17]],Versiones!$G$2:$G$36)&gt;0,Versiones!$A$2:$A$36), "")</f>
        <v>V0.9</v>
      </c>
      <c r="AL22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23" s="78">
        <f>IFERROR(_xlfn.XLOOKUP(Tabla[[#This Row],[¿En qué versión fue corregido?]],Versiones!$A$2:$A$34,Versiones!$B$2:$B$34),"No encontrado")</f>
        <v>24</v>
      </c>
      <c r="AN223" s="88" t="str" cm="1">
        <f t="array" ref="AN223">IFERROR(_xlfn.XLOOKUP(TRUE,COUNTIF(Tabla[[#This Row],[Etiquetas]:[Etiquetas17]],Categorías!$A$2:$A$12)&gt;0,Categorías!$A$2:$A$12),"No encontrado")</f>
        <v>Look&amp;Feel</v>
      </c>
      <c r="AO223" s="87" t="str" cm="1">
        <f t="array" ref="AO223">IFERROR(INDEX(Funcionalidades!$A$2:$A$80,MATCH(TRUE, COUNTIF(Reporte_Gral!R223:Z223,Funcionalidades!$A$2:$A$80)&gt;0,0)),"No encontrado")</f>
        <v>Bugs-Idioma</v>
      </c>
      <c r="AP223" s="87" t="str">
        <f>IF(AND(COUNTIF(Tabla[[#This Row],[Etiquetas]:[Etiquetas17]],"*UAT_V*")&gt;0,COUNTIF(Tabla[[#This Row],[Etiquetas]:[Etiquetas17]],"*QA-Integración*")=0),"SI","")</f>
        <v/>
      </c>
      <c r="AQ223" s="88" t="str" cm="1">
        <f t="array" ref="AQ223">IF(Tabla[[#This Row],[Fue encontrado durante UAT?]]="SI",IFERROR(_xlfn.XLOOKUP(TRUE,ISNUMBER(SEARCH("UAT_V",Tabla[[#This Row],[Etiquetas]:[Etiquetas17]])),Tabla[[#This Row],[Etiquetas]:[Etiquetas17]]),""),"")</f>
        <v/>
      </c>
      <c r="AR223" s="87" t="str">
        <f>IF(COUNTIF(Tabla[[#This Row],[Etiquetas]:[Etiquetas17]],"*Devuelto*")&gt;0,"SI","")</f>
        <v/>
      </c>
      <c r="AS223" s="167">
        <f>COUNTIF(Tabla[[#This Row],[Etiquetas]:[Etiquetas17]],"*Devuelto*")</f>
        <v>0</v>
      </c>
    </row>
    <row r="224" spans="1:45" ht="15" customHeight="1">
      <c r="A224" s="40" t="s">
        <v>128</v>
      </c>
      <c r="B224" s="40" t="s">
        <v>692</v>
      </c>
      <c r="C224" s="40">
        <v>103038</v>
      </c>
      <c r="D224" s="40" t="s">
        <v>693</v>
      </c>
      <c r="E224" s="40" t="s">
        <v>37</v>
      </c>
      <c r="F224" s="40" t="s">
        <v>26</v>
      </c>
      <c r="G224" s="40" t="s">
        <v>307</v>
      </c>
      <c r="H224" s="40" t="s">
        <v>224</v>
      </c>
      <c r="I224" s="40" t="s">
        <v>151</v>
      </c>
      <c r="J224" s="40"/>
      <c r="K224" s="40"/>
      <c r="L224" s="40"/>
      <c r="M224" s="40"/>
      <c r="N224" s="40"/>
      <c r="O224" s="40"/>
      <c r="P224" s="40"/>
      <c r="Q224" s="40"/>
      <c r="R224" s="40" t="s">
        <v>690</v>
      </c>
      <c r="S224" s="40" t="s">
        <v>371</v>
      </c>
      <c r="T224" s="40" t="s">
        <v>132</v>
      </c>
      <c r="U224" s="40" t="s">
        <v>691</v>
      </c>
      <c r="V224" s="40" t="s">
        <v>226</v>
      </c>
      <c r="W224" s="40" t="s">
        <v>154</v>
      </c>
      <c r="X224" s="40" t="s">
        <v>536</v>
      </c>
      <c r="Y224" s="40"/>
      <c r="Z224" s="40"/>
      <c r="AA224" s="40" t="s">
        <v>217</v>
      </c>
      <c r="AB224" s="53">
        <v>45950.624305555553</v>
      </c>
      <c r="AC224" s="40" t="s">
        <v>329</v>
      </c>
      <c r="AD224" s="40"/>
      <c r="AE224" s="40"/>
      <c r="AF224" s="40"/>
      <c r="AG224" s="40" t="s">
        <v>135</v>
      </c>
      <c r="AH224" s="10" t="s">
        <v>159</v>
      </c>
      <c r="AI224" s="87"/>
      <c r="AJ224" s="87" cm="1">
        <f t="array" ref="AJ224">IFERROR(_xlfn.XLOOKUP(TRUE,COUNTIF(Tabla[[#This Row],[Etiquetas]:[Etiquetas17]],Versiones!$G$2:$G$36)&gt;0,Versiones!$B$2:$B$36), "")</f>
        <v>21</v>
      </c>
      <c r="AK224" s="87" t="str" cm="1">
        <f t="array" ref="AK224">IFERROR(_xlfn.XLOOKUP(TRUE,COUNTIF(Tabla[[#This Row],[Etiquetas]:[Etiquetas17]],Versiones!$G$2:$G$36)&gt;0,Versiones!$A$2:$A$36), "")</f>
        <v>V0.9</v>
      </c>
      <c r="AL22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24" s="78">
        <f>IFERROR(_xlfn.XLOOKUP(Tabla[[#This Row],[¿En qué versión fue corregido?]],Versiones!$A$2:$A$34,Versiones!$B$2:$B$34),"No encontrado")</f>
        <v>24</v>
      </c>
      <c r="AN224" s="88" t="str" cm="1">
        <f t="array" ref="AN224">IFERROR(_xlfn.XLOOKUP(TRUE,COUNTIF(Tabla[[#This Row],[Etiquetas]:[Etiquetas17]],Categorías!$A$2:$A$12)&gt;0,Categorías!$A$2:$A$12),"No encontrado")</f>
        <v>Look&amp;Feel</v>
      </c>
      <c r="AO224" s="87" t="str" cm="1">
        <f t="array" ref="AO224">IFERROR(INDEX(Funcionalidades!$A$2:$A$80,MATCH(TRUE, COUNTIF(Reporte_Gral!R224:Z224,Funcionalidades!$A$2:$A$80)&gt;0,0)),"No encontrado")</f>
        <v>Bugs-Idioma</v>
      </c>
      <c r="AP224" s="87" t="str">
        <f>IF(AND(COUNTIF(Tabla[[#This Row],[Etiquetas]:[Etiquetas17]],"*UAT_V*")&gt;0,COUNTIF(Tabla[[#This Row],[Etiquetas]:[Etiquetas17]],"*QA-Integración*")=0),"SI","")</f>
        <v/>
      </c>
      <c r="AQ224" s="88" t="str" cm="1">
        <f t="array" ref="AQ224">IF(Tabla[[#This Row],[Fue encontrado durante UAT?]]="SI",IFERROR(_xlfn.XLOOKUP(TRUE,ISNUMBER(SEARCH("UAT_V",Tabla[[#This Row],[Etiquetas]:[Etiquetas17]])),Tabla[[#This Row],[Etiquetas]:[Etiquetas17]]),""),"")</f>
        <v/>
      </c>
      <c r="AR224" s="87" t="str">
        <f>IF(COUNTIF(Tabla[[#This Row],[Etiquetas]:[Etiquetas17]],"*Devuelto*")&gt;0,"SI","")</f>
        <v/>
      </c>
      <c r="AS224" s="167">
        <f>COUNTIF(Tabla[[#This Row],[Etiquetas]:[Etiquetas17]],"*Devuelto*")</f>
        <v>0</v>
      </c>
    </row>
    <row r="225" spans="1:45" ht="15" customHeight="1">
      <c r="A225" s="40" t="s">
        <v>128</v>
      </c>
      <c r="B225" s="40" t="s">
        <v>694</v>
      </c>
      <c r="C225" s="40">
        <v>102710</v>
      </c>
      <c r="D225" s="40" t="s">
        <v>695</v>
      </c>
      <c r="E225" s="40" t="s">
        <v>37</v>
      </c>
      <c r="F225" s="40" t="s">
        <v>27</v>
      </c>
      <c r="G225" s="40" t="s">
        <v>637</v>
      </c>
      <c r="H225" s="40" t="s">
        <v>561</v>
      </c>
      <c r="I225" s="40" t="s">
        <v>429</v>
      </c>
      <c r="J225" s="40" t="s">
        <v>307</v>
      </c>
      <c r="K225" s="40" t="s">
        <v>224</v>
      </c>
      <c r="L225" s="40" t="s">
        <v>151</v>
      </c>
      <c r="M225" s="40"/>
      <c r="N225" s="40"/>
      <c r="O225" s="40"/>
      <c r="P225" s="40"/>
      <c r="Q225" s="40"/>
      <c r="R225" s="40" t="s">
        <v>506</v>
      </c>
      <c r="S225" s="40" t="s">
        <v>132</v>
      </c>
      <c r="T225" s="40" t="s">
        <v>691</v>
      </c>
      <c r="U225" s="40" t="s">
        <v>226</v>
      </c>
      <c r="V225" s="40" t="s">
        <v>154</v>
      </c>
      <c r="W225" s="40" t="s">
        <v>188</v>
      </c>
      <c r="X225" s="40"/>
      <c r="Y225" s="40"/>
      <c r="Z225" s="40"/>
      <c r="AA225" s="40" t="s">
        <v>261</v>
      </c>
      <c r="AB225" s="53">
        <v>45947.709027777775</v>
      </c>
      <c r="AC225" s="40"/>
      <c r="AD225" s="40"/>
      <c r="AE225" s="40"/>
      <c r="AF225" s="40"/>
      <c r="AG225" s="40" t="s">
        <v>135</v>
      </c>
      <c r="AH225" s="10" t="s">
        <v>159</v>
      </c>
      <c r="AI225" s="87"/>
      <c r="AJ225" s="87" cm="1">
        <f t="array" ref="AJ225">IFERROR(_xlfn.XLOOKUP(TRUE,COUNTIF(Tabla[[#This Row],[Etiquetas]:[Etiquetas17]],Versiones!$G$2:$G$36)&gt;0,Versiones!$B$2:$B$36), "")</f>
        <v>21</v>
      </c>
      <c r="AK225" s="87" t="str" cm="1">
        <f t="array" ref="AK225">IFERROR(_xlfn.XLOOKUP(TRUE,COUNTIF(Tabla[[#This Row],[Etiquetas]:[Etiquetas17]],Versiones!$G$2:$G$36)&gt;0,Versiones!$A$2:$A$36), "")</f>
        <v>V0.9</v>
      </c>
      <c r="AL22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25" s="78" t="str">
        <f>IFERROR(_xlfn.XLOOKUP(Tabla[[#This Row],[¿En qué versión fue corregido?]],Versiones!$A$2:$A$34,Versiones!$B$2:$B$34),"No encontrado")</f>
        <v>No encontrado</v>
      </c>
      <c r="AN225" s="88" t="str" cm="1">
        <f t="array" ref="AN225">IFERROR(_xlfn.XLOOKUP(TRUE,COUNTIF(Tabla[[#This Row],[Etiquetas]:[Etiquetas17]],Categorías!$A$2:$A$12)&gt;0,Categorías!$A$2:$A$12),"No encontrado")</f>
        <v>Look&amp;Feel</v>
      </c>
      <c r="AO225" s="88" t="str" cm="1">
        <f t="array" ref="AO225">IFERROR(INDEX(Funcionalidades!$A$2:$A$80,MATCH(TRUE, COUNTIF(Reporte_Gral!R225:Z225,Funcionalidades!$A$2:$A$80)&gt;0,0)),"No encontrado")</f>
        <v>Imprimir-Ticket</v>
      </c>
      <c r="AP225" s="87" t="str">
        <f>IF(AND(COUNTIF(Tabla[[#This Row],[Etiquetas]:[Etiquetas17]],"*UAT_V*")&gt;0,COUNTIF(Tabla[[#This Row],[Etiquetas]:[Etiquetas17]],"*QA-Integración*")=0),"SI","")</f>
        <v/>
      </c>
      <c r="AQ225" s="88" t="str" cm="1">
        <f t="array" ref="AQ225">IF(Tabla[[#This Row],[Fue encontrado durante UAT?]]="SI",IFERROR(_xlfn.XLOOKUP(TRUE,ISNUMBER(SEARCH("UAT_V",Tabla[[#This Row],[Etiquetas]:[Etiquetas17]])),Tabla[[#This Row],[Etiquetas]:[Etiquetas17]]),""),"")</f>
        <v/>
      </c>
      <c r="AR225" s="87" t="str">
        <f>IF(COUNTIF(Tabla[[#This Row],[Etiquetas]:[Etiquetas17]],"*Devuelto*")&gt;0,"SI","")</f>
        <v/>
      </c>
      <c r="AS225" s="167">
        <f>COUNTIF(Tabla[[#This Row],[Etiquetas]:[Etiquetas17]],"*Devuelto*")</f>
        <v>0</v>
      </c>
    </row>
    <row r="226" spans="1:45" ht="15" customHeight="1">
      <c r="A226" s="40" t="s">
        <v>128</v>
      </c>
      <c r="B226" s="40" t="s">
        <v>696</v>
      </c>
      <c r="C226" s="40">
        <v>102674</v>
      </c>
      <c r="D226" s="40" t="s">
        <v>697</v>
      </c>
      <c r="E226" s="40" t="s">
        <v>37</v>
      </c>
      <c r="F226" s="40" t="s">
        <v>27</v>
      </c>
      <c r="G226" s="40" t="s">
        <v>637</v>
      </c>
      <c r="H226" s="40" t="s">
        <v>561</v>
      </c>
      <c r="I226" s="40" t="s">
        <v>429</v>
      </c>
      <c r="J226" s="40" t="s">
        <v>307</v>
      </c>
      <c r="K226" s="40"/>
      <c r="L226" s="40"/>
      <c r="M226" s="40"/>
      <c r="N226" s="40"/>
      <c r="O226" s="40"/>
      <c r="P226" s="40"/>
      <c r="Q226" s="40"/>
      <c r="R226" s="40" t="s">
        <v>698</v>
      </c>
      <c r="S226" s="40" t="s">
        <v>234</v>
      </c>
      <c r="T226" s="40" t="s">
        <v>139</v>
      </c>
      <c r="U226" s="40" t="s">
        <v>691</v>
      </c>
      <c r="V226" s="40" t="s">
        <v>188</v>
      </c>
      <c r="W226" s="40" t="s">
        <v>536</v>
      </c>
      <c r="X226" s="40"/>
      <c r="Y226" s="40"/>
      <c r="Z226" s="40"/>
      <c r="AA226" s="40" t="s">
        <v>217</v>
      </c>
      <c r="AB226" s="53">
        <v>45947.628472222219</v>
      </c>
      <c r="AC226" s="40"/>
      <c r="AD226" s="40"/>
      <c r="AE226" s="40"/>
      <c r="AF226" s="40"/>
      <c r="AG226" s="40" t="s">
        <v>141</v>
      </c>
      <c r="AH226" s="10" t="s">
        <v>159</v>
      </c>
      <c r="AI226" s="87"/>
      <c r="AJ226" s="87" cm="1">
        <f t="array" ref="AJ226">IFERROR(_xlfn.XLOOKUP(TRUE,COUNTIF(Tabla[[#This Row],[Etiquetas]:[Etiquetas17]],Versiones!$G$2:$G$36)&gt;0,Versiones!$B$2:$B$36), "")</f>
        <v>21</v>
      </c>
      <c r="AK226" s="87" t="str" cm="1">
        <f t="array" ref="AK226">IFERROR(_xlfn.XLOOKUP(TRUE,COUNTIF(Tabla[[#This Row],[Etiquetas]:[Etiquetas17]],Versiones!$G$2:$G$36)&gt;0,Versiones!$A$2:$A$36), "")</f>
        <v>V0.9</v>
      </c>
      <c r="AL22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26" s="78" t="str">
        <f>IFERROR(_xlfn.XLOOKUP(Tabla[[#This Row],[¿En qué versión fue corregido?]],Versiones!$A$2:$A$34,Versiones!$B$2:$B$34),"No encontrado")</f>
        <v>No encontrado</v>
      </c>
      <c r="AN226" s="88" t="str" cm="1">
        <f t="array" ref="AN226">IFERROR(_xlfn.XLOOKUP(TRUE,COUNTIF(Tabla[[#This Row],[Etiquetas]:[Etiquetas17]],Categorías!$A$2:$A$12)&gt;0,Categorías!$A$2:$A$12),"No encontrado")</f>
        <v>Funcional</v>
      </c>
      <c r="AO226" s="87" t="str" cm="1">
        <f t="array" ref="AO226">IFERROR(INDEX(Funcionalidades!$A$2:$A$80,MATCH(TRUE, COUNTIF(Reporte_Gral!R226:Z226,Funcionalidades!$A$2:$A$80)&gt;0,0)),"No encontrado")</f>
        <v>Dashboard-Productos</v>
      </c>
      <c r="AP226" s="87" t="str">
        <f>IF(AND(COUNTIF(Tabla[[#This Row],[Etiquetas]:[Etiquetas17]],"*UAT_V*")&gt;0,COUNTIF(Tabla[[#This Row],[Etiquetas]:[Etiquetas17]],"*QA-Integración*")=0),"SI","")</f>
        <v/>
      </c>
      <c r="AQ226" s="88" t="str" cm="1">
        <f t="array" ref="AQ226">IF(Tabla[[#This Row],[Fue encontrado durante UAT?]]="SI",IFERROR(_xlfn.XLOOKUP(TRUE,ISNUMBER(SEARCH("UAT_V",Tabla[[#This Row],[Etiquetas]:[Etiquetas17]])),Tabla[[#This Row],[Etiquetas]:[Etiquetas17]]),""),"")</f>
        <v/>
      </c>
      <c r="AR226" s="87" t="str">
        <f>IF(COUNTIF(Tabla[[#This Row],[Etiquetas]:[Etiquetas17]],"*Devuelto*")&gt;0,"SI","")</f>
        <v>SI</v>
      </c>
      <c r="AS226" s="167">
        <f>COUNTIF(Tabla[[#This Row],[Etiquetas]:[Etiquetas17]],"*Devuelto*")</f>
        <v>1</v>
      </c>
    </row>
    <row r="227" spans="1:45" ht="15" customHeight="1">
      <c r="A227" s="40" t="s">
        <v>128</v>
      </c>
      <c r="B227" s="40" t="s">
        <v>699</v>
      </c>
      <c r="C227" s="40">
        <v>102586</v>
      </c>
      <c r="D227" s="40" t="s">
        <v>700</v>
      </c>
      <c r="E227" s="40" t="s">
        <v>37</v>
      </c>
      <c r="F227" s="40" t="s">
        <v>26</v>
      </c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 t="s">
        <v>690</v>
      </c>
      <c r="S227" s="40" t="s">
        <v>371</v>
      </c>
      <c r="T227" s="40" t="s">
        <v>132</v>
      </c>
      <c r="U227" s="40" t="s">
        <v>691</v>
      </c>
      <c r="V227" s="40" t="s">
        <v>536</v>
      </c>
      <c r="W227" s="40"/>
      <c r="X227" s="40"/>
      <c r="Y227" s="40"/>
      <c r="Z227" s="40"/>
      <c r="AA227" s="40" t="s">
        <v>217</v>
      </c>
      <c r="AB227" s="53">
        <v>45947.398611111108</v>
      </c>
      <c r="AC227" s="40"/>
      <c r="AD227" s="40"/>
      <c r="AE227" s="40"/>
      <c r="AF227" s="40"/>
      <c r="AG227" s="40" t="s">
        <v>135</v>
      </c>
      <c r="AH227" s="10" t="s">
        <v>159</v>
      </c>
      <c r="AI227" s="87"/>
      <c r="AJ227" s="87" cm="1">
        <f t="array" ref="AJ227">IFERROR(_xlfn.XLOOKUP(TRUE,COUNTIF(Tabla[[#This Row],[Etiquetas]:[Etiquetas17]],Versiones!$G$2:$G$36)&gt;0,Versiones!$B$2:$B$36), "")</f>
        <v>21</v>
      </c>
      <c r="AK227" s="87" t="str" cm="1">
        <f t="array" ref="AK227">IFERROR(_xlfn.XLOOKUP(TRUE,COUNTIF(Tabla[[#This Row],[Etiquetas]:[Etiquetas17]],Versiones!$G$2:$G$36)&gt;0,Versiones!$A$2:$A$36), "")</f>
        <v>V0.9</v>
      </c>
      <c r="AL22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27" s="78" t="str">
        <f>IFERROR(_xlfn.XLOOKUP(Tabla[[#This Row],[¿En qué versión fue corregido?]],Versiones!$A$2:$A$34,Versiones!$B$2:$B$34),"No encontrado")</f>
        <v>No encontrado</v>
      </c>
      <c r="AN227" s="88" t="str" cm="1">
        <f t="array" ref="AN227">IFERROR(_xlfn.XLOOKUP(TRUE,COUNTIF(Tabla[[#This Row],[Etiquetas]:[Etiquetas17]],Categorías!$A$2:$A$12)&gt;0,Categorías!$A$2:$A$12),"No encontrado")</f>
        <v>Look&amp;Feel</v>
      </c>
      <c r="AO227" s="87" t="str" cm="1">
        <f t="array" ref="AO227">IFERROR(INDEX(Funcionalidades!$A$2:$A$80,MATCH(TRUE, COUNTIF(Reporte_Gral!R227:Z227,Funcionalidades!$A$2:$A$80)&gt;0,0)),"No encontrado")</f>
        <v>Bugs-Idioma</v>
      </c>
      <c r="AP227" s="87" t="str">
        <f>IF(AND(COUNTIF(Tabla[[#This Row],[Etiquetas]:[Etiquetas17]],"*UAT_V*")&gt;0,COUNTIF(Tabla[[#This Row],[Etiquetas]:[Etiquetas17]],"*QA-Integración*")=0),"SI","")</f>
        <v/>
      </c>
      <c r="AQ227" s="88" t="str" cm="1">
        <f t="array" ref="AQ227">IF(Tabla[[#This Row],[Fue encontrado durante UAT?]]="SI",IFERROR(_xlfn.XLOOKUP(TRUE,ISNUMBER(SEARCH("UAT_V",Tabla[[#This Row],[Etiquetas]:[Etiquetas17]])),Tabla[[#This Row],[Etiquetas]:[Etiquetas17]]),""),"")</f>
        <v/>
      </c>
      <c r="AR227" s="87" t="str">
        <f>IF(COUNTIF(Tabla[[#This Row],[Etiquetas]:[Etiquetas17]],"*Devuelto*")&gt;0,"SI","")</f>
        <v/>
      </c>
      <c r="AS227" s="167">
        <f>COUNTIF(Tabla[[#This Row],[Etiquetas]:[Etiquetas17]],"*Devuelto*")</f>
        <v>0</v>
      </c>
    </row>
    <row r="228" spans="1:45" ht="15" customHeight="1">
      <c r="A228" s="40" t="s">
        <v>128</v>
      </c>
      <c r="B228" s="40" t="s">
        <v>701</v>
      </c>
      <c r="C228" s="40">
        <v>102584</v>
      </c>
      <c r="D228" s="40" t="s">
        <v>702</v>
      </c>
      <c r="E228" s="40" t="s">
        <v>37</v>
      </c>
      <c r="F228" s="40" t="s">
        <v>26</v>
      </c>
      <c r="G228" s="40" t="s">
        <v>307</v>
      </c>
      <c r="H228" s="40" t="s">
        <v>224</v>
      </c>
      <c r="I228" s="40" t="s">
        <v>151</v>
      </c>
      <c r="J228" s="40"/>
      <c r="K228" s="40"/>
      <c r="L228" s="40"/>
      <c r="M228" s="40"/>
      <c r="N228" s="40"/>
      <c r="O228" s="40"/>
      <c r="P228" s="40"/>
      <c r="Q228" s="40"/>
      <c r="R228" s="40" t="s">
        <v>690</v>
      </c>
      <c r="S228" s="40" t="s">
        <v>132</v>
      </c>
      <c r="T228" s="40" t="s">
        <v>691</v>
      </c>
      <c r="U228" s="40" t="s">
        <v>226</v>
      </c>
      <c r="V228" s="40" t="s">
        <v>154</v>
      </c>
      <c r="W228" s="40" t="s">
        <v>536</v>
      </c>
      <c r="X228" s="40"/>
      <c r="Y228" s="40"/>
      <c r="Z228" s="40"/>
      <c r="AA228" s="40" t="s">
        <v>217</v>
      </c>
      <c r="AB228" s="53">
        <v>45947.382638888892</v>
      </c>
      <c r="AC228" s="40" t="s">
        <v>329</v>
      </c>
      <c r="AD228" s="40"/>
      <c r="AE228" s="40"/>
      <c r="AF228" s="40"/>
      <c r="AG228" s="40" t="s">
        <v>135</v>
      </c>
      <c r="AH228" s="10" t="s">
        <v>159</v>
      </c>
      <c r="AI228" s="87"/>
      <c r="AJ228" s="87" cm="1">
        <f t="array" ref="AJ228">IFERROR(_xlfn.XLOOKUP(TRUE,COUNTIF(Tabla[[#This Row],[Etiquetas]:[Etiquetas17]],Versiones!$G$2:$G$36)&gt;0,Versiones!$B$2:$B$36), "")</f>
        <v>21</v>
      </c>
      <c r="AK228" s="87" t="str" cm="1">
        <f t="array" ref="AK228">IFERROR(_xlfn.XLOOKUP(TRUE,COUNTIF(Tabla[[#This Row],[Etiquetas]:[Etiquetas17]],Versiones!$G$2:$G$36)&gt;0,Versiones!$A$2:$A$36), "")</f>
        <v>V0.9</v>
      </c>
      <c r="AL22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28" s="78">
        <f>IFERROR(_xlfn.XLOOKUP(Tabla[[#This Row],[¿En qué versión fue corregido?]],Versiones!$A$2:$A$34,Versiones!$B$2:$B$34),"No encontrado")</f>
        <v>24</v>
      </c>
      <c r="AN228" s="88" t="str" cm="1">
        <f t="array" ref="AN228">IFERROR(_xlfn.XLOOKUP(TRUE,COUNTIF(Tabla[[#This Row],[Etiquetas]:[Etiquetas17]],Categorías!$A$2:$A$12)&gt;0,Categorías!$A$2:$A$12),"No encontrado")</f>
        <v>Look&amp;Feel</v>
      </c>
      <c r="AO228" s="87" t="str" cm="1">
        <f t="array" ref="AO228">IFERROR(INDEX(Funcionalidades!$A$2:$A$80,MATCH(TRUE, COUNTIF(Reporte_Gral!R228:Z228,Funcionalidades!$A$2:$A$80)&gt;0,0)),"No encontrado")</f>
        <v>Bugs-Idioma</v>
      </c>
      <c r="AP228" s="87" t="str">
        <f>IF(AND(COUNTIF(Tabla[[#This Row],[Etiquetas]:[Etiquetas17]],"*UAT_V*")&gt;0,COUNTIF(Tabla[[#This Row],[Etiquetas]:[Etiquetas17]],"*QA-Integración*")=0),"SI","")</f>
        <v/>
      </c>
      <c r="AQ228" s="88" t="str" cm="1">
        <f t="array" ref="AQ228">IF(Tabla[[#This Row],[Fue encontrado durante UAT?]]="SI",IFERROR(_xlfn.XLOOKUP(TRUE,ISNUMBER(SEARCH("UAT_V",Tabla[[#This Row],[Etiquetas]:[Etiquetas17]])),Tabla[[#This Row],[Etiquetas]:[Etiquetas17]]),""),"")</f>
        <v/>
      </c>
      <c r="AR228" s="87" t="str">
        <f>IF(COUNTIF(Tabla[[#This Row],[Etiquetas]:[Etiquetas17]],"*Devuelto*")&gt;0,"SI","")</f>
        <v/>
      </c>
      <c r="AS228" s="167">
        <f>COUNTIF(Tabla[[#This Row],[Etiquetas]:[Etiquetas17]],"*Devuelto*")</f>
        <v>0</v>
      </c>
    </row>
    <row r="229" spans="1:45" ht="15" customHeight="1">
      <c r="A229" s="40" t="s">
        <v>128</v>
      </c>
      <c r="B229" s="40" t="s">
        <v>703</v>
      </c>
      <c r="C229" s="40">
        <v>102295</v>
      </c>
      <c r="D229" s="40" t="s">
        <v>704</v>
      </c>
      <c r="E229" s="40" t="s">
        <v>37</v>
      </c>
      <c r="F229" s="40" t="s">
        <v>26</v>
      </c>
      <c r="G229" s="40" t="s">
        <v>307</v>
      </c>
      <c r="H229" s="40" t="s">
        <v>224</v>
      </c>
      <c r="I229" s="40" t="s">
        <v>151</v>
      </c>
      <c r="J229" s="40"/>
      <c r="K229" s="40"/>
      <c r="L229" s="40"/>
      <c r="M229" s="40"/>
      <c r="N229" s="40"/>
      <c r="O229" s="40"/>
      <c r="P229" s="40"/>
      <c r="Q229" s="40"/>
      <c r="R229" s="40" t="s">
        <v>690</v>
      </c>
      <c r="S229" s="40" t="s">
        <v>132</v>
      </c>
      <c r="T229" s="40" t="s">
        <v>691</v>
      </c>
      <c r="U229" s="40" t="s">
        <v>204</v>
      </c>
      <c r="V229" s="40" t="s">
        <v>154</v>
      </c>
      <c r="W229" s="40" t="s">
        <v>634</v>
      </c>
      <c r="X229" s="40"/>
      <c r="Y229" s="40"/>
      <c r="Z229" s="40"/>
      <c r="AA229" s="40" t="s">
        <v>217</v>
      </c>
      <c r="AB229" s="53">
        <v>45946.556944444441</v>
      </c>
      <c r="AC229" s="40" t="s">
        <v>329</v>
      </c>
      <c r="AD229" s="40"/>
      <c r="AE229" s="40"/>
      <c r="AF229" s="40"/>
      <c r="AG229" s="40" t="s">
        <v>141</v>
      </c>
      <c r="AH229" s="10" t="s">
        <v>159</v>
      </c>
      <c r="AI229" s="87"/>
      <c r="AJ229" s="87" cm="1">
        <f t="array" ref="AJ229">IFERROR(_xlfn.XLOOKUP(TRUE,COUNTIF(Tabla[[#This Row],[Etiquetas]:[Etiquetas17]],Versiones!$G$2:$G$36)&gt;0,Versiones!$B$2:$B$36), "")</f>
        <v>21</v>
      </c>
      <c r="AK229" s="87" t="str" cm="1">
        <f t="array" ref="AK229">IFERROR(_xlfn.XLOOKUP(TRUE,COUNTIF(Tabla[[#This Row],[Etiquetas]:[Etiquetas17]],Versiones!$G$2:$G$36)&gt;0,Versiones!$A$2:$A$36), "")</f>
        <v>V0.9</v>
      </c>
      <c r="AL22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29" s="78">
        <f>IFERROR(_xlfn.XLOOKUP(Tabla[[#This Row],[¿En qué versión fue corregido?]],Versiones!$A$2:$A$34,Versiones!$B$2:$B$34),"No encontrado")</f>
        <v>24</v>
      </c>
      <c r="AN229" s="88" t="str" cm="1">
        <f t="array" ref="AN229">IFERROR(_xlfn.XLOOKUP(TRUE,COUNTIF(Tabla[[#This Row],[Etiquetas]:[Etiquetas17]],Categorías!$A$2:$A$12)&gt;0,Categorías!$A$2:$A$12),"No encontrado")</f>
        <v>Look&amp;Feel</v>
      </c>
      <c r="AO229" s="88" t="str" cm="1">
        <f t="array" ref="AO229">IFERROR(INDEX(Funcionalidades!$A$2:$A$80,MATCH(TRUE, COUNTIF(Reporte_Gral!R229:Z229,Funcionalidades!$A$2:$A$80)&gt;0,0)),"No encontrado")</f>
        <v>Bugs-Idioma</v>
      </c>
      <c r="AP229" s="87" t="str">
        <f>IF(AND(COUNTIF(Tabla[[#This Row],[Etiquetas]:[Etiquetas17]],"*UAT_V*")&gt;0,COUNTIF(Tabla[[#This Row],[Etiquetas]:[Etiquetas17]],"*QA-Integración*")=0),"SI","")</f>
        <v/>
      </c>
      <c r="AQ229" s="88" t="str" cm="1">
        <f t="array" ref="AQ229">IF(Tabla[[#This Row],[Fue encontrado durante UAT?]]="SI",IFERROR(_xlfn.XLOOKUP(TRUE,ISNUMBER(SEARCH("UAT_V",Tabla[[#This Row],[Etiquetas]:[Etiquetas17]])),Tabla[[#This Row],[Etiquetas]:[Etiquetas17]]),""),"")</f>
        <v/>
      </c>
      <c r="AR229" s="87" t="str">
        <f>IF(COUNTIF(Tabla[[#This Row],[Etiquetas]:[Etiquetas17]],"*Devuelto*")&gt;0,"SI","")</f>
        <v/>
      </c>
      <c r="AS229" s="167">
        <f>COUNTIF(Tabla[[#This Row],[Etiquetas]:[Etiquetas17]],"*Devuelto*")</f>
        <v>0</v>
      </c>
    </row>
    <row r="230" spans="1:45" ht="15" customHeight="1">
      <c r="A230" s="40" t="s">
        <v>128</v>
      </c>
      <c r="B230" s="40" t="s">
        <v>705</v>
      </c>
      <c r="C230" s="40">
        <v>99976</v>
      </c>
      <c r="D230" s="40" t="s">
        <v>706</v>
      </c>
      <c r="E230" s="40" t="s">
        <v>36</v>
      </c>
      <c r="F230" s="40" t="s">
        <v>26</v>
      </c>
      <c r="G230" s="40" t="s">
        <v>637</v>
      </c>
      <c r="H230" s="40" t="s">
        <v>561</v>
      </c>
      <c r="I230" s="40" t="s">
        <v>429</v>
      </c>
      <c r="J230" s="40" t="s">
        <v>307</v>
      </c>
      <c r="K230" s="40" t="s">
        <v>224</v>
      </c>
      <c r="L230" s="40" t="s">
        <v>151</v>
      </c>
      <c r="M230" s="40"/>
      <c r="N230" s="40"/>
      <c r="O230" s="40"/>
      <c r="P230" s="40"/>
      <c r="Q230" s="40"/>
      <c r="R230" s="40" t="s">
        <v>139</v>
      </c>
      <c r="S230" s="40" t="s">
        <v>598</v>
      </c>
      <c r="T230" s="40" t="s">
        <v>629</v>
      </c>
      <c r="U230" s="40" t="s">
        <v>204</v>
      </c>
      <c r="V230" s="40" t="s">
        <v>154</v>
      </c>
      <c r="W230" s="40"/>
      <c r="X230" s="40"/>
      <c r="Y230" s="40"/>
      <c r="Z230" s="40"/>
      <c r="AA230" s="40" t="s">
        <v>217</v>
      </c>
      <c r="AB230" s="53">
        <v>45937.668749999997</v>
      </c>
      <c r="AC230" s="40" t="s">
        <v>675</v>
      </c>
      <c r="AD230" s="40" t="s">
        <v>329</v>
      </c>
      <c r="AE230" s="40"/>
      <c r="AF230" s="40"/>
      <c r="AG230" s="40" t="s">
        <v>141</v>
      </c>
      <c r="AH230" s="10" t="s">
        <v>159</v>
      </c>
      <c r="AI230" s="87"/>
      <c r="AJ230" s="87" cm="1">
        <f t="array" ref="AJ230">IFERROR(_xlfn.XLOOKUP(TRUE,COUNTIF(Tabla[[#This Row],[Etiquetas]:[Etiquetas17]],Versiones!$G$2:$G$36)&gt;0,Versiones!$B$2:$B$36), "")</f>
        <v>22</v>
      </c>
      <c r="AK230" s="87" t="str" cm="1">
        <f t="array" ref="AK230">IFERROR(_xlfn.XLOOKUP(TRUE,COUNTIF(Tabla[[#This Row],[Etiquetas]:[Etiquetas17]],Versiones!$G$2:$G$36)&gt;0,Versiones!$A$2:$A$36), "")</f>
        <v>V0.10.1</v>
      </c>
      <c r="AL23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30" s="78">
        <f>IFERROR(_xlfn.XLOOKUP(Tabla[[#This Row],[¿En qué versión fue corregido?]],Versiones!$A$2:$A$34,Versiones!$B$2:$B$34),"No encontrado")</f>
        <v>24</v>
      </c>
      <c r="AN230" s="88" t="str" cm="1">
        <f t="array" ref="AN230">IFERROR(_xlfn.XLOOKUP(TRUE,COUNTIF(Tabla[[#This Row],[Etiquetas]:[Etiquetas17]],Categorías!$A$2:$A$12)&gt;0,Categorías!$A$2:$A$12),"No encontrado")</f>
        <v>Funcional</v>
      </c>
      <c r="AO230" s="88" t="str" cm="1">
        <f t="array" ref="AO230">IFERROR(INDEX(Funcionalidades!$A$2:$A$80,MATCH(TRUE, COUNTIF(Reporte_Gral!R230:Z230,Funcionalidades!$A$2:$A$80)&gt;0,0)),"No encontrado")</f>
        <v>Logout</v>
      </c>
      <c r="AP230" s="87" t="str">
        <f>IF(AND(COUNTIF(Tabla[[#This Row],[Etiquetas]:[Etiquetas17]],"*UAT_V*")&gt;0,COUNTIF(Tabla[[#This Row],[Etiquetas]:[Etiquetas17]],"*QA-Integración*")=0),"SI","")</f>
        <v/>
      </c>
      <c r="AQ230" s="88" t="str" cm="1">
        <f t="array" ref="AQ230">IF(Tabla[[#This Row],[Fue encontrado durante UAT?]]="SI",IFERROR(_xlfn.XLOOKUP(TRUE,ISNUMBER(SEARCH("UAT_V",Tabla[[#This Row],[Etiquetas]:[Etiquetas17]])),Tabla[[#This Row],[Etiquetas]:[Etiquetas17]]),""),"")</f>
        <v/>
      </c>
      <c r="AR230" s="87" t="str">
        <f>IF(COUNTIF(Tabla[[#This Row],[Etiquetas]:[Etiquetas17]],"*Devuelto*")&gt;0,"SI","")</f>
        <v/>
      </c>
      <c r="AS230" s="167">
        <f>COUNTIF(Tabla[[#This Row],[Etiquetas]:[Etiquetas17]],"*Devuelto*")</f>
        <v>0</v>
      </c>
    </row>
    <row r="231" spans="1:45" ht="15" customHeight="1">
      <c r="A231" s="40" t="s">
        <v>128</v>
      </c>
      <c r="B231" s="40" t="s">
        <v>707</v>
      </c>
      <c r="C231" s="40">
        <v>99972</v>
      </c>
      <c r="D231" s="40" t="s">
        <v>708</v>
      </c>
      <c r="E231" s="40" t="s">
        <v>36</v>
      </c>
      <c r="F231" s="40" t="s">
        <v>26</v>
      </c>
      <c r="G231" s="40" t="s">
        <v>637</v>
      </c>
      <c r="H231" s="40" t="s">
        <v>561</v>
      </c>
      <c r="I231" s="40" t="s">
        <v>429</v>
      </c>
      <c r="J231" s="40" t="s">
        <v>307</v>
      </c>
      <c r="K231" s="40" t="s">
        <v>224</v>
      </c>
      <c r="L231" s="40" t="s">
        <v>151</v>
      </c>
      <c r="M231" s="40"/>
      <c r="N231" s="40"/>
      <c r="O231" s="40"/>
      <c r="P231" s="40"/>
      <c r="Q231" s="40"/>
      <c r="R231" s="40" t="s">
        <v>287</v>
      </c>
      <c r="S231" s="40" t="s">
        <v>132</v>
      </c>
      <c r="T231" s="40" t="s">
        <v>225</v>
      </c>
      <c r="U231" s="40" t="s">
        <v>709</v>
      </c>
      <c r="V231" s="40" t="s">
        <v>226</v>
      </c>
      <c r="W231" s="40" t="s">
        <v>154</v>
      </c>
      <c r="X231" s="40"/>
      <c r="Y231" s="40"/>
      <c r="Z231" s="40"/>
      <c r="AA231" s="40" t="s">
        <v>134</v>
      </c>
      <c r="AB231" s="53">
        <v>45937.665277777778</v>
      </c>
      <c r="AC231" s="40" t="s">
        <v>675</v>
      </c>
      <c r="AD231" s="40" t="s">
        <v>710</v>
      </c>
      <c r="AE231" s="40"/>
      <c r="AF231" s="40"/>
      <c r="AG231" s="40" t="s">
        <v>135</v>
      </c>
      <c r="AH231" s="10" t="s">
        <v>159</v>
      </c>
      <c r="AI231" s="87"/>
      <c r="AJ231" s="87" cm="1">
        <f t="array" ref="AJ231">IFERROR(_xlfn.XLOOKUP(TRUE,COUNTIF(Tabla[[#This Row],[Etiquetas]:[Etiquetas17]],Versiones!$G$2:$G$36)&gt;0,Versiones!$B$2:$B$36), "")</f>
        <v>20</v>
      </c>
      <c r="AK231" s="87" t="str" cm="1">
        <f t="array" ref="AK231">IFERROR(_xlfn.XLOOKUP(TRUE,COUNTIF(Tabla[[#This Row],[Etiquetas]:[Etiquetas17]],Versiones!$G$2:$G$36)&gt;0,Versiones!$A$2:$A$36), "")</f>
        <v>V0.8</v>
      </c>
      <c r="AL23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31" s="78">
        <f>IFERROR(_xlfn.XLOOKUP(Tabla[[#This Row],[¿En qué versión fue corregido?]],Versiones!$A$2:$A$34,Versiones!$B$2:$B$34),"No encontrado")</f>
        <v>20</v>
      </c>
      <c r="AN231" s="88" t="str" cm="1">
        <f t="array" ref="AN231">IFERROR(_xlfn.XLOOKUP(TRUE,COUNTIF(Tabla[[#This Row],[Etiquetas]:[Etiquetas17]],Categorías!$A$2:$A$12)&gt;0,Categorías!$A$2:$A$12),"No encontrado")</f>
        <v>Look&amp;Feel</v>
      </c>
      <c r="AO231" s="88" t="str" cm="1">
        <f t="array" ref="AO231">IFERROR(INDEX(Funcionalidades!$A$2:$A$80,MATCH(TRUE, COUNTIF(Reporte_Gral!R231:Z231,Funcionalidades!$A$2:$A$80)&gt;0,0)),"No encontrado")</f>
        <v>Pago-Con-Tarjeta</v>
      </c>
      <c r="AP231" s="87" t="str">
        <f>IF(AND(COUNTIF(Tabla[[#This Row],[Etiquetas]:[Etiquetas17]],"*UAT_V*")&gt;0,COUNTIF(Tabla[[#This Row],[Etiquetas]:[Etiquetas17]],"*QA-Integración*")=0),"SI","")</f>
        <v/>
      </c>
      <c r="AQ231" s="88" t="str" cm="1">
        <f t="array" ref="AQ231">IF(Tabla[[#This Row],[Fue encontrado durante UAT?]]="SI",IFERROR(_xlfn.XLOOKUP(TRUE,ISNUMBER(SEARCH("UAT_V",Tabla[[#This Row],[Etiquetas]:[Etiquetas17]])),Tabla[[#This Row],[Etiquetas]:[Etiquetas17]]),""),"")</f>
        <v/>
      </c>
      <c r="AR231" s="87" t="str">
        <f>IF(COUNTIF(Tabla[[#This Row],[Etiquetas]:[Etiquetas17]],"*Devuelto*")&gt;0,"SI","")</f>
        <v/>
      </c>
      <c r="AS231" s="167">
        <f>COUNTIF(Tabla[[#This Row],[Etiquetas]:[Etiquetas17]],"*Devuelto*")</f>
        <v>0</v>
      </c>
    </row>
    <row r="232" spans="1:45" ht="15" customHeight="1">
      <c r="A232" s="40" t="s">
        <v>128</v>
      </c>
      <c r="B232" s="40" t="s">
        <v>711</v>
      </c>
      <c r="C232" s="40">
        <v>99963</v>
      </c>
      <c r="D232" s="40" t="s">
        <v>712</v>
      </c>
      <c r="E232" s="40" t="s">
        <v>36</v>
      </c>
      <c r="F232" s="40" t="s">
        <v>26</v>
      </c>
      <c r="G232" s="40" t="s">
        <v>637</v>
      </c>
      <c r="H232" s="40" t="s">
        <v>561</v>
      </c>
      <c r="I232" s="40" t="s">
        <v>429</v>
      </c>
      <c r="J232" s="40" t="s">
        <v>307</v>
      </c>
      <c r="K232" s="40" t="s">
        <v>224</v>
      </c>
      <c r="L232" s="40" t="s">
        <v>151</v>
      </c>
      <c r="M232" s="40"/>
      <c r="N232" s="40"/>
      <c r="O232" s="40"/>
      <c r="P232" s="40"/>
      <c r="Q232" s="40"/>
      <c r="R232" s="40" t="s">
        <v>287</v>
      </c>
      <c r="S232" s="40" t="s">
        <v>132</v>
      </c>
      <c r="T232" s="40" t="s">
        <v>535</v>
      </c>
      <c r="U232" s="40" t="s">
        <v>664</v>
      </c>
      <c r="V232" s="40" t="s">
        <v>226</v>
      </c>
      <c r="W232" s="40" t="s">
        <v>154</v>
      </c>
      <c r="X232" s="40"/>
      <c r="Y232" s="40"/>
      <c r="Z232" s="40"/>
      <c r="AA232" s="40" t="s">
        <v>134</v>
      </c>
      <c r="AB232" s="53">
        <v>45937.654166666667</v>
      </c>
      <c r="AC232" s="40" t="s">
        <v>710</v>
      </c>
      <c r="AD232" s="40"/>
      <c r="AE232" s="40"/>
      <c r="AF232" s="40"/>
      <c r="AG232" s="40" t="s">
        <v>135</v>
      </c>
      <c r="AH232" s="10" t="s">
        <v>159</v>
      </c>
      <c r="AI232" s="87"/>
      <c r="AJ232" s="87" cm="1">
        <f t="array" ref="AJ232">IFERROR(_xlfn.XLOOKUP(TRUE,COUNTIF(Tabla[[#This Row],[Etiquetas]:[Etiquetas17]],Versiones!$G$2:$G$36)&gt;0,Versiones!$B$2:$B$36), "")</f>
        <v>22</v>
      </c>
      <c r="AK232" s="87" t="str" cm="1">
        <f t="array" ref="AK232">IFERROR(_xlfn.XLOOKUP(TRUE,COUNTIF(Tabla[[#This Row],[Etiquetas]:[Etiquetas17]],Versiones!$G$2:$G$36)&gt;0,Versiones!$A$2:$A$36), "")</f>
        <v>V0.10</v>
      </c>
      <c r="AL23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32" s="78">
        <f>IFERROR(_xlfn.XLOOKUP(Tabla[[#This Row],[¿En qué versión fue corregido?]],Versiones!$A$2:$A$34,Versiones!$B$2:$B$34),"No encontrado")</f>
        <v>20</v>
      </c>
      <c r="AN232" s="88" t="str" cm="1">
        <f t="array" ref="AN232">IFERROR(_xlfn.XLOOKUP(TRUE,COUNTIF(Tabla[[#This Row],[Etiquetas]:[Etiquetas17]],Categorías!$A$2:$A$12)&gt;0,Categorías!$A$2:$A$12),"No encontrado")</f>
        <v>Look&amp;Feel</v>
      </c>
      <c r="AO232" s="88" t="str" cm="1">
        <f t="array" ref="AO232">IFERROR(INDEX(Funcionalidades!$A$2:$A$80,MATCH(TRUE, COUNTIF(Reporte_Gral!R232:Z232,Funcionalidades!$A$2:$A$80)&gt;0,0)),"No encontrado")</f>
        <v>Pago-En-Efectivo</v>
      </c>
      <c r="AP232" s="87" t="str">
        <f>IF(AND(COUNTIF(Tabla[[#This Row],[Etiquetas]:[Etiquetas17]],"*UAT_V*")&gt;0,COUNTIF(Tabla[[#This Row],[Etiquetas]:[Etiquetas17]],"*QA-Integración*")=0),"SI","")</f>
        <v/>
      </c>
      <c r="AQ232" s="88" t="str" cm="1">
        <f t="array" ref="AQ232">IF(Tabla[[#This Row],[Fue encontrado durante UAT?]]="SI",IFERROR(_xlfn.XLOOKUP(TRUE,ISNUMBER(SEARCH("UAT_V",Tabla[[#This Row],[Etiquetas]:[Etiquetas17]])),Tabla[[#This Row],[Etiquetas]:[Etiquetas17]]),""),"")</f>
        <v/>
      </c>
      <c r="AR232" s="87" t="str">
        <f>IF(COUNTIF(Tabla[[#This Row],[Etiquetas]:[Etiquetas17]],"*Devuelto*")&gt;0,"SI","")</f>
        <v/>
      </c>
      <c r="AS232" s="167">
        <f>COUNTIF(Tabla[[#This Row],[Etiquetas]:[Etiquetas17]],"*Devuelto*")</f>
        <v>0</v>
      </c>
    </row>
    <row r="233" spans="1:45" ht="15" customHeight="1">
      <c r="A233" s="40" t="s">
        <v>128</v>
      </c>
      <c r="B233" s="40" t="s">
        <v>713</v>
      </c>
      <c r="C233" s="40">
        <v>99800</v>
      </c>
      <c r="D233" s="40" t="s">
        <v>714</v>
      </c>
      <c r="E233" s="40" t="s">
        <v>41</v>
      </c>
      <c r="F233" s="40" t="s">
        <v>24</v>
      </c>
      <c r="G233" s="40" t="s">
        <v>637</v>
      </c>
      <c r="H233" s="40" t="s">
        <v>561</v>
      </c>
      <c r="I233" s="40" t="s">
        <v>429</v>
      </c>
      <c r="J233" s="40" t="s">
        <v>307</v>
      </c>
      <c r="K233" s="40" t="s">
        <v>224</v>
      </c>
      <c r="L233" s="40" t="s">
        <v>151</v>
      </c>
      <c r="M233" s="40"/>
      <c r="N233" s="40"/>
      <c r="O233" s="40"/>
      <c r="P233" s="40"/>
      <c r="Q233" s="40"/>
      <c r="R233" s="40" t="s">
        <v>579</v>
      </c>
      <c r="S233" s="40" t="s">
        <v>139</v>
      </c>
      <c r="T233" s="40" t="s">
        <v>371</v>
      </c>
      <c r="U233" s="40" t="s">
        <v>709</v>
      </c>
      <c r="V233" s="40" t="s">
        <v>366</v>
      </c>
      <c r="W233" s="40" t="s">
        <v>634</v>
      </c>
      <c r="X233" s="40"/>
      <c r="Y233" s="40"/>
      <c r="Z233" s="40"/>
      <c r="AA233" s="40" t="s">
        <v>217</v>
      </c>
      <c r="AB233" s="53">
        <v>45937.372916666667</v>
      </c>
      <c r="AC233" s="40"/>
      <c r="AD233" s="40"/>
      <c r="AE233" s="40"/>
      <c r="AF233" s="40"/>
      <c r="AG233" s="40" t="s">
        <v>141</v>
      </c>
      <c r="AH233" s="10" t="s">
        <v>142</v>
      </c>
      <c r="AI233" s="87"/>
      <c r="AJ233" s="87" cm="1">
        <f t="array" ref="AJ233">IFERROR(_xlfn.XLOOKUP(TRUE,COUNTIF(Tabla[[#This Row],[Etiquetas]:[Etiquetas17]],Versiones!$G$2:$G$36)&gt;0,Versiones!$B$2:$B$36), "")</f>
        <v>20</v>
      </c>
      <c r="AK233" s="87" t="str" cm="1">
        <f t="array" ref="AK233">IFERROR(_xlfn.XLOOKUP(TRUE,COUNTIF(Tabla[[#This Row],[Etiquetas]:[Etiquetas17]],Versiones!$G$2:$G$36)&gt;0,Versiones!$A$2:$A$36), "")</f>
        <v>V0.8</v>
      </c>
      <c r="AL23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3" s="78" t="str">
        <f>IFERROR(_xlfn.XLOOKUP(Tabla[[#This Row],[¿En qué versión fue corregido?]],Versiones!$A$2:$A$34,Versiones!$B$2:$B$34),"No encontrado")</f>
        <v>No encontrado</v>
      </c>
      <c r="AN233" s="88" t="str" cm="1">
        <f t="array" ref="AN233">IFERROR(_xlfn.XLOOKUP(TRUE,COUNTIF(Tabla[[#This Row],[Etiquetas]:[Etiquetas17]],Categorías!$A$2:$A$12)&gt;0,Categorías!$A$2:$A$12),"No encontrado")</f>
        <v>Funcional</v>
      </c>
      <c r="AO233" s="88" t="str" cm="1">
        <f t="array" ref="AO233">IFERROR(INDEX(Funcionalidades!$A$2:$A$80,MATCH(TRUE, COUNTIF(Reporte_Gral!R233:Z233,Funcionalidades!$A$2:$A$80)&gt;0,0)),"No encontrado")</f>
        <v>Recibir-Mercancía-Pie-De-Camión</v>
      </c>
      <c r="AP233" s="87" t="str">
        <f>IF(AND(COUNTIF(Tabla[[#This Row],[Etiquetas]:[Etiquetas17]],"*UAT_V*")&gt;0,COUNTIF(Tabla[[#This Row],[Etiquetas]:[Etiquetas17]],"*QA-Integración*")=0),"SI","")</f>
        <v/>
      </c>
      <c r="AQ233" s="88" t="str" cm="1">
        <f t="array" ref="AQ233">IF(Tabla[[#This Row],[Fue encontrado durante UAT?]]="SI",IFERROR(_xlfn.XLOOKUP(TRUE,ISNUMBER(SEARCH("UAT_V",Tabla[[#This Row],[Etiquetas]:[Etiquetas17]])),Tabla[[#This Row],[Etiquetas]:[Etiquetas17]]),""),"")</f>
        <v/>
      </c>
      <c r="AR233" s="87" t="str">
        <f>IF(COUNTIF(Tabla[[#This Row],[Etiquetas]:[Etiquetas17]],"*Devuelto*")&gt;0,"SI","")</f>
        <v>SI</v>
      </c>
      <c r="AS233" s="167">
        <f>COUNTIF(Tabla[[#This Row],[Etiquetas]:[Etiquetas17]],"*Devuelto*")</f>
        <v>1</v>
      </c>
    </row>
    <row r="234" spans="1:45" ht="15" customHeight="1">
      <c r="A234" s="40" t="s">
        <v>128</v>
      </c>
      <c r="B234" s="40" t="s">
        <v>715</v>
      </c>
      <c r="C234" s="40">
        <v>99744</v>
      </c>
      <c r="D234" s="40" t="s">
        <v>716</v>
      </c>
      <c r="E234" s="40" t="s">
        <v>36</v>
      </c>
      <c r="F234" s="40" t="s">
        <v>24</v>
      </c>
      <c r="G234" s="40" t="s">
        <v>637</v>
      </c>
      <c r="H234" s="40" t="s">
        <v>561</v>
      </c>
      <c r="I234" s="40" t="s">
        <v>429</v>
      </c>
      <c r="J234" s="40" t="s">
        <v>307</v>
      </c>
      <c r="K234" s="40" t="s">
        <v>224</v>
      </c>
      <c r="L234" s="40" t="s">
        <v>151</v>
      </c>
      <c r="M234" s="40"/>
      <c r="N234" s="40"/>
      <c r="O234" s="40"/>
      <c r="P234" s="40"/>
      <c r="Q234" s="40"/>
      <c r="R234" s="40" t="s">
        <v>234</v>
      </c>
      <c r="S234" s="40" t="s">
        <v>139</v>
      </c>
      <c r="T234" s="40" t="s">
        <v>709</v>
      </c>
      <c r="U234" s="40"/>
      <c r="V234" s="40"/>
      <c r="W234" s="40"/>
      <c r="X234" s="40"/>
      <c r="Y234" s="40"/>
      <c r="Z234" s="40"/>
      <c r="AA234" s="40" t="s">
        <v>217</v>
      </c>
      <c r="AB234" s="53">
        <v>45936.698611111111</v>
      </c>
      <c r="AC234" s="40"/>
      <c r="AD234" s="40"/>
      <c r="AE234" s="40"/>
      <c r="AF234" s="40"/>
      <c r="AG234" s="40" t="s">
        <v>141</v>
      </c>
      <c r="AH234" s="10" t="s">
        <v>159</v>
      </c>
      <c r="AI234" s="87"/>
      <c r="AJ234" s="87" cm="1">
        <f t="array" ref="AJ234">IFERROR(_xlfn.XLOOKUP(TRUE,COUNTIF(Tabla[[#This Row],[Etiquetas]:[Etiquetas17]],Versiones!$G$2:$G$36)&gt;0,Versiones!$B$2:$B$36), "")</f>
        <v>20</v>
      </c>
      <c r="AK234" s="87" t="str" cm="1">
        <f t="array" ref="AK234">IFERROR(_xlfn.XLOOKUP(TRUE,COUNTIF(Tabla[[#This Row],[Etiquetas]:[Etiquetas17]],Versiones!$G$2:$G$36)&gt;0,Versiones!$A$2:$A$36), "")</f>
        <v>V0.8</v>
      </c>
      <c r="AL23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4" s="78" t="str">
        <f>IFERROR(_xlfn.XLOOKUP(Tabla[[#This Row],[¿En qué versión fue corregido?]],Versiones!$A$2:$A$34,Versiones!$B$2:$B$34),"No encontrado")</f>
        <v>No encontrado</v>
      </c>
      <c r="AN234" s="88" t="str" cm="1">
        <f t="array" ref="AN234">IFERROR(_xlfn.XLOOKUP(TRUE,COUNTIF(Tabla[[#This Row],[Etiquetas]:[Etiquetas17]],Categorías!$A$2:$A$12)&gt;0,Categorías!$A$2:$A$12),"No encontrado")</f>
        <v>Funcional</v>
      </c>
      <c r="AO234" s="88" t="str" cm="1">
        <f t="array" ref="AO234">IFERROR(INDEX(Funcionalidades!$A$2:$A$80,MATCH(TRUE, COUNTIF(Reporte_Gral!R234:Z234,Funcionalidades!$A$2:$A$80)&gt;0,0)),"No encontrado")</f>
        <v>Dashboard-Productos</v>
      </c>
      <c r="AP234" s="87" t="str">
        <f>IF(AND(COUNTIF(Tabla[[#This Row],[Etiquetas]:[Etiquetas17]],"*UAT_V*")&gt;0,COUNTIF(Tabla[[#This Row],[Etiquetas]:[Etiquetas17]],"*QA-Integración*")=0),"SI","")</f>
        <v/>
      </c>
      <c r="AQ234" s="88" t="str" cm="1">
        <f t="array" ref="AQ234">IF(Tabla[[#This Row],[Fue encontrado durante UAT?]]="SI",IFERROR(_xlfn.XLOOKUP(TRUE,ISNUMBER(SEARCH("UAT_V",Tabla[[#This Row],[Etiquetas]:[Etiquetas17]])),Tabla[[#This Row],[Etiquetas]:[Etiquetas17]]),""),"")</f>
        <v/>
      </c>
      <c r="AR234" s="87" t="str">
        <f>IF(COUNTIF(Tabla[[#This Row],[Etiquetas]:[Etiquetas17]],"*Devuelto*")&gt;0,"SI","")</f>
        <v/>
      </c>
      <c r="AS234" s="167">
        <f>COUNTIF(Tabla[[#This Row],[Etiquetas]:[Etiquetas17]],"*Devuelto*")</f>
        <v>0</v>
      </c>
    </row>
    <row r="235" spans="1:45" s="87" customFormat="1" ht="15" customHeight="1">
      <c r="A235" s="40" t="s">
        <v>128</v>
      </c>
      <c r="B235" s="40" t="s">
        <v>717</v>
      </c>
      <c r="C235" s="40">
        <v>99727</v>
      </c>
      <c r="D235" s="40" t="s">
        <v>718</v>
      </c>
      <c r="E235" s="40" t="s">
        <v>37</v>
      </c>
      <c r="F235" s="40" t="s">
        <v>27</v>
      </c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 t="s">
        <v>317</v>
      </c>
      <c r="S235" s="40" t="s">
        <v>371</v>
      </c>
      <c r="T235" s="40" t="s">
        <v>132</v>
      </c>
      <c r="U235" s="40" t="s">
        <v>709</v>
      </c>
      <c r="V235" s="40" t="s">
        <v>188</v>
      </c>
      <c r="W235" s="40" t="s">
        <v>536</v>
      </c>
      <c r="X235" s="40"/>
      <c r="Y235" s="40"/>
      <c r="Z235" s="40"/>
      <c r="AA235" s="40" t="s">
        <v>217</v>
      </c>
      <c r="AB235" s="53">
        <v>45936.668749999997</v>
      </c>
      <c r="AC235" s="40"/>
      <c r="AD235" s="40"/>
      <c r="AE235" s="40"/>
      <c r="AF235" s="40"/>
      <c r="AG235" s="40" t="s">
        <v>141</v>
      </c>
      <c r="AH235" s="10" t="s">
        <v>221</v>
      </c>
      <c r="AJ235" s="87" cm="1">
        <f t="array" ref="AJ235">IFERROR(_xlfn.XLOOKUP(TRUE,COUNTIF(Tabla[[#This Row],[Etiquetas]:[Etiquetas17]],Versiones!$G$2:$G$36)&gt;0,Versiones!$B$2:$B$36), "")</f>
        <v>20</v>
      </c>
      <c r="AK235" s="87" t="str" cm="1">
        <f t="array" ref="AK235">IFERROR(_xlfn.XLOOKUP(TRUE,COUNTIF(Tabla[[#This Row],[Etiquetas]:[Etiquetas17]],Versiones!$G$2:$G$36)&gt;0,Versiones!$A$2:$A$36), "")</f>
        <v>V0.8</v>
      </c>
      <c r="AL23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5" s="78" t="str">
        <f>IFERROR(_xlfn.XLOOKUP(Tabla[[#This Row],[¿En qué versión fue corregido?]],Versiones!$A$2:$A$34,Versiones!$B$2:$B$34),"No encontrado")</f>
        <v>No encontrado</v>
      </c>
      <c r="AN235" s="88" t="str" cm="1">
        <f t="array" ref="AN235">IFERROR(_xlfn.XLOOKUP(TRUE,COUNTIF(Tabla[[#This Row],[Etiquetas]:[Etiquetas17]],Categorías!$A$2:$A$12)&gt;0,Categorías!$A$2:$A$12),"No encontrado")</f>
        <v>Look&amp;Feel</v>
      </c>
      <c r="AO235" s="88" t="str" cm="1">
        <f t="array" ref="AO235">IFERROR(INDEX(Funcionalidades!$A$2:$A$80,MATCH(TRUE, COUNTIF(Reporte_Gral!R235:Z235,Funcionalidades!$A$2:$A$80)&gt;0,0)),"No encontrado")</f>
        <v>Dashboard-Efectivo</v>
      </c>
      <c r="AP235" s="87" t="str">
        <f>IF(AND(COUNTIF(Tabla[[#This Row],[Etiquetas]:[Etiquetas17]],"*UAT_V*")&gt;0,COUNTIF(Tabla[[#This Row],[Etiquetas]:[Etiquetas17]],"*QA-Integración*")=0),"SI","")</f>
        <v/>
      </c>
      <c r="AQ235" s="88" t="str" cm="1">
        <f t="array" ref="AQ235">IF(Tabla[[#This Row],[Fue encontrado durante UAT?]]="SI",IFERROR(_xlfn.XLOOKUP(TRUE,ISNUMBER(SEARCH("UAT_V",Tabla[[#This Row],[Etiquetas]:[Etiquetas17]])),Tabla[[#This Row],[Etiquetas]:[Etiquetas17]]),""),"")</f>
        <v/>
      </c>
      <c r="AR235" s="87" t="str">
        <f>IF(COUNTIF(Tabla[[#This Row],[Etiquetas]:[Etiquetas17]],"*Devuelto*")&gt;0,"SI","")</f>
        <v/>
      </c>
      <c r="AS235" s="167">
        <f>COUNTIF(Tabla[[#This Row],[Etiquetas]:[Etiquetas17]],"*Devuelto*")</f>
        <v>0</v>
      </c>
    </row>
    <row r="236" spans="1:45" ht="15" customHeight="1">
      <c r="A236" s="40" t="s">
        <v>128</v>
      </c>
      <c r="B236" s="40" t="s">
        <v>719</v>
      </c>
      <c r="C236" s="40">
        <v>99706</v>
      </c>
      <c r="D236" s="40" t="s">
        <v>720</v>
      </c>
      <c r="E236" s="40" t="s">
        <v>36</v>
      </c>
      <c r="F236" s="40" t="s">
        <v>27</v>
      </c>
      <c r="G236" s="40" t="s">
        <v>721</v>
      </c>
      <c r="H236" s="40" t="s">
        <v>637</v>
      </c>
      <c r="I236" s="40" t="s">
        <v>561</v>
      </c>
      <c r="J236" s="40"/>
      <c r="K236" s="40"/>
      <c r="L236" s="40"/>
      <c r="M236" s="40"/>
      <c r="N236" s="40"/>
      <c r="O236" s="40"/>
      <c r="P236" s="40"/>
      <c r="Q236" s="40"/>
      <c r="R236" s="40" t="s">
        <v>435</v>
      </c>
      <c r="S236" s="40" t="s">
        <v>139</v>
      </c>
      <c r="T236" s="40" t="s">
        <v>468</v>
      </c>
      <c r="U236" s="40" t="s">
        <v>188</v>
      </c>
      <c r="V236" s="40"/>
      <c r="W236" s="40"/>
      <c r="X236" s="40"/>
      <c r="Y236" s="40"/>
      <c r="Z236" s="40"/>
      <c r="AA236" s="40" t="s">
        <v>134</v>
      </c>
      <c r="AB236" s="53">
        <v>45936.61041666667</v>
      </c>
      <c r="AC236" s="40"/>
      <c r="AD236" s="40"/>
      <c r="AE236" s="40"/>
      <c r="AF236" s="40"/>
      <c r="AG236" s="40" t="s">
        <v>141</v>
      </c>
      <c r="AH236" s="10" t="s">
        <v>159</v>
      </c>
      <c r="AI236" s="87"/>
      <c r="AJ236" s="87" cm="1">
        <f t="array" ref="AJ236">IFERROR(_xlfn.XLOOKUP(TRUE,COUNTIF(Tabla[[#This Row],[Etiquetas]:[Etiquetas17]],Versiones!$G$2:$G$36)&gt;0,Versiones!$B$2:$B$36), "")</f>
        <v>22</v>
      </c>
      <c r="AK236" s="87" t="str" cm="1">
        <f t="array" ref="AK236">IFERROR(_xlfn.XLOOKUP(TRUE,COUNTIF(Tabla[[#This Row],[Etiquetas]:[Etiquetas17]],Versiones!$G$2:$G$36)&gt;0,Versiones!$A$2:$A$36), "")</f>
        <v>V0.11</v>
      </c>
      <c r="AL23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6" s="78" t="str">
        <f>IFERROR(_xlfn.XLOOKUP(Tabla[[#This Row],[¿En qué versión fue corregido?]],Versiones!$A$2:$A$34,Versiones!$B$2:$B$34),"No encontrado")</f>
        <v>No encontrado</v>
      </c>
      <c r="AN236" s="88" t="str" cm="1">
        <f t="array" ref="AN236">IFERROR(_xlfn.XLOOKUP(TRUE,COUNTIF(Tabla[[#This Row],[Etiquetas]:[Etiquetas17]],Categorías!$A$2:$A$12)&gt;0,Categorías!$A$2:$A$12),"No encontrado")</f>
        <v>Funcional</v>
      </c>
      <c r="AO236" s="88" t="str" cm="1">
        <f t="array" ref="AO236">IFERROR(INDEX(Funcionalidades!$A$2:$A$80,MATCH(TRUE, COUNTIF(Reporte_Gral!R236:Z236,Funcionalidades!$A$2:$A$80)&gt;0,0)),"No encontrado")</f>
        <v>Bloqueo-De-Sesión</v>
      </c>
      <c r="AP236" s="87" t="str">
        <f>IF(AND(COUNTIF(Tabla[[#This Row],[Etiquetas]:[Etiquetas17]],"*UAT_V*")&gt;0,COUNTIF(Tabla[[#This Row],[Etiquetas]:[Etiquetas17]],"*QA-Integración*")=0),"SI","")</f>
        <v/>
      </c>
      <c r="AQ236" s="88" t="str" cm="1">
        <f t="array" ref="AQ236">IF(Tabla[[#This Row],[Fue encontrado durante UAT?]]="SI",IFERROR(_xlfn.XLOOKUP(TRUE,ISNUMBER(SEARCH("UAT_V",Tabla[[#This Row],[Etiquetas]:[Etiquetas17]])),Tabla[[#This Row],[Etiquetas]:[Etiquetas17]]),""),"")</f>
        <v/>
      </c>
      <c r="AR236" s="87" t="str">
        <f>IF(COUNTIF(Tabla[[#This Row],[Etiquetas]:[Etiquetas17]],"*Devuelto*")&gt;0,"SI","")</f>
        <v/>
      </c>
      <c r="AS236" s="167">
        <f>COUNTIF(Tabla[[#This Row],[Etiquetas]:[Etiquetas17]],"*Devuelto*")</f>
        <v>0</v>
      </c>
    </row>
    <row r="237" spans="1:45" ht="15" customHeight="1">
      <c r="A237" s="40" t="s">
        <v>128</v>
      </c>
      <c r="B237" s="40" t="s">
        <v>722</v>
      </c>
      <c r="C237" s="40">
        <v>99292</v>
      </c>
      <c r="D237" s="40" t="s">
        <v>723</v>
      </c>
      <c r="E237" s="40" t="s">
        <v>36</v>
      </c>
      <c r="F237" s="40" t="s">
        <v>24</v>
      </c>
      <c r="G237" s="40" t="s">
        <v>637</v>
      </c>
      <c r="H237" s="40" t="s">
        <v>561</v>
      </c>
      <c r="I237" s="40" t="s">
        <v>429</v>
      </c>
      <c r="J237" s="40"/>
      <c r="K237" s="40"/>
      <c r="L237" s="40"/>
      <c r="M237" s="40"/>
      <c r="N237" s="40"/>
      <c r="O237" s="40"/>
      <c r="P237" s="40"/>
      <c r="Q237" s="40"/>
      <c r="R237" s="40" t="s">
        <v>139</v>
      </c>
      <c r="S237" s="40" t="s">
        <v>168</v>
      </c>
      <c r="T237" s="40" t="s">
        <v>709</v>
      </c>
      <c r="U237" s="40" t="s">
        <v>226</v>
      </c>
      <c r="V237" s="40" t="s">
        <v>154</v>
      </c>
      <c r="W237" s="40" t="s">
        <v>634</v>
      </c>
      <c r="X237" s="40"/>
      <c r="Y237" s="40"/>
      <c r="Z237" s="40"/>
      <c r="AA237" s="40" t="s">
        <v>217</v>
      </c>
      <c r="AB237" s="53">
        <v>45933.638888888891</v>
      </c>
      <c r="AC237" s="40" t="s">
        <v>511</v>
      </c>
      <c r="AD237" s="40"/>
      <c r="AE237" s="40"/>
      <c r="AF237" s="40"/>
      <c r="AG237" s="40" t="s">
        <v>135</v>
      </c>
      <c r="AH237" s="10" t="s">
        <v>159</v>
      </c>
      <c r="AI237" s="87"/>
      <c r="AJ237" s="87" cm="1">
        <f t="array" ref="AJ237">IFERROR(_xlfn.XLOOKUP(TRUE,COUNTIF(Tabla[[#This Row],[Etiquetas]:[Etiquetas17]],Versiones!$G$2:$G$36)&gt;0,Versiones!$B$2:$B$36), "")</f>
        <v>20</v>
      </c>
      <c r="AK237" s="87" t="str" cm="1">
        <f t="array" ref="AK237">IFERROR(_xlfn.XLOOKUP(TRUE,COUNTIF(Tabla[[#This Row],[Etiquetas]:[Etiquetas17]],Versiones!$G$2:$G$36)&gt;0,Versiones!$A$2:$A$36), "")</f>
        <v>V0.8</v>
      </c>
      <c r="AL23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37" s="78">
        <f>IFERROR(_xlfn.XLOOKUP(Tabla[[#This Row],[¿En qué versión fue corregido?]],Versiones!$A$2:$A$34,Versiones!$B$2:$B$34),"No encontrado")</f>
        <v>23</v>
      </c>
      <c r="AN237" s="88" t="str" cm="1">
        <f t="array" ref="AN237">IFERROR(_xlfn.XLOOKUP(TRUE,COUNTIF(Tabla[[#This Row],[Etiquetas]:[Etiquetas17]],Categorías!$A$2:$A$12)&gt;0,Categorías!$A$2:$A$12),"No encontrado")</f>
        <v>Funcional</v>
      </c>
      <c r="AO237" s="87" t="str" cm="1">
        <f t="array" ref="AO237">IFERROR(INDEX(Funcionalidades!$A$2:$A$80,MATCH(TRUE, COUNTIF(Reporte_Gral!R237:Z237,Funcionalidades!$A$2:$A$80)&gt;0,0)),"No encontrado")</f>
        <v>Pago-De-Tiempo-Aire</v>
      </c>
      <c r="AP237" s="87" t="str">
        <f>IF(AND(COUNTIF(Tabla[[#This Row],[Etiquetas]:[Etiquetas17]],"*UAT_V*")&gt;0,COUNTIF(Tabla[[#This Row],[Etiquetas]:[Etiquetas17]],"*QA-Integración*")=0),"SI","")</f>
        <v/>
      </c>
      <c r="AQ237" s="88" t="str" cm="1">
        <f t="array" ref="AQ237">IF(Tabla[[#This Row],[Fue encontrado durante UAT?]]="SI",IFERROR(_xlfn.XLOOKUP(TRUE,ISNUMBER(SEARCH("UAT_V",Tabla[[#This Row],[Etiquetas]:[Etiquetas17]])),Tabla[[#This Row],[Etiquetas]:[Etiquetas17]]),""),"")</f>
        <v/>
      </c>
      <c r="AR237" s="87" t="str">
        <f>IF(COUNTIF(Tabla[[#This Row],[Etiquetas]:[Etiquetas17]],"*Devuelto*")&gt;0,"SI","")</f>
        <v/>
      </c>
      <c r="AS237" s="167">
        <f>COUNTIF(Tabla[[#This Row],[Etiquetas]:[Etiquetas17]],"*Devuelto*")</f>
        <v>0</v>
      </c>
    </row>
    <row r="238" spans="1:45" ht="15" customHeight="1">
      <c r="A238" s="40" t="s">
        <v>128</v>
      </c>
      <c r="B238" s="40" t="s">
        <v>724</v>
      </c>
      <c r="C238" s="40">
        <v>99290</v>
      </c>
      <c r="D238" s="40" t="s">
        <v>725</v>
      </c>
      <c r="E238" s="40" t="s">
        <v>36</v>
      </c>
      <c r="F238" s="40" t="s">
        <v>26</v>
      </c>
      <c r="G238" s="40" t="s">
        <v>224</v>
      </c>
      <c r="H238" s="40" t="s">
        <v>151</v>
      </c>
      <c r="I238" s="40"/>
      <c r="J238" s="40"/>
      <c r="K238" s="40"/>
      <c r="L238" s="40"/>
      <c r="M238" s="40"/>
      <c r="N238" s="40"/>
      <c r="O238" s="40"/>
      <c r="P238" s="40"/>
      <c r="Q238" s="40"/>
      <c r="R238" s="40" t="s">
        <v>292</v>
      </c>
      <c r="S238" s="40" t="s">
        <v>139</v>
      </c>
      <c r="T238" s="40" t="s">
        <v>709</v>
      </c>
      <c r="U238" s="40" t="s">
        <v>226</v>
      </c>
      <c r="V238" s="40" t="s">
        <v>154</v>
      </c>
      <c r="W238" s="40" t="s">
        <v>634</v>
      </c>
      <c r="X238" s="40"/>
      <c r="Y238" s="40"/>
      <c r="Z238" s="40"/>
      <c r="AA238" s="40" t="s">
        <v>217</v>
      </c>
      <c r="AB238" s="53">
        <v>45933.629861111112</v>
      </c>
      <c r="AC238" s="40" t="s">
        <v>174</v>
      </c>
      <c r="AD238" s="40"/>
      <c r="AE238" s="40"/>
      <c r="AF238" s="40"/>
      <c r="AG238" s="40" t="s">
        <v>135</v>
      </c>
      <c r="AH238" s="10" t="s">
        <v>159</v>
      </c>
      <c r="AI238" s="87"/>
      <c r="AJ238" s="87" cm="1">
        <f t="array" ref="AJ238">IFERROR(_xlfn.XLOOKUP(TRUE,COUNTIF(Tabla[[#This Row],[Etiquetas]:[Etiquetas17]],Versiones!$G$2:$G$36)&gt;0,Versiones!$B$2:$B$36), "")</f>
        <v>20</v>
      </c>
      <c r="AK238" s="87" t="str" cm="1">
        <f t="array" ref="AK238">IFERROR(_xlfn.XLOOKUP(TRUE,COUNTIF(Tabla[[#This Row],[Etiquetas]:[Etiquetas17]],Versiones!$G$2:$G$36)&gt;0,Versiones!$A$2:$A$36), "")</f>
        <v>V0.8</v>
      </c>
      <c r="AL23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38" s="78">
        <f>IFERROR(_xlfn.XLOOKUP(Tabla[[#This Row],[¿En qué versión fue corregido?]],Versiones!$A$2:$A$34,Versiones!$B$2:$B$34),"No encontrado")</f>
        <v>25</v>
      </c>
      <c r="AN238" s="88" t="str" cm="1">
        <f t="array" ref="AN238">IFERROR(_xlfn.XLOOKUP(TRUE,COUNTIF(Tabla[[#This Row],[Etiquetas]:[Etiquetas17]],Categorías!$A$2:$A$12)&gt;0,Categorías!$A$2:$A$12),"No encontrado")</f>
        <v>Funcional</v>
      </c>
      <c r="AO238" s="88" t="str" cm="1">
        <f t="array" ref="AO238">IFERROR(INDEX(Funcionalidades!$A$2:$A$80,MATCH(TRUE, COUNTIF(Reporte_Gral!R238:Z238,Funcionalidades!$A$2:$A$80)&gt;0,0)),"No encontrado")</f>
        <v>Atajos-Teclado</v>
      </c>
      <c r="AP238" s="87" t="str">
        <f>IF(AND(COUNTIF(Tabla[[#This Row],[Etiquetas]:[Etiquetas17]],"*UAT_V*")&gt;0,COUNTIF(Tabla[[#This Row],[Etiquetas]:[Etiquetas17]],"*QA-Integración*")=0),"SI","")</f>
        <v/>
      </c>
      <c r="AQ238" s="88" t="str" cm="1">
        <f t="array" ref="AQ238">IF(Tabla[[#This Row],[Fue encontrado durante UAT?]]="SI",IFERROR(_xlfn.XLOOKUP(TRUE,ISNUMBER(SEARCH("UAT_V",Tabla[[#This Row],[Etiquetas]:[Etiquetas17]])),Tabla[[#This Row],[Etiquetas]:[Etiquetas17]]),""),"")</f>
        <v/>
      </c>
      <c r="AR238" s="87" t="str">
        <f>IF(COUNTIF(Tabla[[#This Row],[Etiquetas]:[Etiquetas17]],"*Devuelto*")&gt;0,"SI","")</f>
        <v/>
      </c>
      <c r="AS238" s="167">
        <f>COUNTIF(Tabla[[#This Row],[Etiquetas]:[Etiquetas17]],"*Devuelto*")</f>
        <v>0</v>
      </c>
    </row>
    <row r="239" spans="1:45" ht="15" customHeight="1">
      <c r="A239" s="40" t="s">
        <v>128</v>
      </c>
      <c r="B239" s="40" t="s">
        <v>726</v>
      </c>
      <c r="C239" s="40">
        <v>99283</v>
      </c>
      <c r="D239" s="40" t="s">
        <v>727</v>
      </c>
      <c r="E239" s="40" t="s">
        <v>36</v>
      </c>
      <c r="F239" s="40" t="s">
        <v>27</v>
      </c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 t="s">
        <v>139</v>
      </c>
      <c r="S239" s="40" t="s">
        <v>173</v>
      </c>
      <c r="T239" s="40" t="s">
        <v>709</v>
      </c>
      <c r="U239" s="40" t="s">
        <v>471</v>
      </c>
      <c r="V239" s="40" t="s">
        <v>634</v>
      </c>
      <c r="W239" s="40"/>
      <c r="X239" s="40"/>
      <c r="Y239" s="40"/>
      <c r="Z239" s="40"/>
      <c r="AA239" s="40" t="s">
        <v>217</v>
      </c>
      <c r="AB239" s="53">
        <v>45933.606249999997</v>
      </c>
      <c r="AC239" s="40"/>
      <c r="AD239" s="40"/>
      <c r="AE239" s="40"/>
      <c r="AF239" s="40"/>
      <c r="AG239" s="40" t="s">
        <v>135</v>
      </c>
      <c r="AH239" s="10" t="s">
        <v>159</v>
      </c>
      <c r="AI239" s="87"/>
      <c r="AJ239" s="87" cm="1">
        <f t="array" ref="AJ239">IFERROR(_xlfn.XLOOKUP(TRUE,COUNTIF(Tabla[[#This Row],[Etiquetas]:[Etiquetas17]],Versiones!$G$2:$G$36)&gt;0,Versiones!$B$2:$B$36), "")</f>
        <v>20</v>
      </c>
      <c r="AK239" s="87" t="str" cm="1">
        <f t="array" ref="AK239">IFERROR(_xlfn.XLOOKUP(TRUE,COUNTIF(Tabla[[#This Row],[Etiquetas]:[Etiquetas17]],Versiones!$G$2:$G$36)&gt;0,Versiones!$A$2:$A$36), "")</f>
        <v>V0.8</v>
      </c>
      <c r="AL23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39" s="78" t="str">
        <f>IFERROR(_xlfn.XLOOKUP(Tabla[[#This Row],[¿En qué versión fue corregido?]],Versiones!$A$2:$A$34,Versiones!$B$2:$B$34),"No encontrado")</f>
        <v>No encontrado</v>
      </c>
      <c r="AN239" s="88" t="str" cm="1">
        <f t="array" ref="AN239">IFERROR(_xlfn.XLOOKUP(TRUE,COUNTIF(Tabla[[#This Row],[Etiquetas]:[Etiquetas17]],Categorías!$A$2:$A$12)&gt;0,Categorías!$A$2:$A$12),"No encontrado")</f>
        <v>Funcional</v>
      </c>
      <c r="AO239" s="87" t="str" cm="1">
        <f t="array" ref="AO239">IFERROR(INDEX(Funcionalidades!$A$2:$A$80,MATCH(TRUE, COUNTIF(Reporte_Gral!R239:Z239,Funcionalidades!$A$2:$A$80)&gt;0,0)),"No encontrado")</f>
        <v>Pago-De-Servicios-Con-Catálogo</v>
      </c>
      <c r="AP239" s="87" t="str">
        <f>IF(AND(COUNTIF(Tabla[[#This Row],[Etiquetas]:[Etiquetas17]],"*UAT_V*")&gt;0,COUNTIF(Tabla[[#This Row],[Etiquetas]:[Etiquetas17]],"*QA-Integración*")=0),"SI","")</f>
        <v/>
      </c>
      <c r="AQ239" s="88" t="str" cm="1">
        <f t="array" ref="AQ239">IF(Tabla[[#This Row],[Fue encontrado durante UAT?]]="SI",IFERROR(_xlfn.XLOOKUP(TRUE,ISNUMBER(SEARCH("UAT_V",Tabla[[#This Row],[Etiquetas]:[Etiquetas17]])),Tabla[[#This Row],[Etiquetas]:[Etiquetas17]]),""),"")</f>
        <v/>
      </c>
      <c r="AR239" s="87" t="str">
        <f>IF(COUNTIF(Tabla[[#This Row],[Etiquetas]:[Etiquetas17]],"*Devuelto*")&gt;0,"SI","")</f>
        <v/>
      </c>
      <c r="AS239" s="167">
        <f>COUNTIF(Tabla[[#This Row],[Etiquetas]:[Etiquetas17]],"*Devuelto*")</f>
        <v>0</v>
      </c>
    </row>
    <row r="240" spans="1:45" ht="15" customHeight="1">
      <c r="A240" s="40" t="s">
        <v>128</v>
      </c>
      <c r="B240" s="40" t="s">
        <v>728</v>
      </c>
      <c r="C240" s="40">
        <v>99159</v>
      </c>
      <c r="D240" s="40" t="s">
        <v>729</v>
      </c>
      <c r="E240" s="40" t="s">
        <v>37</v>
      </c>
      <c r="F240" s="40" t="s">
        <v>27</v>
      </c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 t="s">
        <v>371</v>
      </c>
      <c r="S240" s="40" t="s">
        <v>132</v>
      </c>
      <c r="T240" s="40" t="s">
        <v>709</v>
      </c>
      <c r="U240" s="40" t="s">
        <v>152</v>
      </c>
      <c r="V240" s="40" t="s">
        <v>536</v>
      </c>
      <c r="W240" s="40"/>
      <c r="X240" s="40"/>
      <c r="Y240" s="40"/>
      <c r="Z240" s="40"/>
      <c r="AA240" s="40" t="s">
        <v>217</v>
      </c>
      <c r="AB240" s="53">
        <v>45933.372916666667</v>
      </c>
      <c r="AC240" s="40"/>
      <c r="AD240" s="40"/>
      <c r="AE240" s="40"/>
      <c r="AF240" s="40"/>
      <c r="AG240" s="40" t="s">
        <v>141</v>
      </c>
      <c r="AH240" s="10" t="s">
        <v>136</v>
      </c>
      <c r="AI240" s="87"/>
      <c r="AJ240" s="87" cm="1">
        <f t="array" ref="AJ240">IFERROR(_xlfn.XLOOKUP(TRUE,COUNTIF(Tabla[[#This Row],[Etiquetas]:[Etiquetas17]],Versiones!$G$2:$G$36)&gt;0,Versiones!$B$2:$B$36), "")</f>
        <v>20</v>
      </c>
      <c r="AK240" s="87" t="str" cm="1">
        <f t="array" ref="AK240">IFERROR(_xlfn.XLOOKUP(TRUE,COUNTIF(Tabla[[#This Row],[Etiquetas]:[Etiquetas17]],Versiones!$G$2:$G$36)&gt;0,Versiones!$A$2:$A$36), "")</f>
        <v>V0.8</v>
      </c>
      <c r="AL24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40" s="78" t="str">
        <f>IFERROR(_xlfn.XLOOKUP(Tabla[[#This Row],[¿En qué versión fue corregido?]],Versiones!$A$2:$A$34,Versiones!$B$2:$B$34),"No encontrado")</f>
        <v>No encontrado</v>
      </c>
      <c r="AN240" s="88" t="str" cm="1">
        <f t="array" ref="AN240">IFERROR(_xlfn.XLOOKUP(TRUE,COUNTIF(Tabla[[#This Row],[Etiquetas]:[Etiquetas17]],Categorías!$A$2:$A$12)&gt;0,Categorías!$A$2:$A$12),"No encontrado")</f>
        <v>Look&amp;Feel</v>
      </c>
      <c r="AO240" s="88" t="str" cm="1">
        <f t="array" ref="AO240">IFERROR(INDEX(Funcionalidades!$A$2:$A$80,MATCH(TRUE, COUNTIF(Reporte_Gral!R240:Z240,Funcionalidades!$A$2:$A$80)&gt;0,0)),"No encontrado")</f>
        <v>Registrar-Merma</v>
      </c>
      <c r="AP240" s="87" t="str">
        <f>IF(AND(COUNTIF(Tabla[[#This Row],[Etiquetas]:[Etiquetas17]],"*UAT_V*")&gt;0,COUNTIF(Tabla[[#This Row],[Etiquetas]:[Etiquetas17]],"*QA-Integración*")=0),"SI","")</f>
        <v/>
      </c>
      <c r="AQ240" s="88" t="str" cm="1">
        <f t="array" ref="AQ240">IF(Tabla[[#This Row],[Fue encontrado durante UAT?]]="SI",IFERROR(_xlfn.XLOOKUP(TRUE,ISNUMBER(SEARCH("UAT_V",Tabla[[#This Row],[Etiquetas]:[Etiquetas17]])),Tabla[[#This Row],[Etiquetas]:[Etiquetas17]]),""),"")</f>
        <v/>
      </c>
      <c r="AR240" s="87" t="str">
        <f>IF(COUNTIF(Tabla[[#This Row],[Etiquetas]:[Etiquetas17]],"*Devuelto*")&gt;0,"SI","")</f>
        <v/>
      </c>
      <c r="AS240" s="167">
        <f>COUNTIF(Tabla[[#This Row],[Etiquetas]:[Etiquetas17]],"*Devuelto*")</f>
        <v>0</v>
      </c>
    </row>
    <row r="241" spans="1:45" ht="15" customHeight="1">
      <c r="A241" s="40" t="s">
        <v>128</v>
      </c>
      <c r="B241" s="40" t="s">
        <v>730</v>
      </c>
      <c r="C241" s="40">
        <v>99086</v>
      </c>
      <c r="D241" s="40" t="s">
        <v>731</v>
      </c>
      <c r="E241" s="40" t="s">
        <v>36</v>
      </c>
      <c r="F241" s="40" t="s">
        <v>26</v>
      </c>
      <c r="G241" s="40" t="s">
        <v>637</v>
      </c>
      <c r="H241" s="40" t="s">
        <v>561</v>
      </c>
      <c r="I241" s="40" t="s">
        <v>429</v>
      </c>
      <c r="J241" s="40" t="s">
        <v>307</v>
      </c>
      <c r="K241" s="40" t="s">
        <v>224</v>
      </c>
      <c r="L241" s="40" t="s">
        <v>151</v>
      </c>
      <c r="M241" s="40"/>
      <c r="N241" s="40"/>
      <c r="O241" s="40"/>
      <c r="P241" s="40"/>
      <c r="Q241" s="40"/>
      <c r="R241" s="40" t="s">
        <v>139</v>
      </c>
      <c r="S241" s="40" t="s">
        <v>237</v>
      </c>
      <c r="T241" s="40" t="s">
        <v>709</v>
      </c>
      <c r="U241" s="40" t="s">
        <v>204</v>
      </c>
      <c r="V241" s="40" t="s">
        <v>226</v>
      </c>
      <c r="W241" s="40" t="s">
        <v>154</v>
      </c>
      <c r="X241" s="40"/>
      <c r="Y241" s="40"/>
      <c r="Z241" s="40"/>
      <c r="AA241" s="40" t="s">
        <v>217</v>
      </c>
      <c r="AB241" s="53">
        <v>45932.694444444445</v>
      </c>
      <c r="AC241" s="40" t="s">
        <v>732</v>
      </c>
      <c r="AD241" s="40"/>
      <c r="AE241" s="40"/>
      <c r="AF241" s="40"/>
      <c r="AG241" s="40" t="s">
        <v>135</v>
      </c>
      <c r="AH241" s="10" t="s">
        <v>184</v>
      </c>
      <c r="AI241" s="87"/>
      <c r="AJ241" s="87" cm="1">
        <f t="array" ref="AJ241">IFERROR(_xlfn.XLOOKUP(TRUE,COUNTIF(Tabla[[#This Row],[Etiquetas]:[Etiquetas17]],Versiones!$G$2:$G$36)&gt;0,Versiones!$B$2:$B$36), "")</f>
        <v>20</v>
      </c>
      <c r="AK241" s="87" t="str" cm="1">
        <f t="array" ref="AK241">IFERROR(_xlfn.XLOOKUP(TRUE,COUNTIF(Tabla[[#This Row],[Etiquetas]:[Etiquetas17]],Versiones!$G$2:$G$36)&gt;0,Versiones!$A$2:$A$36), "")</f>
        <v>V0.8</v>
      </c>
      <c r="AL24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41" s="78" t="str">
        <f>IFERROR(_xlfn.XLOOKUP(Tabla[[#This Row],[¿En qué versión fue corregido?]],Versiones!$A$2:$A$34,Versiones!$B$2:$B$34),"No encontrado")</f>
        <v>No encontrado</v>
      </c>
      <c r="AN241" s="88" t="str" cm="1">
        <f t="array" ref="AN241">IFERROR(_xlfn.XLOOKUP(TRUE,COUNTIF(Tabla[[#This Row],[Etiquetas]:[Etiquetas17]],Categorías!$A$2:$A$12)&gt;0,Categorías!$A$2:$A$12),"No encontrado")</f>
        <v>Funcional</v>
      </c>
      <c r="AO241" s="88" t="str" cm="1">
        <f t="array" ref="AO241">IFERROR(INDEX(Funcionalidades!$A$2:$A$80,MATCH(TRUE, COUNTIF(Reporte_Gral!R241:Z241,Funcionalidades!$A$2:$A$80)&gt;0,0)),"No encontrado")</f>
        <v>Main-Dashboard</v>
      </c>
      <c r="AP241" s="87" t="str">
        <f>IF(AND(COUNTIF(Tabla[[#This Row],[Etiquetas]:[Etiquetas17]],"*UAT_V*")&gt;0,COUNTIF(Tabla[[#This Row],[Etiquetas]:[Etiquetas17]],"*QA-Integración*")=0),"SI","")</f>
        <v/>
      </c>
      <c r="AQ241" s="88" t="str" cm="1">
        <f t="array" ref="AQ241">IF(Tabla[[#This Row],[Fue encontrado durante UAT?]]="SI",IFERROR(_xlfn.XLOOKUP(TRUE,ISNUMBER(SEARCH("UAT_V",Tabla[[#This Row],[Etiquetas]:[Etiquetas17]])),Tabla[[#This Row],[Etiquetas]:[Etiquetas17]]),""),"")</f>
        <v/>
      </c>
      <c r="AR241" s="87" t="str">
        <f>IF(COUNTIF(Tabla[[#This Row],[Etiquetas]:[Etiquetas17]],"*Devuelto*")&gt;0,"SI","")</f>
        <v/>
      </c>
      <c r="AS241" s="167">
        <f>COUNTIF(Tabla[[#This Row],[Etiquetas]:[Etiquetas17]],"*Devuelto*")</f>
        <v>0</v>
      </c>
    </row>
    <row r="242" spans="1:45" ht="15" customHeight="1">
      <c r="A242" s="40" t="s">
        <v>128</v>
      </c>
      <c r="B242" s="40" t="s">
        <v>733</v>
      </c>
      <c r="C242" s="40">
        <v>99070</v>
      </c>
      <c r="D242" s="40" t="s">
        <v>734</v>
      </c>
      <c r="E242" s="40" t="s">
        <v>37</v>
      </c>
      <c r="F242" s="40" t="s">
        <v>27</v>
      </c>
      <c r="G242" s="40" t="s">
        <v>637</v>
      </c>
      <c r="H242" s="40" t="s">
        <v>561</v>
      </c>
      <c r="I242" s="40" t="s">
        <v>429</v>
      </c>
      <c r="J242" s="40" t="s">
        <v>224</v>
      </c>
      <c r="K242" s="40" t="s">
        <v>151</v>
      </c>
      <c r="L242" s="40"/>
      <c r="M242" s="40"/>
      <c r="N242" s="40"/>
      <c r="O242" s="40"/>
      <c r="P242" s="40"/>
      <c r="Q242" s="40"/>
      <c r="R242" s="40" t="s">
        <v>735</v>
      </c>
      <c r="S242" s="40" t="s">
        <v>302</v>
      </c>
      <c r="T242" s="40" t="s">
        <v>139</v>
      </c>
      <c r="U242" s="40" t="s">
        <v>664</v>
      </c>
      <c r="V242" s="40" t="s">
        <v>709</v>
      </c>
      <c r="W242" s="40" t="s">
        <v>154</v>
      </c>
      <c r="X242" s="40" t="s">
        <v>536</v>
      </c>
      <c r="Y242" s="40"/>
      <c r="Z242" s="40"/>
      <c r="AA242" s="40" t="s">
        <v>217</v>
      </c>
      <c r="AB242" s="53">
        <v>45932.672222222223</v>
      </c>
      <c r="AC242" s="40" t="s">
        <v>732</v>
      </c>
      <c r="AD242" s="40"/>
      <c r="AE242" s="40"/>
      <c r="AF242" s="40"/>
      <c r="AG242" s="40" t="s">
        <v>135</v>
      </c>
      <c r="AH242" s="10" t="s">
        <v>136</v>
      </c>
      <c r="AI242" s="87"/>
      <c r="AJ242" s="87" cm="1">
        <f t="array" ref="AJ242">IFERROR(_xlfn.XLOOKUP(TRUE,COUNTIF(Tabla[[#This Row],[Etiquetas]:[Etiquetas17]],Versiones!$G$2:$G$36)&gt;0,Versiones!$B$2:$B$36), "")</f>
        <v>20</v>
      </c>
      <c r="AK242" s="87" t="str" cm="1">
        <f t="array" ref="AK242">IFERROR(_xlfn.XLOOKUP(TRUE,COUNTIF(Tabla[[#This Row],[Etiquetas]:[Etiquetas17]],Versiones!$G$2:$G$36)&gt;0,Versiones!$A$2:$A$36), "")</f>
        <v>V0.8</v>
      </c>
      <c r="AL24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42" s="78" t="str">
        <f>IFERROR(_xlfn.XLOOKUP(Tabla[[#This Row],[¿En qué versión fue corregido?]],Versiones!$A$2:$A$34,Versiones!$B$2:$B$34),"No encontrado")</f>
        <v>No encontrado</v>
      </c>
      <c r="AN242" s="88" t="str" cm="1">
        <f t="array" ref="AN242">IFERROR(_xlfn.XLOOKUP(TRUE,COUNTIF(Tabla[[#This Row],[Etiquetas]:[Etiquetas17]],Categorías!$A$2:$A$12)&gt;0,Categorías!$A$2:$A$12),"No encontrado")</f>
        <v>Funcional</v>
      </c>
      <c r="AO242" s="87" t="str" cm="1">
        <f t="array" ref="AO242">IFERROR(INDEX(Funcionalidades!$A$2:$A$80,MATCH(TRUE, COUNTIF(Reporte_Gral!R242:Z242,Funcionalidades!$A$2:$A$80)&gt;0,0)),"No encontrado")</f>
        <v>Devoluciones</v>
      </c>
      <c r="AP242" s="87" t="str">
        <f>IF(AND(COUNTIF(Tabla[[#This Row],[Etiquetas]:[Etiquetas17]],"*UAT_V*")&gt;0,COUNTIF(Tabla[[#This Row],[Etiquetas]:[Etiquetas17]],"*QA-Integración*")=0),"SI","")</f>
        <v/>
      </c>
      <c r="AQ242" s="88" t="str" cm="1">
        <f t="array" ref="AQ242">IF(Tabla[[#This Row],[Fue encontrado durante UAT?]]="SI",IFERROR(_xlfn.XLOOKUP(TRUE,ISNUMBER(SEARCH("UAT_V",Tabla[[#This Row],[Etiquetas]:[Etiquetas17]])),Tabla[[#This Row],[Etiquetas]:[Etiquetas17]]),""),"")</f>
        <v/>
      </c>
      <c r="AR242" s="87" t="str">
        <f>IF(COUNTIF(Tabla[[#This Row],[Etiquetas]:[Etiquetas17]],"*Devuelto*")&gt;0,"SI","")</f>
        <v>SI</v>
      </c>
      <c r="AS242" s="167">
        <f>COUNTIF(Tabla[[#This Row],[Etiquetas]:[Etiquetas17]],"*Devuelto*")</f>
        <v>1</v>
      </c>
    </row>
    <row r="243" spans="1:45" ht="15" customHeight="1">
      <c r="A243" s="40" t="s">
        <v>128</v>
      </c>
      <c r="B243" s="40" t="s">
        <v>736</v>
      </c>
      <c r="C243" s="40">
        <v>99024</v>
      </c>
      <c r="D243" s="40" t="s">
        <v>737</v>
      </c>
      <c r="E243" s="40" t="s">
        <v>36</v>
      </c>
      <c r="F243" s="40" t="s">
        <v>51</v>
      </c>
      <c r="G243" s="40" t="s">
        <v>637</v>
      </c>
      <c r="H243" s="40" t="s">
        <v>561</v>
      </c>
      <c r="I243" s="40" t="s">
        <v>429</v>
      </c>
      <c r="J243" s="40" t="s">
        <v>307</v>
      </c>
      <c r="K243" s="40" t="s">
        <v>224</v>
      </c>
      <c r="L243" s="40" t="s">
        <v>151</v>
      </c>
      <c r="M243" s="40"/>
      <c r="N243" s="40"/>
      <c r="O243" s="40"/>
      <c r="P243" s="40"/>
      <c r="Q243" s="40"/>
      <c r="R243" s="40" t="s">
        <v>139</v>
      </c>
      <c r="S243" s="40" t="s">
        <v>237</v>
      </c>
      <c r="T243" s="40" t="s">
        <v>709</v>
      </c>
      <c r="U243" s="40" t="s">
        <v>226</v>
      </c>
      <c r="V243" s="40" t="s">
        <v>154</v>
      </c>
      <c r="W243" s="40"/>
      <c r="X243" s="40"/>
      <c r="Y243" s="40"/>
      <c r="Z243" s="40"/>
      <c r="AA243" s="40" t="s">
        <v>217</v>
      </c>
      <c r="AB243" s="53">
        <v>45932.606249999997</v>
      </c>
      <c r="AC243" s="40" t="s">
        <v>732</v>
      </c>
      <c r="AD243" s="40"/>
      <c r="AE243" s="40"/>
      <c r="AF243" s="40"/>
      <c r="AG243" s="40" t="s">
        <v>135</v>
      </c>
      <c r="AH243" s="10" t="s">
        <v>136</v>
      </c>
      <c r="AI243" s="87"/>
      <c r="AJ243" s="87" cm="1">
        <f t="array" ref="AJ243">IFERROR(_xlfn.XLOOKUP(TRUE,COUNTIF(Tabla[[#This Row],[Etiquetas]:[Etiquetas17]],Versiones!$G$2:$G$36)&gt;0,Versiones!$B$2:$B$36), "")</f>
        <v>20</v>
      </c>
      <c r="AK243" s="87" t="str" cm="1">
        <f t="array" ref="AK243">IFERROR(_xlfn.XLOOKUP(TRUE,COUNTIF(Tabla[[#This Row],[Etiquetas]:[Etiquetas17]],Versiones!$G$2:$G$36)&gt;0,Versiones!$A$2:$A$36), "")</f>
        <v>V0.8</v>
      </c>
      <c r="AL24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43" s="78" t="str">
        <f>IFERROR(_xlfn.XLOOKUP(Tabla[[#This Row],[¿En qué versión fue corregido?]],Versiones!$A$2:$A$34,Versiones!$B$2:$B$34),"No encontrado")</f>
        <v>No encontrado</v>
      </c>
      <c r="AN243" s="88" t="str" cm="1">
        <f t="array" ref="AN243">IFERROR(_xlfn.XLOOKUP(TRUE,COUNTIF(Tabla[[#This Row],[Etiquetas]:[Etiquetas17]],Categorías!$A$2:$A$12)&gt;0,Categorías!$A$2:$A$12),"No encontrado")</f>
        <v>Funcional</v>
      </c>
      <c r="AO243" s="88" t="str" cm="1">
        <f t="array" ref="AO243">IFERROR(INDEX(Funcionalidades!$A$2:$A$80,MATCH(TRUE, COUNTIF(Reporte_Gral!R243:Z243,Funcionalidades!$A$2:$A$80)&gt;0,0)),"No encontrado")</f>
        <v>Main-Dashboard</v>
      </c>
      <c r="AP243" s="87" t="str">
        <f>IF(AND(COUNTIF(Tabla[[#This Row],[Etiquetas]:[Etiquetas17]],"*UAT_V*")&gt;0,COUNTIF(Tabla[[#This Row],[Etiquetas]:[Etiquetas17]],"*QA-Integración*")=0),"SI","")</f>
        <v/>
      </c>
      <c r="AQ243" s="88" t="str" cm="1">
        <f t="array" ref="AQ243">IF(Tabla[[#This Row],[Fue encontrado durante UAT?]]="SI",IFERROR(_xlfn.XLOOKUP(TRUE,ISNUMBER(SEARCH("UAT_V",Tabla[[#This Row],[Etiquetas]:[Etiquetas17]])),Tabla[[#This Row],[Etiquetas]:[Etiquetas17]]),""),"")</f>
        <v/>
      </c>
      <c r="AR243" s="87" t="str">
        <f>IF(COUNTIF(Tabla[[#This Row],[Etiquetas]:[Etiquetas17]],"*Devuelto*")&gt;0,"SI","")</f>
        <v/>
      </c>
      <c r="AS243" s="167">
        <f>COUNTIF(Tabla[[#This Row],[Etiquetas]:[Etiquetas17]],"*Devuelto*")</f>
        <v>0</v>
      </c>
    </row>
    <row r="244" spans="1:45" ht="15" customHeight="1">
      <c r="A244" s="40" t="s">
        <v>128</v>
      </c>
      <c r="B244" s="40" t="s">
        <v>738</v>
      </c>
      <c r="C244" s="40">
        <v>99022</v>
      </c>
      <c r="D244" s="40" t="s">
        <v>739</v>
      </c>
      <c r="E244" s="40" t="s">
        <v>40</v>
      </c>
      <c r="F244" s="40" t="s">
        <v>26</v>
      </c>
      <c r="G244" s="40" t="s">
        <v>637</v>
      </c>
      <c r="H244" s="40" t="s">
        <v>561</v>
      </c>
      <c r="I244" s="40" t="s">
        <v>429</v>
      </c>
      <c r="J244" s="40" t="s">
        <v>307</v>
      </c>
      <c r="K244" s="40" t="s">
        <v>224</v>
      </c>
      <c r="L244" s="40" t="s">
        <v>151</v>
      </c>
      <c r="M244" s="40"/>
      <c r="N244" s="40"/>
      <c r="O244" s="40"/>
      <c r="P244" s="40"/>
      <c r="Q244" s="40"/>
      <c r="R244" s="40" t="s">
        <v>145</v>
      </c>
      <c r="S244" s="40" t="s">
        <v>139</v>
      </c>
      <c r="T244" s="40" t="s">
        <v>709</v>
      </c>
      <c r="U244" s="40" t="s">
        <v>226</v>
      </c>
      <c r="V244" s="40" t="s">
        <v>154</v>
      </c>
      <c r="W244" s="40" t="s">
        <v>188</v>
      </c>
      <c r="X244" s="40"/>
      <c r="Y244" s="40"/>
      <c r="Z244" s="40"/>
      <c r="AA244" s="40" t="s">
        <v>217</v>
      </c>
      <c r="AB244" s="53">
        <v>45932.595138888886</v>
      </c>
      <c r="AC244" s="40" t="s">
        <v>732</v>
      </c>
      <c r="AD244" s="40"/>
      <c r="AE244" s="40"/>
      <c r="AF244" s="40"/>
      <c r="AG244" s="40" t="s">
        <v>135</v>
      </c>
      <c r="AH244" s="10" t="s">
        <v>221</v>
      </c>
      <c r="AI244" s="87"/>
      <c r="AJ244" s="87" cm="1">
        <f t="array" ref="AJ244">IFERROR(_xlfn.XLOOKUP(TRUE,COUNTIF(Tabla[[#This Row],[Etiquetas]:[Etiquetas17]],Versiones!$G$2:$G$36)&gt;0,Versiones!$B$2:$B$36), "")</f>
        <v>20</v>
      </c>
      <c r="AK244" s="87" t="str" cm="1">
        <f t="array" ref="AK244">IFERROR(_xlfn.XLOOKUP(TRUE,COUNTIF(Tabla[[#This Row],[Etiquetas]:[Etiquetas17]],Versiones!$G$2:$G$36)&gt;0,Versiones!$A$2:$A$36), "")</f>
        <v>V0.8</v>
      </c>
      <c r="AL24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44" s="78" t="str">
        <f>IFERROR(_xlfn.XLOOKUP(Tabla[[#This Row],[¿En qué versión fue corregido?]],Versiones!$A$2:$A$34,Versiones!$B$2:$B$34),"No encontrado")</f>
        <v>No encontrado</v>
      </c>
      <c r="AN244" s="88" t="str" cm="1">
        <f t="array" ref="AN244">IFERROR(_xlfn.XLOOKUP(TRUE,COUNTIF(Tabla[[#This Row],[Etiquetas]:[Etiquetas17]],Categorías!$A$2:$A$12)&gt;0,Categorías!$A$2:$A$12),"No encontrado")</f>
        <v>Funcional</v>
      </c>
      <c r="AO244" s="88" t="str" cm="1">
        <f t="array" ref="AO244">IFERROR(INDEX(Funcionalidades!$A$2:$A$80,MATCH(TRUE, COUNTIF(Reporte_Gral!R244:Z244,Funcionalidades!$A$2:$A$80)&gt;0,0)),"No encontrado")</f>
        <v>Cierre-De-Turno</v>
      </c>
      <c r="AP244" s="87" t="str">
        <f>IF(AND(COUNTIF(Tabla[[#This Row],[Etiquetas]:[Etiquetas17]],"*UAT_V*")&gt;0,COUNTIF(Tabla[[#This Row],[Etiquetas]:[Etiquetas17]],"*QA-Integración*")=0),"SI","")</f>
        <v/>
      </c>
      <c r="AQ244" s="88" t="str" cm="1">
        <f t="array" ref="AQ244">IF(Tabla[[#This Row],[Fue encontrado durante UAT?]]="SI",IFERROR(_xlfn.XLOOKUP(TRUE,ISNUMBER(SEARCH("UAT_V",Tabla[[#This Row],[Etiquetas]:[Etiquetas17]])),Tabla[[#This Row],[Etiquetas]:[Etiquetas17]]),""),"")</f>
        <v/>
      </c>
      <c r="AR244" s="87" t="str">
        <f>IF(COUNTIF(Tabla[[#This Row],[Etiquetas]:[Etiquetas17]],"*Devuelto*")&gt;0,"SI","")</f>
        <v/>
      </c>
      <c r="AS244" s="167">
        <f>COUNTIF(Tabla[[#This Row],[Etiquetas]:[Etiquetas17]],"*Devuelto*")</f>
        <v>0</v>
      </c>
    </row>
    <row r="245" spans="1:45" ht="15" customHeight="1">
      <c r="A245" s="40" t="s">
        <v>128</v>
      </c>
      <c r="B245" s="40" t="s">
        <v>740</v>
      </c>
      <c r="C245" s="40">
        <v>98875</v>
      </c>
      <c r="D245" s="40" t="s">
        <v>741</v>
      </c>
      <c r="E245" s="40" t="s">
        <v>36</v>
      </c>
      <c r="F245" s="40" t="s">
        <v>24</v>
      </c>
      <c r="G245" s="40" t="s">
        <v>721</v>
      </c>
      <c r="H245" s="40" t="s">
        <v>637</v>
      </c>
      <c r="I245" s="40" t="s">
        <v>561</v>
      </c>
      <c r="J245" s="40" t="s">
        <v>429</v>
      </c>
      <c r="K245" s="40" t="s">
        <v>307</v>
      </c>
      <c r="L245" s="40" t="s">
        <v>224</v>
      </c>
      <c r="M245" s="40" t="s">
        <v>151</v>
      </c>
      <c r="N245" s="40"/>
      <c r="O245" s="40"/>
      <c r="P245" s="40"/>
      <c r="Q245" s="40"/>
      <c r="R245" s="40" t="s">
        <v>139</v>
      </c>
      <c r="S245" s="40" t="s">
        <v>442</v>
      </c>
      <c r="T245" s="40" t="s">
        <v>709</v>
      </c>
      <c r="U245" s="40"/>
      <c r="V245" s="40"/>
      <c r="W245" s="40"/>
      <c r="X245" s="40"/>
      <c r="Y245" s="40"/>
      <c r="Z245" s="40"/>
      <c r="AA245" s="40" t="s">
        <v>217</v>
      </c>
      <c r="AB245" s="53">
        <v>45932.38958333333</v>
      </c>
      <c r="AC245" s="40"/>
      <c r="AD245" s="40"/>
      <c r="AE245" s="40"/>
      <c r="AF245" s="40"/>
      <c r="AG245" s="40" t="s">
        <v>135</v>
      </c>
      <c r="AH245" s="10" t="s">
        <v>221</v>
      </c>
      <c r="AI245" s="87"/>
      <c r="AJ245" s="87" cm="1">
        <f t="array" ref="AJ245">IFERROR(_xlfn.XLOOKUP(TRUE,COUNTIF(Tabla[[#This Row],[Etiquetas]:[Etiquetas17]],Versiones!$G$2:$G$36)&gt;0,Versiones!$B$2:$B$36), "")</f>
        <v>20</v>
      </c>
      <c r="AK245" s="87" t="str" cm="1">
        <f t="array" ref="AK245">IFERROR(_xlfn.XLOOKUP(TRUE,COUNTIF(Tabla[[#This Row],[Etiquetas]:[Etiquetas17]],Versiones!$G$2:$G$36)&gt;0,Versiones!$A$2:$A$36), "")</f>
        <v>V0.8</v>
      </c>
      <c r="AL24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45" s="78" t="str">
        <f>IFERROR(_xlfn.XLOOKUP(Tabla[[#This Row],[¿En qué versión fue corregido?]],Versiones!$A$2:$A$34,Versiones!$B$2:$B$34),"No encontrado")</f>
        <v>No encontrado</v>
      </c>
      <c r="AN245" s="88" t="str" cm="1">
        <f t="array" ref="AN245">IFERROR(_xlfn.XLOOKUP(TRUE,COUNTIF(Tabla[[#This Row],[Etiquetas]:[Etiquetas17]],Categorías!$A$2:$A$12)&gt;0,Categorías!$A$2:$A$12),"No encontrado")</f>
        <v>Funcional</v>
      </c>
      <c r="AO245" s="88" t="str" cm="1">
        <f t="array" ref="AO245">IFERROR(INDEX(Funcionalidades!$A$2:$A$80,MATCH(TRUE, COUNTIF(Reporte_Gral!R245:Z245,Funcionalidades!$A$2:$A$80)&gt;0,0)),"No encontrado")</f>
        <v>Login</v>
      </c>
      <c r="AP245" s="87" t="str">
        <f>IF(AND(COUNTIF(Tabla[[#This Row],[Etiquetas]:[Etiquetas17]],"*UAT_V*")&gt;0,COUNTIF(Tabla[[#This Row],[Etiquetas]:[Etiquetas17]],"*QA-Integración*")=0),"SI","")</f>
        <v/>
      </c>
      <c r="AQ245" s="88" t="str" cm="1">
        <f t="array" ref="AQ245">IF(Tabla[[#This Row],[Fue encontrado durante UAT?]]="SI",IFERROR(_xlfn.XLOOKUP(TRUE,ISNUMBER(SEARCH("UAT_V",Tabla[[#This Row],[Etiquetas]:[Etiquetas17]])),Tabla[[#This Row],[Etiquetas]:[Etiquetas17]]),""),"")</f>
        <v/>
      </c>
      <c r="AR245" s="87" t="str">
        <f>IF(COUNTIF(Tabla[[#This Row],[Etiquetas]:[Etiquetas17]],"*Devuelto*")&gt;0,"SI","")</f>
        <v/>
      </c>
      <c r="AS245" s="167">
        <f>COUNTIF(Tabla[[#This Row],[Etiquetas]:[Etiquetas17]],"*Devuelto*")</f>
        <v>0</v>
      </c>
    </row>
    <row r="246" spans="1:45" ht="15" customHeight="1">
      <c r="A246" s="40" t="s">
        <v>128</v>
      </c>
      <c r="B246" s="40" t="s">
        <v>742</v>
      </c>
      <c r="C246" s="40">
        <v>98650</v>
      </c>
      <c r="D246" s="40" t="s">
        <v>743</v>
      </c>
      <c r="E246" s="40" t="s">
        <v>41</v>
      </c>
      <c r="F246" s="40" t="s">
        <v>24</v>
      </c>
      <c r="G246" s="40" t="s">
        <v>721</v>
      </c>
      <c r="H246" s="40" t="s">
        <v>637</v>
      </c>
      <c r="I246" s="40" t="s">
        <v>561</v>
      </c>
      <c r="J246" s="40" t="s">
        <v>429</v>
      </c>
      <c r="K246" s="40" t="s">
        <v>307</v>
      </c>
      <c r="L246" s="40" t="s">
        <v>224</v>
      </c>
      <c r="M246" s="40" t="s">
        <v>151</v>
      </c>
      <c r="N246" s="40"/>
      <c r="O246" s="40"/>
      <c r="P246" s="40"/>
      <c r="Q246" s="40"/>
      <c r="R246" s="40" t="s">
        <v>139</v>
      </c>
      <c r="S246" s="40" t="s">
        <v>709</v>
      </c>
      <c r="T246" s="40" t="s">
        <v>276</v>
      </c>
      <c r="U246" s="40"/>
      <c r="V246" s="40"/>
      <c r="W246" s="40"/>
      <c r="X246" s="40"/>
      <c r="Y246" s="40"/>
      <c r="Z246" s="40"/>
      <c r="AA246" s="40" t="s">
        <v>134</v>
      </c>
      <c r="AB246" s="53">
        <v>45931.62777777778</v>
      </c>
      <c r="AC246" s="40"/>
      <c r="AD246" s="40"/>
      <c r="AE246" s="40"/>
      <c r="AF246" s="40"/>
      <c r="AG246" s="40" t="s">
        <v>141</v>
      </c>
      <c r="AH246" s="10" t="s">
        <v>184</v>
      </c>
      <c r="AI246" s="87"/>
      <c r="AJ246" s="87" cm="1">
        <f t="array" ref="AJ246">IFERROR(_xlfn.XLOOKUP(TRUE,COUNTIF(Tabla[[#This Row],[Etiquetas]:[Etiquetas17]],Versiones!$G$2:$G$36)&gt;0,Versiones!$B$2:$B$36), "")</f>
        <v>20</v>
      </c>
      <c r="AK246" s="87" t="str" cm="1">
        <f t="array" ref="AK246">IFERROR(_xlfn.XLOOKUP(TRUE,COUNTIF(Tabla[[#This Row],[Etiquetas]:[Etiquetas17]],Versiones!$G$2:$G$36)&gt;0,Versiones!$A$2:$A$36), "")</f>
        <v>V0.8</v>
      </c>
      <c r="AL24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46" s="78" t="str">
        <f>IFERROR(_xlfn.XLOOKUP(Tabla[[#This Row],[¿En qué versión fue corregido?]],Versiones!$A$2:$A$34,Versiones!$B$2:$B$34),"No encontrado")</f>
        <v>No encontrado</v>
      </c>
      <c r="AN246" s="88" t="str" cm="1">
        <f t="array" ref="AN246">IFERROR(_xlfn.XLOOKUP(TRUE,COUNTIF(Tabla[[#This Row],[Etiquetas]:[Etiquetas17]],Categorías!$A$2:$A$12)&gt;0,Categorías!$A$2:$A$12),"No encontrado")</f>
        <v>Funcional</v>
      </c>
      <c r="AO246" s="88" t="str" cm="1">
        <f t="array" ref="AO246">IFERROR(INDEX(Funcionalidades!$A$2:$A$80,MATCH(TRUE, COUNTIF(Reporte_Gral!R246:Z246,Funcionalidades!$A$2:$A$80)&gt;0,0)),"No encontrado")</f>
        <v>Reporte-De-Inventario</v>
      </c>
      <c r="AP246" s="87" t="str">
        <f>IF(AND(COUNTIF(Tabla[[#This Row],[Etiquetas]:[Etiquetas17]],"*UAT_V*")&gt;0,COUNTIF(Tabla[[#This Row],[Etiquetas]:[Etiquetas17]],"*QA-Integración*")=0),"SI","")</f>
        <v/>
      </c>
      <c r="AQ246" s="88" t="str" cm="1">
        <f t="array" ref="AQ246">IF(Tabla[[#This Row],[Fue encontrado durante UAT?]]="SI",IFERROR(_xlfn.XLOOKUP(TRUE,ISNUMBER(SEARCH("UAT_V",Tabla[[#This Row],[Etiquetas]:[Etiquetas17]])),Tabla[[#This Row],[Etiquetas]:[Etiquetas17]]),""),"")</f>
        <v/>
      </c>
      <c r="AR246" s="87" t="str">
        <f>IF(COUNTIF(Tabla[[#This Row],[Etiquetas]:[Etiquetas17]],"*Devuelto*")&gt;0,"SI","")</f>
        <v/>
      </c>
      <c r="AS246" s="167">
        <f>COUNTIF(Tabla[[#This Row],[Etiquetas]:[Etiquetas17]],"*Devuelto*")</f>
        <v>0</v>
      </c>
    </row>
    <row r="247" spans="1:45" ht="15" customHeight="1">
      <c r="A247" s="40" t="s">
        <v>128</v>
      </c>
      <c r="B247" s="40" t="s">
        <v>744</v>
      </c>
      <c r="C247" s="40">
        <v>98563</v>
      </c>
      <c r="D247" s="40" t="s">
        <v>745</v>
      </c>
      <c r="E247" s="40" t="s">
        <v>36</v>
      </c>
      <c r="F247" s="40" t="s">
        <v>26</v>
      </c>
      <c r="G247" s="40" t="s">
        <v>637</v>
      </c>
      <c r="H247" s="40" t="s">
        <v>561</v>
      </c>
      <c r="I247" s="40" t="s">
        <v>429</v>
      </c>
      <c r="J247" s="40" t="s">
        <v>307</v>
      </c>
      <c r="K247" s="40" t="s">
        <v>224</v>
      </c>
      <c r="L247" s="40" t="s">
        <v>151</v>
      </c>
      <c r="M247" s="40"/>
      <c r="N247" s="40"/>
      <c r="O247" s="40"/>
      <c r="P247" s="40"/>
      <c r="Q247" s="40"/>
      <c r="R247" s="40" t="s">
        <v>287</v>
      </c>
      <c r="S247" s="40" t="s">
        <v>598</v>
      </c>
      <c r="T247" s="40" t="s">
        <v>664</v>
      </c>
      <c r="U247" s="40"/>
      <c r="V247" s="40"/>
      <c r="W247" s="40"/>
      <c r="X247" s="40"/>
      <c r="Y247" s="40"/>
      <c r="Z247" s="40"/>
      <c r="AA247" s="40" t="s">
        <v>134</v>
      </c>
      <c r="AB247" s="53">
        <v>45931.461111111108</v>
      </c>
      <c r="AC247" s="40" t="s">
        <v>732</v>
      </c>
      <c r="AD247" s="40" t="s">
        <v>710</v>
      </c>
      <c r="AE247" s="40"/>
      <c r="AF247" s="40"/>
      <c r="AG247" s="40" t="s">
        <v>141</v>
      </c>
      <c r="AH247" s="10" t="s">
        <v>221</v>
      </c>
      <c r="AI247" s="87"/>
      <c r="AJ247" s="87" cm="1">
        <f t="array" ref="AJ247">IFERROR(_xlfn.XLOOKUP(TRUE,COUNTIF(Tabla[[#This Row],[Etiquetas]:[Etiquetas17]],Versiones!$G$2:$G$36)&gt;0,Versiones!$B$2:$B$36), "")</f>
        <v>22</v>
      </c>
      <c r="AK247" s="87" t="str" cm="1">
        <f t="array" ref="AK247">IFERROR(_xlfn.XLOOKUP(TRUE,COUNTIF(Tabla[[#This Row],[Etiquetas]:[Etiquetas17]],Versiones!$G$2:$G$36)&gt;0,Versiones!$A$2:$A$36), "")</f>
        <v>V0.10</v>
      </c>
      <c r="AL24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47" s="78">
        <f>IFERROR(_xlfn.XLOOKUP(Tabla[[#This Row],[¿En qué versión fue corregido?]],Versiones!$A$2:$A$34,Versiones!$B$2:$B$34),"No encontrado")</f>
        <v>20</v>
      </c>
      <c r="AN247" s="88" t="str" cm="1">
        <f t="array" ref="AN247">IFERROR(_xlfn.XLOOKUP(TRUE,COUNTIF(Tabla[[#This Row],[Etiquetas]:[Etiquetas17]],Categorías!$A$2:$A$12)&gt;0,Categorías!$A$2:$A$12),"No encontrado")</f>
        <v>Eventos_iOT</v>
      </c>
      <c r="AO247" s="88" t="str" cm="1">
        <f t="array" ref="AO247">IFERROR(INDEX(Funcionalidades!$A$2:$A$80,MATCH(TRUE, COUNTIF(Reporte_Gral!R247:Z247,Funcionalidades!$A$2:$A$80)&gt;0,0)),"No encontrado")</f>
        <v>Logout</v>
      </c>
      <c r="AP247" s="87" t="str">
        <f>IF(AND(COUNTIF(Tabla[[#This Row],[Etiquetas]:[Etiquetas17]],"*UAT_V*")&gt;0,COUNTIF(Tabla[[#This Row],[Etiquetas]:[Etiquetas17]],"*QA-Integración*")=0),"SI","")</f>
        <v/>
      </c>
      <c r="AQ247" s="88" t="str" cm="1">
        <f t="array" ref="AQ247">IF(Tabla[[#This Row],[Fue encontrado durante UAT?]]="SI",IFERROR(_xlfn.XLOOKUP(TRUE,ISNUMBER(SEARCH("UAT_V",Tabla[[#This Row],[Etiquetas]:[Etiquetas17]])),Tabla[[#This Row],[Etiquetas]:[Etiquetas17]]),""),"")</f>
        <v/>
      </c>
      <c r="AR247" s="87" t="str">
        <f>IF(COUNTIF(Tabla[[#This Row],[Etiquetas]:[Etiquetas17]],"*Devuelto*")&gt;0,"SI","")</f>
        <v/>
      </c>
      <c r="AS247" s="167">
        <f>COUNTIF(Tabla[[#This Row],[Etiquetas]:[Etiquetas17]],"*Devuelto*")</f>
        <v>0</v>
      </c>
    </row>
    <row r="248" spans="1:45" ht="15" customHeight="1">
      <c r="A248" s="40" t="s">
        <v>128</v>
      </c>
      <c r="B248" s="40" t="s">
        <v>746</v>
      </c>
      <c r="C248" s="40">
        <v>98503</v>
      </c>
      <c r="D248" s="40" t="s">
        <v>747</v>
      </c>
      <c r="E248" s="40" t="s">
        <v>36</v>
      </c>
      <c r="F248" s="40" t="s">
        <v>26</v>
      </c>
      <c r="G248" s="40" t="s">
        <v>637</v>
      </c>
      <c r="H248" s="40" t="s">
        <v>561</v>
      </c>
      <c r="I248" s="40" t="s">
        <v>429</v>
      </c>
      <c r="J248" s="40" t="s">
        <v>307</v>
      </c>
      <c r="K248" s="40" t="s">
        <v>224</v>
      </c>
      <c r="L248" s="40" t="s">
        <v>151</v>
      </c>
      <c r="M248" s="40"/>
      <c r="N248" s="40"/>
      <c r="O248" s="40"/>
      <c r="P248" s="40"/>
      <c r="Q248" s="40"/>
      <c r="R248" s="40" t="s">
        <v>139</v>
      </c>
      <c r="S248" s="40" t="s">
        <v>237</v>
      </c>
      <c r="T248" s="40" t="s">
        <v>709</v>
      </c>
      <c r="U248" s="40" t="s">
        <v>204</v>
      </c>
      <c r="V248" s="40" t="s">
        <v>154</v>
      </c>
      <c r="W248" s="40"/>
      <c r="X248" s="40"/>
      <c r="Y248" s="40"/>
      <c r="Z248" s="40"/>
      <c r="AA248" s="40" t="s">
        <v>217</v>
      </c>
      <c r="AB248" s="53">
        <v>45931.367361111108</v>
      </c>
      <c r="AC248" s="40" t="s">
        <v>732</v>
      </c>
      <c r="AD248" s="40"/>
      <c r="AE248" s="40"/>
      <c r="AF248" s="40"/>
      <c r="AG248" s="40" t="s">
        <v>141</v>
      </c>
      <c r="AH248" s="10" t="s">
        <v>136</v>
      </c>
      <c r="AI248" s="87"/>
      <c r="AJ248" s="87" cm="1">
        <f t="array" ref="AJ248">IFERROR(_xlfn.XLOOKUP(TRUE,COUNTIF(Tabla[[#This Row],[Etiquetas]:[Etiquetas17]],Versiones!$G$2:$G$36)&gt;0,Versiones!$B$2:$B$36), "")</f>
        <v>20</v>
      </c>
      <c r="AK248" s="87" t="str" cm="1">
        <f t="array" ref="AK248">IFERROR(_xlfn.XLOOKUP(TRUE,COUNTIF(Tabla[[#This Row],[Etiquetas]:[Etiquetas17]],Versiones!$G$2:$G$36)&gt;0,Versiones!$A$2:$A$36), "")</f>
        <v>V0.8</v>
      </c>
      <c r="AL24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48" s="78" t="str">
        <f>IFERROR(_xlfn.XLOOKUP(Tabla[[#This Row],[¿En qué versión fue corregido?]],Versiones!$A$2:$A$34,Versiones!$B$2:$B$34),"No encontrado")</f>
        <v>No encontrado</v>
      </c>
      <c r="AN248" s="88" t="str" cm="1">
        <f t="array" ref="AN248">IFERROR(_xlfn.XLOOKUP(TRUE,COUNTIF(Tabla[[#This Row],[Etiquetas]:[Etiquetas17]],Categorías!$A$2:$A$12)&gt;0,Categorías!$A$2:$A$12),"No encontrado")</f>
        <v>Funcional</v>
      </c>
      <c r="AO248" s="88" t="str" cm="1">
        <f t="array" ref="AO248">IFERROR(INDEX(Funcionalidades!$A$2:$A$80,MATCH(TRUE, COUNTIF(Reporte_Gral!R248:Z248,Funcionalidades!$A$2:$A$80)&gt;0,0)),"No encontrado")</f>
        <v>Main-Dashboard</v>
      </c>
      <c r="AP248" s="87" t="str">
        <f>IF(AND(COUNTIF(Tabla[[#This Row],[Etiquetas]:[Etiquetas17]],"*UAT_V*")&gt;0,COUNTIF(Tabla[[#This Row],[Etiquetas]:[Etiquetas17]],"*QA-Integración*")=0),"SI","")</f>
        <v/>
      </c>
      <c r="AQ248" s="88" t="str" cm="1">
        <f t="array" ref="AQ248">IF(Tabla[[#This Row],[Fue encontrado durante UAT?]]="SI",IFERROR(_xlfn.XLOOKUP(TRUE,ISNUMBER(SEARCH("UAT_V",Tabla[[#This Row],[Etiquetas]:[Etiquetas17]])),Tabla[[#This Row],[Etiquetas]:[Etiquetas17]]),""),"")</f>
        <v/>
      </c>
      <c r="AR248" s="87" t="str">
        <f>IF(COUNTIF(Tabla[[#This Row],[Etiquetas]:[Etiquetas17]],"*Devuelto*")&gt;0,"SI","")</f>
        <v/>
      </c>
      <c r="AS248" s="167">
        <f>COUNTIF(Tabla[[#This Row],[Etiquetas]:[Etiquetas17]],"*Devuelto*")</f>
        <v>0</v>
      </c>
    </row>
    <row r="249" spans="1:45" ht="15" customHeight="1">
      <c r="A249" s="40" t="s">
        <v>128</v>
      </c>
      <c r="B249" s="40" t="s">
        <v>748</v>
      </c>
      <c r="C249" s="40">
        <v>97844</v>
      </c>
      <c r="D249" s="40" t="s">
        <v>749</v>
      </c>
      <c r="E249" s="40" t="s">
        <v>36</v>
      </c>
      <c r="F249" s="40" t="s">
        <v>26</v>
      </c>
      <c r="G249" s="40" t="s">
        <v>637</v>
      </c>
      <c r="H249" s="40" t="s">
        <v>561</v>
      </c>
      <c r="I249" s="40" t="s">
        <v>429</v>
      </c>
      <c r="J249" s="40" t="s">
        <v>307</v>
      </c>
      <c r="K249" s="40" t="s">
        <v>224</v>
      </c>
      <c r="L249" s="40" t="s">
        <v>151</v>
      </c>
      <c r="M249" s="40"/>
      <c r="N249" s="40"/>
      <c r="O249" s="40"/>
      <c r="P249" s="40"/>
      <c r="Q249" s="40"/>
      <c r="R249" s="40" t="s">
        <v>132</v>
      </c>
      <c r="S249" s="40" t="s">
        <v>750</v>
      </c>
      <c r="T249" s="40" t="s">
        <v>210</v>
      </c>
      <c r="U249" s="40" t="s">
        <v>204</v>
      </c>
      <c r="V249" s="40" t="s">
        <v>154</v>
      </c>
      <c r="W249" s="40"/>
      <c r="X249" s="40"/>
      <c r="Y249" s="40"/>
      <c r="Z249" s="40"/>
      <c r="AA249" s="40" t="s">
        <v>217</v>
      </c>
      <c r="AB249" s="53">
        <v>45929.380555555559</v>
      </c>
      <c r="AC249" s="40" t="s">
        <v>511</v>
      </c>
      <c r="AD249" s="40"/>
      <c r="AE249" s="40"/>
      <c r="AF249" s="40"/>
      <c r="AG249" s="40" t="s">
        <v>141</v>
      </c>
      <c r="AH249" s="10" t="s">
        <v>159</v>
      </c>
      <c r="AI249" s="87"/>
      <c r="AJ249" s="87" cm="1">
        <f t="array" ref="AJ249">IFERROR(_xlfn.XLOOKUP(TRUE,COUNTIF(Tabla[[#This Row],[Etiquetas]:[Etiquetas17]],Versiones!$G$2:$G$36)&gt;0,Versiones!$B$2:$B$36), "")</f>
        <v>19</v>
      </c>
      <c r="AK249" s="87" t="str" cm="1">
        <f t="array" ref="AK249">IFERROR(_xlfn.XLOOKUP(TRUE,COUNTIF(Tabla[[#This Row],[Etiquetas]:[Etiquetas17]],Versiones!$G$2:$G$36)&gt;0,Versiones!$A$2:$A$36), "")</f>
        <v>V0.7</v>
      </c>
      <c r="AL24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49" s="78">
        <f>IFERROR(_xlfn.XLOOKUP(Tabla[[#This Row],[¿En qué versión fue corregido?]],Versiones!$A$2:$A$34,Versiones!$B$2:$B$34),"No encontrado")</f>
        <v>23</v>
      </c>
      <c r="AN249" s="88" t="str" cm="1">
        <f t="array" ref="AN249">IFERROR(_xlfn.XLOOKUP(TRUE,COUNTIF(Tabla[[#This Row],[Etiquetas]:[Etiquetas17]],Categorías!$A$2:$A$12)&gt;0,Categorías!$A$2:$A$12),"No encontrado")</f>
        <v>Look&amp;Feel</v>
      </c>
      <c r="AO249" s="88" t="str" cm="1">
        <f t="array" ref="AO249">IFERROR(INDEX(Funcionalidades!$A$2:$A$80,MATCH(TRUE, COUNTIF(Reporte_Gral!R249:Z249,Funcionalidades!$A$2:$A$80)&gt;0,0)),"No encontrado")</f>
        <v>Realizar-Transferencia</v>
      </c>
      <c r="AP249" s="87" t="str">
        <f>IF(AND(COUNTIF(Tabla[[#This Row],[Etiquetas]:[Etiquetas17]],"*UAT_V*")&gt;0,COUNTIF(Tabla[[#This Row],[Etiquetas]:[Etiquetas17]],"*QA-Integración*")=0),"SI","")</f>
        <v/>
      </c>
      <c r="AQ249" s="88" t="str" cm="1">
        <f t="array" ref="AQ249">IF(Tabla[[#This Row],[Fue encontrado durante UAT?]]="SI",IFERROR(_xlfn.XLOOKUP(TRUE,ISNUMBER(SEARCH("UAT_V",Tabla[[#This Row],[Etiquetas]:[Etiquetas17]])),Tabla[[#This Row],[Etiquetas]:[Etiquetas17]]),""),"")</f>
        <v/>
      </c>
      <c r="AR249" s="87" t="str">
        <f>IF(COUNTIF(Tabla[[#This Row],[Etiquetas]:[Etiquetas17]],"*Devuelto*")&gt;0,"SI","")</f>
        <v/>
      </c>
      <c r="AS249" s="167">
        <f>COUNTIF(Tabla[[#This Row],[Etiquetas]:[Etiquetas17]],"*Devuelto*")</f>
        <v>0</v>
      </c>
    </row>
    <row r="250" spans="1:45" ht="15" customHeight="1">
      <c r="A250" s="40" t="s">
        <v>128</v>
      </c>
      <c r="B250" s="40" t="s">
        <v>751</v>
      </c>
      <c r="C250" s="40">
        <v>97661</v>
      </c>
      <c r="D250" s="40" t="s">
        <v>752</v>
      </c>
      <c r="E250" s="40" t="s">
        <v>36</v>
      </c>
      <c r="F250" s="40" t="s">
        <v>26</v>
      </c>
      <c r="G250" s="40" t="s">
        <v>753</v>
      </c>
      <c r="H250" s="40" t="s">
        <v>637</v>
      </c>
      <c r="I250" s="40" t="s">
        <v>561</v>
      </c>
      <c r="J250" s="40" t="s">
        <v>429</v>
      </c>
      <c r="K250" s="40" t="s">
        <v>307</v>
      </c>
      <c r="L250" s="40" t="s">
        <v>224</v>
      </c>
      <c r="M250" s="40" t="s">
        <v>151</v>
      </c>
      <c r="N250" s="40"/>
      <c r="O250" s="40"/>
      <c r="P250" s="40"/>
      <c r="Q250" s="40"/>
      <c r="R250" s="40" t="s">
        <v>158</v>
      </c>
      <c r="S250" s="40" t="s">
        <v>139</v>
      </c>
      <c r="T250" s="40" t="s">
        <v>750</v>
      </c>
      <c r="U250" s="40" t="s">
        <v>226</v>
      </c>
      <c r="V250" s="40" t="s">
        <v>154</v>
      </c>
      <c r="W250" s="40"/>
      <c r="X250" s="40"/>
      <c r="Y250" s="40"/>
      <c r="Z250" s="40"/>
      <c r="AA250" s="40" t="s">
        <v>217</v>
      </c>
      <c r="AB250" s="53">
        <v>45926.625</v>
      </c>
      <c r="AC250" s="40" t="s">
        <v>511</v>
      </c>
      <c r="AD250" s="40"/>
      <c r="AE250" s="40"/>
      <c r="AF250" s="40"/>
      <c r="AG250" s="40" t="s">
        <v>135</v>
      </c>
      <c r="AH250" s="10" t="s">
        <v>159</v>
      </c>
      <c r="AI250" s="87"/>
      <c r="AJ250" s="87" cm="1">
        <f t="array" ref="AJ250">IFERROR(_xlfn.XLOOKUP(TRUE,COUNTIF(Tabla[[#This Row],[Etiquetas]:[Etiquetas17]],Versiones!$G$2:$G$36)&gt;0,Versiones!$B$2:$B$36), "")</f>
        <v>19</v>
      </c>
      <c r="AK250" s="87" t="str" cm="1">
        <f t="array" ref="AK250">IFERROR(_xlfn.XLOOKUP(TRUE,COUNTIF(Tabla[[#This Row],[Etiquetas]:[Etiquetas17]],Versiones!$G$2:$G$36)&gt;0,Versiones!$A$2:$A$36), "")</f>
        <v>V0.7</v>
      </c>
      <c r="AL25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50" s="78">
        <f>IFERROR(_xlfn.XLOOKUP(Tabla[[#This Row],[¿En qué versión fue corregido?]],Versiones!$A$2:$A$34,Versiones!$B$2:$B$34),"No encontrado")</f>
        <v>23</v>
      </c>
      <c r="AN250" s="88" t="str" cm="1">
        <f t="array" ref="AN250">IFERROR(_xlfn.XLOOKUP(TRUE,COUNTIF(Tabla[[#This Row],[Etiquetas]:[Etiquetas17]],Categorías!$A$2:$A$12)&gt;0,Categorías!$A$2:$A$12),"No encontrado")</f>
        <v>Funcional</v>
      </c>
      <c r="AO250" s="88" t="str" cm="1">
        <f t="array" ref="AO250">IFERROR(INDEX(Funcionalidades!$A$2:$A$80,MATCH(TRUE, COUNTIF(Reporte_Gral!R250:Z250,Funcionalidades!$A$2:$A$80)&gt;0,0)),"No encontrado")</f>
        <v>Alivios</v>
      </c>
      <c r="AP250" s="87" t="str">
        <f>IF(AND(COUNTIF(Tabla[[#This Row],[Etiquetas]:[Etiquetas17]],"*UAT_V*")&gt;0,COUNTIF(Tabla[[#This Row],[Etiquetas]:[Etiquetas17]],"*QA-Integración*")=0),"SI","")</f>
        <v/>
      </c>
      <c r="AQ250" s="88" t="str" cm="1">
        <f t="array" ref="AQ250">IF(Tabla[[#This Row],[Fue encontrado durante UAT?]]="SI",IFERROR(_xlfn.XLOOKUP(TRUE,ISNUMBER(SEARCH("UAT_V",Tabla[[#This Row],[Etiquetas]:[Etiquetas17]])),Tabla[[#This Row],[Etiquetas]:[Etiquetas17]]),""),"")</f>
        <v/>
      </c>
      <c r="AR250" s="87" t="str">
        <f>IF(COUNTIF(Tabla[[#This Row],[Etiquetas]:[Etiquetas17]],"*Devuelto*")&gt;0,"SI","")</f>
        <v/>
      </c>
      <c r="AS250" s="167">
        <f>COUNTIF(Tabla[[#This Row],[Etiquetas]:[Etiquetas17]],"*Devuelto*")</f>
        <v>0</v>
      </c>
    </row>
    <row r="251" spans="1:45" ht="15" customHeight="1">
      <c r="A251" s="40" t="s">
        <v>128</v>
      </c>
      <c r="B251" s="40" t="s">
        <v>754</v>
      </c>
      <c r="C251" s="40">
        <v>97648</v>
      </c>
      <c r="D251" s="40" t="s">
        <v>755</v>
      </c>
      <c r="E251" s="40" t="s">
        <v>36</v>
      </c>
      <c r="F251" s="40" t="s">
        <v>26</v>
      </c>
      <c r="G251" s="40" t="s">
        <v>753</v>
      </c>
      <c r="H251" s="40" t="s">
        <v>637</v>
      </c>
      <c r="I251" s="40" t="s">
        <v>561</v>
      </c>
      <c r="J251" s="40" t="s">
        <v>429</v>
      </c>
      <c r="K251" s="40" t="s">
        <v>307</v>
      </c>
      <c r="L251" s="40" t="s">
        <v>224</v>
      </c>
      <c r="M251" s="40" t="s">
        <v>151</v>
      </c>
      <c r="N251" s="40"/>
      <c r="O251" s="40"/>
      <c r="P251" s="40"/>
      <c r="Q251" s="40"/>
      <c r="R251" s="40" t="s">
        <v>158</v>
      </c>
      <c r="S251" s="40" t="s">
        <v>139</v>
      </c>
      <c r="T251" s="40" t="s">
        <v>750</v>
      </c>
      <c r="U251" s="40" t="s">
        <v>226</v>
      </c>
      <c r="V251" s="40" t="s">
        <v>154</v>
      </c>
      <c r="W251" s="40"/>
      <c r="X251" s="40"/>
      <c r="Y251" s="40"/>
      <c r="Z251" s="40"/>
      <c r="AA251" s="40" t="s">
        <v>217</v>
      </c>
      <c r="AB251" s="53">
        <v>45926.606944444444</v>
      </c>
      <c r="AC251" s="40" t="s">
        <v>732</v>
      </c>
      <c r="AD251" s="40"/>
      <c r="AE251" s="40"/>
      <c r="AF251" s="40"/>
      <c r="AG251" s="40" t="s">
        <v>135</v>
      </c>
      <c r="AH251" s="10" t="s">
        <v>159</v>
      </c>
      <c r="AI251" s="87"/>
      <c r="AJ251" s="87" cm="1">
        <f t="array" ref="AJ251">IFERROR(_xlfn.XLOOKUP(TRUE,COUNTIF(Tabla[[#This Row],[Etiquetas]:[Etiquetas17]],Versiones!$G$2:$G$36)&gt;0,Versiones!$B$2:$B$36), "")</f>
        <v>19</v>
      </c>
      <c r="AK251" s="87" t="str" cm="1">
        <f t="array" ref="AK251">IFERROR(_xlfn.XLOOKUP(TRUE,COUNTIF(Tabla[[#This Row],[Etiquetas]:[Etiquetas17]],Versiones!$G$2:$G$36)&gt;0,Versiones!$A$2:$A$36), "")</f>
        <v>V0.7</v>
      </c>
      <c r="AL25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51" s="78" t="str">
        <f>IFERROR(_xlfn.XLOOKUP(Tabla[[#This Row],[¿En qué versión fue corregido?]],Versiones!$A$2:$A$34,Versiones!$B$2:$B$34),"No encontrado")</f>
        <v>No encontrado</v>
      </c>
      <c r="AN251" s="88" t="str" cm="1">
        <f t="array" ref="AN251">IFERROR(_xlfn.XLOOKUP(TRUE,COUNTIF(Tabla[[#This Row],[Etiquetas]:[Etiquetas17]],Categorías!$A$2:$A$12)&gt;0,Categorías!$A$2:$A$12),"No encontrado")</f>
        <v>Funcional</v>
      </c>
      <c r="AO251" s="87" t="str" cm="1">
        <f t="array" ref="AO251">IFERROR(INDEX(Funcionalidades!$A$2:$A$80,MATCH(TRUE, COUNTIF(Reporte_Gral!R251:Z251,Funcionalidades!$A$2:$A$80)&gt;0,0)),"No encontrado")</f>
        <v>Alivios</v>
      </c>
      <c r="AP251" s="87" t="str">
        <f>IF(AND(COUNTIF(Tabla[[#This Row],[Etiquetas]:[Etiquetas17]],"*UAT_V*")&gt;0,COUNTIF(Tabla[[#This Row],[Etiquetas]:[Etiquetas17]],"*QA-Integración*")=0),"SI","")</f>
        <v/>
      </c>
      <c r="AQ251" s="88" t="str" cm="1">
        <f t="array" ref="AQ251">IF(Tabla[[#This Row],[Fue encontrado durante UAT?]]="SI",IFERROR(_xlfn.XLOOKUP(TRUE,ISNUMBER(SEARCH("UAT_V",Tabla[[#This Row],[Etiquetas]:[Etiquetas17]])),Tabla[[#This Row],[Etiquetas]:[Etiquetas17]]),""),"")</f>
        <v/>
      </c>
      <c r="AR251" s="87" t="str">
        <f>IF(COUNTIF(Tabla[[#This Row],[Etiquetas]:[Etiquetas17]],"*Devuelto*")&gt;0,"SI","")</f>
        <v/>
      </c>
      <c r="AS251" s="167">
        <f>COUNTIF(Tabla[[#This Row],[Etiquetas]:[Etiquetas17]],"*Devuelto*")</f>
        <v>0</v>
      </c>
    </row>
    <row r="252" spans="1:45" ht="15" customHeight="1">
      <c r="A252" s="40" t="s">
        <v>128</v>
      </c>
      <c r="B252" s="40" t="s">
        <v>756</v>
      </c>
      <c r="C252" s="40">
        <v>97611</v>
      </c>
      <c r="D252" s="40" t="s">
        <v>757</v>
      </c>
      <c r="E252" s="40" t="s">
        <v>37</v>
      </c>
      <c r="F252" s="40" t="s">
        <v>24</v>
      </c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 t="s">
        <v>490</v>
      </c>
      <c r="S252" s="40" t="s">
        <v>351</v>
      </c>
      <c r="T252" s="40" t="s">
        <v>758</v>
      </c>
      <c r="U252" s="40"/>
      <c r="V252" s="40"/>
      <c r="W252" s="40"/>
      <c r="X252" s="40"/>
      <c r="Y252" s="40"/>
      <c r="Z252" s="40"/>
      <c r="AA252" s="40" t="s">
        <v>759</v>
      </c>
      <c r="AB252" s="53">
        <v>45926.549305555556</v>
      </c>
      <c r="AC252" s="40" t="s">
        <v>760</v>
      </c>
      <c r="AD252" s="40"/>
      <c r="AE252" s="40"/>
      <c r="AF252" s="40"/>
      <c r="AG252" s="40" t="s">
        <v>135</v>
      </c>
      <c r="AH252" s="10" t="s">
        <v>221</v>
      </c>
      <c r="AI252" s="87"/>
      <c r="AJ252" s="87" cm="1">
        <f t="array" ref="AJ252">IFERROR(_xlfn.XLOOKUP(TRUE,COUNTIF(Tabla[[#This Row],[Etiquetas]:[Etiquetas17]],Versiones!$G$2:$G$36)&gt;0,Versiones!$B$2:$B$36), "")</f>
        <v>19</v>
      </c>
      <c r="AK252" s="87" t="str" cm="1">
        <f t="array" ref="AK252">IFERROR(_xlfn.XLOOKUP(TRUE,COUNTIF(Tabla[[#This Row],[Etiquetas]:[Etiquetas17]],Versiones!$G$2:$G$36)&gt;0,Versiones!$A$2:$A$36), "")</f>
        <v>V0.7</v>
      </c>
      <c r="AL25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52" s="78">
        <f>IFERROR(_xlfn.XLOOKUP(Tabla[[#This Row],[¿En qué versión fue corregido?]],Versiones!$A$2:$A$34,Versiones!$B$2:$B$34),"No encontrado")</f>
        <v>19</v>
      </c>
      <c r="AN252" s="88" t="str" cm="1">
        <f t="array" ref="AN252">IFERROR(_xlfn.XLOOKUP(TRUE,COUNTIF(Tabla[[#This Row],[Etiquetas]:[Etiquetas17]],Categorías!$A$2:$A$12)&gt;0,Categorías!$A$2:$A$12),"No encontrado")</f>
        <v>Contenido/Datos</v>
      </c>
      <c r="AO252" s="88" t="str" cm="1">
        <f t="array" ref="AO252">IFERROR(INDEX(Funcionalidades!$A$2:$A$80,MATCH(TRUE, COUNTIF(Reporte_Gral!R252:Z252,Funcionalidades!$A$2:$A$80)&gt;0,0)),"No encontrado")</f>
        <v>Inicio-De-Día</v>
      </c>
      <c r="AP252" s="87" t="str">
        <f>IF(AND(COUNTIF(Tabla[[#This Row],[Etiquetas]:[Etiquetas17]],"*UAT_V*")&gt;0,COUNTIF(Tabla[[#This Row],[Etiquetas]:[Etiquetas17]],"*QA-Integración*")=0),"SI","")</f>
        <v/>
      </c>
      <c r="AQ252" s="88" t="str" cm="1">
        <f t="array" ref="AQ252">IF(Tabla[[#This Row],[Fue encontrado durante UAT?]]="SI",IFERROR(_xlfn.XLOOKUP(TRUE,ISNUMBER(SEARCH("UAT_V",Tabla[[#This Row],[Etiquetas]:[Etiquetas17]])),Tabla[[#This Row],[Etiquetas]:[Etiquetas17]]),""),"")</f>
        <v/>
      </c>
      <c r="AR252" s="87" t="str">
        <f>IF(COUNTIF(Tabla[[#This Row],[Etiquetas]:[Etiquetas17]],"*Devuelto*")&gt;0,"SI","")</f>
        <v/>
      </c>
      <c r="AS252" s="167">
        <f>COUNTIF(Tabla[[#This Row],[Etiquetas]:[Etiquetas17]],"*Devuelto*")</f>
        <v>0</v>
      </c>
    </row>
    <row r="253" spans="1:45" ht="15" customHeight="1">
      <c r="A253" s="40" t="s">
        <v>128</v>
      </c>
      <c r="B253" s="40" t="s">
        <v>761</v>
      </c>
      <c r="C253" s="40">
        <v>97011</v>
      </c>
      <c r="D253" s="40" t="s">
        <v>762</v>
      </c>
      <c r="E253" s="40" t="s">
        <v>36</v>
      </c>
      <c r="F253" s="40" t="s">
        <v>26</v>
      </c>
      <c r="G253" s="40" t="s">
        <v>753</v>
      </c>
      <c r="H253" s="40" t="s">
        <v>637</v>
      </c>
      <c r="I253" s="40" t="s">
        <v>561</v>
      </c>
      <c r="J253" s="40" t="s">
        <v>429</v>
      </c>
      <c r="K253" s="40" t="s">
        <v>307</v>
      </c>
      <c r="L253" s="40" t="s">
        <v>224</v>
      </c>
      <c r="M253" s="40" t="s">
        <v>151</v>
      </c>
      <c r="N253" s="40"/>
      <c r="O253" s="40"/>
      <c r="P253" s="40"/>
      <c r="Q253" s="40"/>
      <c r="R253" s="40" t="s">
        <v>287</v>
      </c>
      <c r="S253" s="40" t="s">
        <v>503</v>
      </c>
      <c r="T253" s="40" t="s">
        <v>750</v>
      </c>
      <c r="U253" s="40" t="s">
        <v>536</v>
      </c>
      <c r="V253" s="40" t="s">
        <v>634</v>
      </c>
      <c r="W253" s="40"/>
      <c r="X253" s="40"/>
      <c r="Y253" s="40"/>
      <c r="Z253" s="40"/>
      <c r="AA253" s="40" t="s">
        <v>134</v>
      </c>
      <c r="AB253" s="53">
        <v>45924.770138888889</v>
      </c>
      <c r="AC253" s="40" t="s">
        <v>550</v>
      </c>
      <c r="AD253" s="40"/>
      <c r="AE253" s="40"/>
      <c r="AF253" s="40"/>
      <c r="AG253" s="40" t="s">
        <v>135</v>
      </c>
      <c r="AH253" s="10" t="s">
        <v>221</v>
      </c>
      <c r="AI253" s="87"/>
      <c r="AJ253" s="87" cm="1">
        <f t="array" ref="AJ253">IFERROR(_xlfn.XLOOKUP(TRUE,COUNTIF(Tabla[[#This Row],[Etiquetas]:[Etiquetas17]],Versiones!$G$2:$G$36)&gt;0,Versiones!$B$2:$B$36), "")</f>
        <v>19</v>
      </c>
      <c r="AK253" s="87" t="str" cm="1">
        <f t="array" ref="AK253">IFERROR(_xlfn.XLOOKUP(TRUE,COUNTIF(Tabla[[#This Row],[Etiquetas]:[Etiquetas17]],Versiones!$G$2:$G$36)&gt;0,Versiones!$A$2:$A$36), "")</f>
        <v>V0.7</v>
      </c>
      <c r="AL25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V0.11</v>
      </c>
      <c r="AM253" s="78">
        <f>IFERROR(_xlfn.XLOOKUP(Tabla[[#This Row],[¿En qué versión fue corregido?]],Versiones!$A$2:$A$34,Versiones!$B$2:$B$34),"No encontrado")</f>
        <v>22</v>
      </c>
      <c r="AN253" s="88" t="str" cm="1">
        <f t="array" ref="AN253">IFERROR(_xlfn.XLOOKUP(TRUE,COUNTIF(Tabla[[#This Row],[Etiquetas]:[Etiquetas17]],Categorías!$A$2:$A$12)&gt;0,Categorías!$A$2:$A$12),"No encontrado")</f>
        <v>Eventos_iOT</v>
      </c>
      <c r="AO253" s="87" t="str" cm="1">
        <f t="array" ref="AO253">IFERROR(INDEX(Funcionalidades!$A$2:$A$80,MATCH(TRUE, COUNTIF(Reporte_Gral!R253:Z253,Funcionalidades!$A$2:$A$80)&gt;0,0)),"No encontrado")</f>
        <v>Fondeo-Adicional</v>
      </c>
      <c r="AP253" s="87" t="str">
        <f>IF(AND(COUNTIF(Tabla[[#This Row],[Etiquetas]:[Etiquetas17]],"*UAT_V*")&gt;0,COUNTIF(Tabla[[#This Row],[Etiquetas]:[Etiquetas17]],"*QA-Integración*")=0),"SI","")</f>
        <v/>
      </c>
      <c r="AQ253" s="88" t="str" cm="1">
        <f t="array" ref="AQ253">IF(Tabla[[#This Row],[Fue encontrado durante UAT?]]="SI",IFERROR(_xlfn.XLOOKUP(TRUE,ISNUMBER(SEARCH("UAT_V",Tabla[[#This Row],[Etiquetas]:[Etiquetas17]])),Tabla[[#This Row],[Etiquetas]:[Etiquetas17]]),""),"")</f>
        <v/>
      </c>
      <c r="AR253" s="87" t="str">
        <f>IF(COUNTIF(Tabla[[#This Row],[Etiquetas]:[Etiquetas17]],"*Devuelto*")&gt;0,"SI","")</f>
        <v/>
      </c>
      <c r="AS253" s="167">
        <f>COUNTIF(Tabla[[#This Row],[Etiquetas]:[Etiquetas17]],"*Devuelto*")</f>
        <v>0</v>
      </c>
    </row>
    <row r="254" spans="1:45" s="86" customFormat="1" ht="15" customHeight="1">
      <c r="A254" s="40" t="s">
        <v>128</v>
      </c>
      <c r="B254" s="40" t="s">
        <v>763</v>
      </c>
      <c r="C254" s="40">
        <v>96997</v>
      </c>
      <c r="D254" s="40" t="s">
        <v>764</v>
      </c>
      <c r="E254" s="40" t="s">
        <v>36</v>
      </c>
      <c r="F254" s="40" t="s">
        <v>26</v>
      </c>
      <c r="G254" s="40" t="s">
        <v>753</v>
      </c>
      <c r="H254" s="40" t="s">
        <v>307</v>
      </c>
      <c r="I254" s="40" t="s">
        <v>224</v>
      </c>
      <c r="J254" s="40" t="s">
        <v>151</v>
      </c>
      <c r="K254" s="40"/>
      <c r="L254" s="40"/>
      <c r="M254" s="40"/>
      <c r="N254" s="40"/>
      <c r="O254" s="40"/>
      <c r="P254" s="40"/>
      <c r="Q254" s="40"/>
      <c r="R254" s="40" t="s">
        <v>158</v>
      </c>
      <c r="S254" s="40" t="s">
        <v>287</v>
      </c>
      <c r="T254" s="40" t="s">
        <v>750</v>
      </c>
      <c r="U254" s="40" t="s">
        <v>634</v>
      </c>
      <c r="V254" s="40"/>
      <c r="W254" s="40"/>
      <c r="X254" s="40"/>
      <c r="Y254" s="40"/>
      <c r="Z254" s="40"/>
      <c r="AA254" s="40" t="s">
        <v>134</v>
      </c>
      <c r="AB254" s="53">
        <v>45924.736805555556</v>
      </c>
      <c r="AC254" s="40" t="s">
        <v>760</v>
      </c>
      <c r="AD254" s="40"/>
      <c r="AE254" s="40"/>
      <c r="AF254" s="40"/>
      <c r="AG254" s="40" t="s">
        <v>135</v>
      </c>
      <c r="AH254" s="10" t="s">
        <v>617</v>
      </c>
      <c r="AI254" s="87"/>
      <c r="AJ254" s="87" cm="1">
        <f t="array" ref="AJ254">IFERROR(_xlfn.XLOOKUP(TRUE,COUNTIF(Tabla[[#This Row],[Etiquetas]:[Etiquetas17]],Versiones!$G$2:$G$36)&gt;0,Versiones!$B$2:$B$36), "")</f>
        <v>19</v>
      </c>
      <c r="AK254" s="87" t="str" cm="1">
        <f t="array" ref="AK254">IFERROR(_xlfn.XLOOKUP(TRUE,COUNTIF(Tabla[[#This Row],[Etiquetas]:[Etiquetas17]],Versiones!$G$2:$G$36)&gt;0,Versiones!$A$2:$A$36), "")</f>
        <v>V0.7</v>
      </c>
      <c r="AL25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54" s="78">
        <f>IFERROR(_xlfn.XLOOKUP(Tabla[[#This Row],[¿En qué versión fue corregido?]],Versiones!$A$2:$A$34,Versiones!$B$2:$B$34),"No encontrado")</f>
        <v>19</v>
      </c>
      <c r="AN254" s="88" t="str" cm="1">
        <f t="array" ref="AN254">IFERROR(_xlfn.XLOOKUP(TRUE,COUNTIF(Tabla[[#This Row],[Etiquetas]:[Etiquetas17]],Categorías!$A$2:$A$12)&gt;0,Categorías!$A$2:$A$12),"No encontrado")</f>
        <v>Eventos_iOT</v>
      </c>
      <c r="AO254" s="88" t="str" cm="1">
        <f t="array" ref="AO254">IFERROR(INDEX(Funcionalidades!$A$2:$A$80,MATCH(TRUE, COUNTIF(Reporte_Gral!R254:Z254,Funcionalidades!$A$2:$A$80)&gt;0,0)),"No encontrado")</f>
        <v>Alivios</v>
      </c>
      <c r="AP254" s="87" t="str">
        <f>IF(AND(COUNTIF(Tabla[[#This Row],[Etiquetas]:[Etiquetas17]],"*UAT_V*")&gt;0,COUNTIF(Tabla[[#This Row],[Etiquetas]:[Etiquetas17]],"*QA-Integración*")=0),"SI","")</f>
        <v/>
      </c>
      <c r="AQ254" s="88" t="str" cm="1">
        <f t="array" ref="AQ254">IF(Tabla[[#This Row],[Fue encontrado durante UAT?]]="SI",IFERROR(_xlfn.XLOOKUP(TRUE,ISNUMBER(SEARCH("UAT_V",Tabla[[#This Row],[Etiquetas]:[Etiquetas17]])),Tabla[[#This Row],[Etiquetas]:[Etiquetas17]]),""),"")</f>
        <v/>
      </c>
      <c r="AR254" s="87" t="str">
        <f>IF(COUNTIF(Tabla[[#This Row],[Etiquetas]:[Etiquetas17]],"*Devuelto*")&gt;0,"SI","")</f>
        <v/>
      </c>
      <c r="AS254" s="167">
        <f>COUNTIF(Tabla[[#This Row],[Etiquetas]:[Etiquetas17]],"*Devuelto*")</f>
        <v>0</v>
      </c>
    </row>
    <row r="255" spans="1:45" ht="15" customHeight="1">
      <c r="A255" s="40" t="s">
        <v>128</v>
      </c>
      <c r="B255" s="40" t="s">
        <v>765</v>
      </c>
      <c r="C255" s="40">
        <v>96996</v>
      </c>
      <c r="D255" s="40" t="s">
        <v>766</v>
      </c>
      <c r="E255" s="40" t="s">
        <v>36</v>
      </c>
      <c r="F255" s="40" t="s">
        <v>26</v>
      </c>
      <c r="G255" s="40" t="s">
        <v>753</v>
      </c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 t="s">
        <v>139</v>
      </c>
      <c r="S255" s="40" t="s">
        <v>351</v>
      </c>
      <c r="T255" s="40" t="s">
        <v>758</v>
      </c>
      <c r="U255" s="40" t="s">
        <v>204</v>
      </c>
      <c r="V255" s="40" t="s">
        <v>154</v>
      </c>
      <c r="W255" s="40"/>
      <c r="X255" s="40"/>
      <c r="Y255" s="40"/>
      <c r="Z255" s="40"/>
      <c r="AA255" s="40" t="s">
        <v>767</v>
      </c>
      <c r="AB255" s="53">
        <v>45924.73541666667</v>
      </c>
      <c r="AC255" s="40" t="s">
        <v>710</v>
      </c>
      <c r="AD255" s="40"/>
      <c r="AE255" s="40"/>
      <c r="AF255" s="40"/>
      <c r="AG255" s="40" t="s">
        <v>141</v>
      </c>
      <c r="AH255" s="10" t="s">
        <v>136</v>
      </c>
      <c r="AI255" s="87"/>
      <c r="AJ255" s="87" cm="1">
        <f t="array" ref="AJ255">IFERROR(_xlfn.XLOOKUP(TRUE,COUNTIF(Tabla[[#This Row],[Etiquetas]:[Etiquetas17]],Versiones!$G$2:$G$36)&gt;0,Versiones!$B$2:$B$36), "")</f>
        <v>19</v>
      </c>
      <c r="AK255" s="87" t="str" cm="1">
        <f t="array" ref="AK255">IFERROR(_xlfn.XLOOKUP(TRUE,COUNTIF(Tabla[[#This Row],[Etiquetas]:[Etiquetas17]],Versiones!$G$2:$G$36)&gt;0,Versiones!$A$2:$A$36), "")</f>
        <v>V0.7</v>
      </c>
      <c r="AL25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55" s="78">
        <f>IFERROR(_xlfn.XLOOKUP(Tabla[[#This Row],[¿En qué versión fue corregido?]],Versiones!$A$2:$A$34,Versiones!$B$2:$B$34),"No encontrado")</f>
        <v>20</v>
      </c>
      <c r="AN255" s="88" t="str" cm="1">
        <f t="array" ref="AN255">IFERROR(_xlfn.XLOOKUP(TRUE,COUNTIF(Tabla[[#This Row],[Etiquetas]:[Etiquetas17]],Categorías!$A$2:$A$12)&gt;0,Categorías!$A$2:$A$12),"No encontrado")</f>
        <v>Funcional</v>
      </c>
      <c r="AO255" s="88" t="str" cm="1">
        <f t="array" ref="AO255">IFERROR(INDEX(Funcionalidades!$A$2:$A$80,MATCH(TRUE, COUNTIF(Reporte_Gral!R255:Z255,Funcionalidades!$A$2:$A$80)&gt;0,0)),"No encontrado")</f>
        <v>Inicio-De-Día</v>
      </c>
      <c r="AP255" s="87" t="str">
        <f>IF(AND(COUNTIF(Tabla[[#This Row],[Etiquetas]:[Etiquetas17]],"*UAT_V*")&gt;0,COUNTIF(Tabla[[#This Row],[Etiquetas]:[Etiquetas17]],"*QA-Integración*")=0),"SI","")</f>
        <v/>
      </c>
      <c r="AQ255" s="88" t="str" cm="1">
        <f t="array" ref="AQ255">IF(Tabla[[#This Row],[Fue encontrado durante UAT?]]="SI",IFERROR(_xlfn.XLOOKUP(TRUE,ISNUMBER(SEARCH("UAT_V",Tabla[[#This Row],[Etiquetas]:[Etiquetas17]])),Tabla[[#This Row],[Etiquetas]:[Etiquetas17]]),""),"")</f>
        <v/>
      </c>
      <c r="AR255" s="87" t="str">
        <f>IF(COUNTIF(Tabla[[#This Row],[Etiquetas]:[Etiquetas17]],"*Devuelto*")&gt;0,"SI","")</f>
        <v/>
      </c>
      <c r="AS255" s="167">
        <f>COUNTIF(Tabla[[#This Row],[Etiquetas]:[Etiquetas17]],"*Devuelto*")</f>
        <v>0</v>
      </c>
    </row>
    <row r="256" spans="1:45" ht="15" customHeight="1">
      <c r="A256" s="40" t="s">
        <v>128</v>
      </c>
      <c r="B256" s="40" t="s">
        <v>768</v>
      </c>
      <c r="C256" s="40">
        <v>96993</v>
      </c>
      <c r="D256" s="40" t="s">
        <v>769</v>
      </c>
      <c r="E256" s="40" t="s">
        <v>37</v>
      </c>
      <c r="F256" s="40" t="s">
        <v>27</v>
      </c>
      <c r="G256" s="40" t="s">
        <v>753</v>
      </c>
      <c r="H256" s="40" t="s">
        <v>224</v>
      </c>
      <c r="I256" s="40" t="s">
        <v>151</v>
      </c>
      <c r="J256" s="40"/>
      <c r="K256" s="40"/>
      <c r="L256" s="40"/>
      <c r="M256" s="40"/>
      <c r="N256" s="40"/>
      <c r="O256" s="40"/>
      <c r="P256" s="40"/>
      <c r="Q256" s="40"/>
      <c r="R256" s="40" t="s">
        <v>770</v>
      </c>
      <c r="S256" s="40" t="s">
        <v>287</v>
      </c>
      <c r="T256" s="40" t="s">
        <v>750</v>
      </c>
      <c r="U256" s="40" t="s">
        <v>204</v>
      </c>
      <c r="V256" s="40" t="s">
        <v>154</v>
      </c>
      <c r="W256" s="40" t="s">
        <v>536</v>
      </c>
      <c r="X256" s="40"/>
      <c r="Y256" s="40"/>
      <c r="Z256" s="40"/>
      <c r="AA256" s="40" t="s">
        <v>134</v>
      </c>
      <c r="AB256" s="53">
        <v>45924.728472222225</v>
      </c>
      <c r="AC256" s="40" t="s">
        <v>155</v>
      </c>
      <c r="AD256" s="40" t="s">
        <v>760</v>
      </c>
      <c r="AE256" s="40"/>
      <c r="AF256" s="40"/>
      <c r="AG256" s="40" t="s">
        <v>141</v>
      </c>
      <c r="AH256" s="10" t="s">
        <v>184</v>
      </c>
      <c r="AI256" s="87"/>
      <c r="AJ256" s="87" cm="1">
        <f t="array" ref="AJ256">IFERROR(_xlfn.XLOOKUP(TRUE,COUNTIF(Tabla[[#This Row],[Etiquetas]:[Etiquetas17]],Versiones!$G$2:$G$36)&gt;0,Versiones!$B$2:$B$36), "")</f>
        <v>19</v>
      </c>
      <c r="AK256" s="87" t="str" cm="1">
        <f t="array" ref="AK256">IFERROR(_xlfn.XLOOKUP(TRUE,COUNTIF(Tabla[[#This Row],[Etiquetas]:[Etiquetas17]],Versiones!$G$2:$G$36)&gt;0,Versiones!$A$2:$A$36), "")</f>
        <v>V0.7</v>
      </c>
      <c r="AL25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56" s="78">
        <f>IFERROR(_xlfn.XLOOKUP(Tabla[[#This Row],[¿En qué versión fue corregido?]],Versiones!$A$2:$A$34,Versiones!$B$2:$B$34),"No encontrado")</f>
        <v>19</v>
      </c>
      <c r="AN256" s="88" t="str" cm="1">
        <f t="array" ref="AN256">IFERROR(_xlfn.XLOOKUP(TRUE,COUNTIF(Tabla[[#This Row],[Etiquetas]:[Etiquetas17]],Categorías!$A$2:$A$12)&gt;0,Categorías!$A$2:$A$12),"No encontrado")</f>
        <v>Eventos_iOT</v>
      </c>
      <c r="AO256" s="87" t="str" cm="1">
        <f t="array" ref="AO256">IFERROR(INDEX(Funcionalidades!$A$2:$A$80,MATCH(TRUE, COUNTIF(Reporte_Gral!R256:Z256,Funcionalidades!$A$2:$A$80)&gt;0,0)),"No encontrado")</f>
        <v>Confirmar-Fondeo-Adicional</v>
      </c>
      <c r="AP256" s="87" t="str">
        <f>IF(AND(COUNTIF(Tabla[[#This Row],[Etiquetas]:[Etiquetas17]],"*UAT_V*")&gt;0,COUNTIF(Tabla[[#This Row],[Etiquetas]:[Etiquetas17]],"*QA-Integración*")=0),"SI","")</f>
        <v/>
      </c>
      <c r="AQ256" s="88" t="str" cm="1">
        <f t="array" ref="AQ256">IF(Tabla[[#This Row],[Fue encontrado durante UAT?]]="SI",IFERROR(_xlfn.XLOOKUP(TRUE,ISNUMBER(SEARCH("UAT_V",Tabla[[#This Row],[Etiquetas]:[Etiquetas17]])),Tabla[[#This Row],[Etiquetas]:[Etiquetas17]]),""),"")</f>
        <v/>
      </c>
      <c r="AR256" s="87" t="str">
        <f>IF(COUNTIF(Tabla[[#This Row],[Etiquetas]:[Etiquetas17]],"*Devuelto*")&gt;0,"SI","")</f>
        <v/>
      </c>
      <c r="AS256" s="167">
        <f>COUNTIF(Tabla[[#This Row],[Etiquetas]:[Etiquetas17]],"*Devuelto*")</f>
        <v>0</v>
      </c>
    </row>
    <row r="257" spans="1:45" ht="15" customHeight="1">
      <c r="A257" s="40" t="s">
        <v>128</v>
      </c>
      <c r="B257" s="40" t="s">
        <v>771</v>
      </c>
      <c r="C257" s="40">
        <v>96991</v>
      </c>
      <c r="D257" s="40" t="s">
        <v>772</v>
      </c>
      <c r="E257" s="40" t="s">
        <v>40</v>
      </c>
      <c r="F257" s="40" t="s">
        <v>27</v>
      </c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 t="s">
        <v>371</v>
      </c>
      <c r="S257" s="40" t="s">
        <v>442</v>
      </c>
      <c r="T257" s="40" t="s">
        <v>132</v>
      </c>
      <c r="U257" s="40" t="s">
        <v>758</v>
      </c>
      <c r="V257" s="40" t="s">
        <v>536</v>
      </c>
      <c r="W257" s="40"/>
      <c r="X257" s="40"/>
      <c r="Y257" s="40"/>
      <c r="Z257" s="40"/>
      <c r="AA257" s="40" t="s">
        <v>767</v>
      </c>
      <c r="AB257" s="53">
        <v>45924.727777777778</v>
      </c>
      <c r="AC257" s="40"/>
      <c r="AD257" s="40"/>
      <c r="AE257" s="40"/>
      <c r="AF257" s="40"/>
      <c r="AG257" s="40" t="s">
        <v>141</v>
      </c>
      <c r="AH257" s="10" t="s">
        <v>136</v>
      </c>
      <c r="AI257" s="87"/>
      <c r="AJ257" s="87" cm="1">
        <f t="array" ref="AJ257">IFERROR(_xlfn.XLOOKUP(TRUE,COUNTIF(Tabla[[#This Row],[Etiquetas]:[Etiquetas17]],Versiones!$G$2:$G$36)&gt;0,Versiones!$B$2:$B$36), "")</f>
        <v>19</v>
      </c>
      <c r="AK257" s="87" t="str" cm="1">
        <f t="array" ref="AK257">IFERROR(_xlfn.XLOOKUP(TRUE,COUNTIF(Tabla[[#This Row],[Etiquetas]:[Etiquetas17]],Versiones!$G$2:$G$36)&gt;0,Versiones!$A$2:$A$36), "")</f>
        <v>V0.7</v>
      </c>
      <c r="AL25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57" s="78" t="str">
        <f>IFERROR(_xlfn.XLOOKUP(Tabla[[#This Row],[¿En qué versión fue corregido?]],Versiones!$A$2:$A$34,Versiones!$B$2:$B$34),"No encontrado")</f>
        <v>No encontrado</v>
      </c>
      <c r="AN257" s="88" t="str" cm="1">
        <f t="array" ref="AN257">IFERROR(_xlfn.XLOOKUP(TRUE,COUNTIF(Tabla[[#This Row],[Etiquetas]:[Etiquetas17]],Categorías!$A$2:$A$12)&gt;0,Categorías!$A$2:$A$12),"No encontrado")</f>
        <v>Look&amp;Feel</v>
      </c>
      <c r="AO257" s="88" t="str" cm="1">
        <f t="array" ref="AO257">IFERROR(INDEX(Funcionalidades!$A$2:$A$80,MATCH(TRUE, COUNTIF(Reporte_Gral!R257:Z257,Funcionalidades!$A$2:$A$80)&gt;0,0)),"No encontrado")</f>
        <v>Login</v>
      </c>
      <c r="AP257" s="87" t="str">
        <f>IF(AND(COUNTIF(Tabla[[#This Row],[Etiquetas]:[Etiquetas17]],"*UAT_V*")&gt;0,COUNTIF(Tabla[[#This Row],[Etiquetas]:[Etiquetas17]],"*QA-Integración*")=0),"SI","")</f>
        <v/>
      </c>
      <c r="AQ257" s="88" t="str" cm="1">
        <f t="array" ref="AQ257">IF(Tabla[[#This Row],[Fue encontrado durante UAT?]]="SI",IFERROR(_xlfn.XLOOKUP(TRUE,ISNUMBER(SEARCH("UAT_V",Tabla[[#This Row],[Etiquetas]:[Etiquetas17]])),Tabla[[#This Row],[Etiquetas]:[Etiquetas17]]),""),"")</f>
        <v/>
      </c>
      <c r="AR257" s="87" t="str">
        <f>IF(COUNTIF(Tabla[[#This Row],[Etiquetas]:[Etiquetas17]],"*Devuelto*")&gt;0,"SI","")</f>
        <v/>
      </c>
      <c r="AS257" s="167">
        <f>COUNTIF(Tabla[[#This Row],[Etiquetas]:[Etiquetas17]],"*Devuelto*")</f>
        <v>0</v>
      </c>
    </row>
    <row r="258" spans="1:45" ht="15" customHeight="1">
      <c r="A258" s="40" t="s">
        <v>128</v>
      </c>
      <c r="B258" s="40" t="s">
        <v>773</v>
      </c>
      <c r="C258" s="40">
        <v>96982</v>
      </c>
      <c r="D258" s="40" t="s">
        <v>774</v>
      </c>
      <c r="E258" s="40" t="s">
        <v>37</v>
      </c>
      <c r="F258" s="40" t="s">
        <v>27</v>
      </c>
      <c r="G258" s="40" t="s">
        <v>753</v>
      </c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 t="s">
        <v>775</v>
      </c>
      <c r="S258" s="40" t="s">
        <v>371</v>
      </c>
      <c r="T258" s="40" t="s">
        <v>442</v>
      </c>
      <c r="U258" s="40" t="s">
        <v>132</v>
      </c>
      <c r="V258" s="40" t="s">
        <v>758</v>
      </c>
      <c r="W258" s="40" t="s">
        <v>204</v>
      </c>
      <c r="X258" s="40" t="s">
        <v>154</v>
      </c>
      <c r="Y258" s="40" t="s">
        <v>536</v>
      </c>
      <c r="Z258" s="40"/>
      <c r="AA258" s="40" t="s">
        <v>767</v>
      </c>
      <c r="AB258" s="53">
        <v>45924.713194444441</v>
      </c>
      <c r="AC258" s="40" t="s">
        <v>710</v>
      </c>
      <c r="AD258" s="40"/>
      <c r="AE258" s="40"/>
      <c r="AF258" s="40"/>
      <c r="AG258" s="40" t="s">
        <v>141</v>
      </c>
      <c r="AH258" s="10" t="s">
        <v>184</v>
      </c>
      <c r="AI258" s="87"/>
      <c r="AJ258" s="87" cm="1">
        <f t="array" ref="AJ258">IFERROR(_xlfn.XLOOKUP(TRUE,COUNTIF(Tabla[[#This Row],[Etiquetas]:[Etiquetas17]],Versiones!$G$2:$G$36)&gt;0,Versiones!$B$2:$B$36), "")</f>
        <v>19</v>
      </c>
      <c r="AK258" s="87" t="str" cm="1">
        <f t="array" ref="AK258">IFERROR(_xlfn.XLOOKUP(TRUE,COUNTIF(Tabla[[#This Row],[Etiquetas]:[Etiquetas17]],Versiones!$G$2:$G$36)&gt;0,Versiones!$A$2:$A$36), "")</f>
        <v>V0.7</v>
      </c>
      <c r="AL25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58" s="78">
        <f>IFERROR(_xlfn.XLOOKUP(Tabla[[#This Row],[¿En qué versión fue corregido?]],Versiones!$A$2:$A$34,Versiones!$B$2:$B$34),"No encontrado")</f>
        <v>20</v>
      </c>
      <c r="AN258" s="88" t="str" cm="1">
        <f t="array" ref="AN258">IFERROR(_xlfn.XLOOKUP(TRUE,COUNTIF(Tabla[[#This Row],[Etiquetas]:[Etiquetas17]],Categorías!$A$2:$A$12)&gt;0,Categorías!$A$2:$A$12),"No encontrado")</f>
        <v>Look&amp;Feel</v>
      </c>
      <c r="AO258" s="87" t="str" cm="1">
        <f t="array" ref="AO258">IFERROR(INDEX(Funcionalidades!$A$2:$A$80,MATCH(TRUE, COUNTIF(Reporte_Gral!R258:Z258,Funcionalidades!$A$2:$A$80)&gt;0,0)),"No encontrado")</f>
        <v>Login</v>
      </c>
      <c r="AP258" s="87" t="str">
        <f>IF(AND(COUNTIF(Tabla[[#This Row],[Etiquetas]:[Etiquetas17]],"*UAT_V*")&gt;0,COUNTIF(Tabla[[#This Row],[Etiquetas]:[Etiquetas17]],"*QA-Integración*")=0),"SI","")</f>
        <v/>
      </c>
      <c r="AQ258" s="88" t="str" cm="1">
        <f t="array" ref="AQ258">IF(Tabla[[#This Row],[Fue encontrado durante UAT?]]="SI",IFERROR(_xlfn.XLOOKUP(TRUE,ISNUMBER(SEARCH("UAT_V",Tabla[[#This Row],[Etiquetas]:[Etiquetas17]])),Tabla[[#This Row],[Etiquetas]:[Etiquetas17]]),""),"")</f>
        <v/>
      </c>
      <c r="AR258" s="87" t="str">
        <f>IF(COUNTIF(Tabla[[#This Row],[Etiquetas]:[Etiquetas17]],"*Devuelto*")&gt;0,"SI","")</f>
        <v>SI</v>
      </c>
      <c r="AS258" s="167">
        <f>COUNTIF(Tabla[[#This Row],[Etiquetas]:[Etiquetas17]],"*Devuelto*")</f>
        <v>1</v>
      </c>
    </row>
    <row r="259" spans="1:45" ht="15" customHeight="1">
      <c r="A259" s="40" t="s">
        <v>128</v>
      </c>
      <c r="B259" s="40" t="s">
        <v>776</v>
      </c>
      <c r="C259" s="40">
        <v>96978</v>
      </c>
      <c r="D259" s="40" t="s">
        <v>777</v>
      </c>
      <c r="E259" s="40" t="s">
        <v>37</v>
      </c>
      <c r="F259" s="40" t="s">
        <v>26</v>
      </c>
      <c r="G259" s="40" t="s">
        <v>307</v>
      </c>
      <c r="H259" s="40" t="s">
        <v>224</v>
      </c>
      <c r="I259" s="40" t="s">
        <v>151</v>
      </c>
      <c r="J259" s="40"/>
      <c r="K259" s="40"/>
      <c r="L259" s="40"/>
      <c r="M259" s="40"/>
      <c r="N259" s="40"/>
      <c r="O259" s="40"/>
      <c r="P259" s="40"/>
      <c r="Q259" s="40"/>
      <c r="R259" s="40" t="s">
        <v>516</v>
      </c>
      <c r="S259" s="40" t="s">
        <v>132</v>
      </c>
      <c r="T259" s="40" t="s">
        <v>237</v>
      </c>
      <c r="U259" s="40" t="s">
        <v>758</v>
      </c>
      <c r="V259" s="40" t="s">
        <v>226</v>
      </c>
      <c r="W259" s="40" t="s">
        <v>154</v>
      </c>
      <c r="X259" s="40" t="s">
        <v>536</v>
      </c>
      <c r="Y259" s="40"/>
      <c r="Z259" s="40"/>
      <c r="AA259" s="40" t="s">
        <v>759</v>
      </c>
      <c r="AB259" s="53">
        <v>45924.706250000003</v>
      </c>
      <c r="AC259" s="40" t="s">
        <v>329</v>
      </c>
      <c r="AD259" s="40"/>
      <c r="AE259" s="40"/>
      <c r="AF259" s="40"/>
      <c r="AG259" s="40" t="s">
        <v>135</v>
      </c>
      <c r="AH259" s="10" t="s">
        <v>159</v>
      </c>
      <c r="AI259" s="87"/>
      <c r="AJ259" s="87" cm="1">
        <f t="array" ref="AJ259">IFERROR(_xlfn.XLOOKUP(TRUE,COUNTIF(Tabla[[#This Row],[Etiquetas]:[Etiquetas17]],Versiones!$G$2:$G$36)&gt;0,Versiones!$B$2:$B$36), "")</f>
        <v>19</v>
      </c>
      <c r="AK259" s="87" t="str" cm="1">
        <f t="array" ref="AK259">IFERROR(_xlfn.XLOOKUP(TRUE,COUNTIF(Tabla[[#This Row],[Etiquetas]:[Etiquetas17]],Versiones!$G$2:$G$36)&gt;0,Versiones!$A$2:$A$36), "")</f>
        <v>V0.7</v>
      </c>
      <c r="AL25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59" s="78">
        <f>IFERROR(_xlfn.XLOOKUP(Tabla[[#This Row],[¿En qué versión fue corregido?]],Versiones!$A$2:$A$34,Versiones!$B$2:$B$34),"No encontrado")</f>
        <v>24</v>
      </c>
      <c r="AN259" s="88" t="str" cm="1">
        <f t="array" ref="AN259">IFERROR(_xlfn.XLOOKUP(TRUE,COUNTIF(Tabla[[#This Row],[Etiquetas]:[Etiquetas17]],Categorías!$A$2:$A$12)&gt;0,Categorías!$A$2:$A$12),"No encontrado")</f>
        <v>Look&amp;Feel</v>
      </c>
      <c r="AO259" s="87" t="str" cm="1">
        <f t="array" ref="AO259">IFERROR(INDEX(Funcionalidades!$A$2:$A$80,MATCH(TRUE, COUNTIF(Reporte_Gral!R259:Z259,Funcionalidades!$A$2:$A$80)&gt;0,0)),"No encontrado")</f>
        <v>Main-Dashboard</v>
      </c>
      <c r="AP259" s="87" t="str">
        <f>IF(AND(COUNTIF(Tabla[[#This Row],[Etiquetas]:[Etiquetas17]],"*UAT_V*")&gt;0,COUNTIF(Tabla[[#This Row],[Etiquetas]:[Etiquetas17]],"*QA-Integración*")=0),"SI","")</f>
        <v/>
      </c>
      <c r="AQ259" s="88" t="str" cm="1">
        <f t="array" ref="AQ259">IF(Tabla[[#This Row],[Fue encontrado durante UAT?]]="SI",IFERROR(_xlfn.XLOOKUP(TRUE,ISNUMBER(SEARCH("UAT_V",Tabla[[#This Row],[Etiquetas]:[Etiquetas17]])),Tabla[[#This Row],[Etiquetas]:[Etiquetas17]]),""),"")</f>
        <v/>
      </c>
      <c r="AR259" s="87" t="str">
        <f>IF(COUNTIF(Tabla[[#This Row],[Etiquetas]:[Etiquetas17]],"*Devuelto*")&gt;0,"SI","")</f>
        <v/>
      </c>
      <c r="AS259" s="167">
        <f>COUNTIF(Tabla[[#This Row],[Etiquetas]:[Etiquetas17]],"*Devuelto*")</f>
        <v>0</v>
      </c>
    </row>
    <row r="260" spans="1:45" ht="15" customHeight="1">
      <c r="A260" s="40" t="s">
        <v>128</v>
      </c>
      <c r="B260" s="40" t="s">
        <v>778</v>
      </c>
      <c r="C260" s="40">
        <v>96732</v>
      </c>
      <c r="D260" s="40" t="s">
        <v>779</v>
      </c>
      <c r="E260" s="40" t="s">
        <v>40</v>
      </c>
      <c r="F260" s="40" t="s">
        <v>24</v>
      </c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 t="s">
        <v>663</v>
      </c>
      <c r="S260" s="40" t="s">
        <v>490</v>
      </c>
      <c r="T260" s="40" t="s">
        <v>758</v>
      </c>
      <c r="U260" s="40"/>
      <c r="V260" s="40"/>
      <c r="W260" s="40"/>
      <c r="X260" s="40"/>
      <c r="Y260" s="40"/>
      <c r="Z260" s="40"/>
      <c r="AA260" s="40" t="s">
        <v>780</v>
      </c>
      <c r="AB260" s="53">
        <v>45923.729166666664</v>
      </c>
      <c r="AC260" s="40"/>
      <c r="AD260" s="40"/>
      <c r="AE260" s="40"/>
      <c r="AF260" s="40"/>
      <c r="AG260" s="40" t="s">
        <v>141</v>
      </c>
      <c r="AH260" s="10" t="s">
        <v>184</v>
      </c>
      <c r="AI260" s="87"/>
      <c r="AJ260" s="87" cm="1">
        <f t="array" ref="AJ260">IFERROR(_xlfn.XLOOKUP(TRUE,COUNTIF(Tabla[[#This Row],[Etiquetas]:[Etiquetas17]],Versiones!$G$2:$G$36)&gt;0,Versiones!$B$2:$B$36), "")</f>
        <v>19</v>
      </c>
      <c r="AK260" s="87" t="str" cm="1">
        <f t="array" ref="AK260">IFERROR(_xlfn.XLOOKUP(TRUE,COUNTIF(Tabla[[#This Row],[Etiquetas]:[Etiquetas17]],Versiones!$G$2:$G$36)&gt;0,Versiones!$A$2:$A$36), "")</f>
        <v>V0.7</v>
      </c>
      <c r="AL26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60" s="78" t="str">
        <f>IFERROR(_xlfn.XLOOKUP(Tabla[[#This Row],[¿En qué versión fue corregido?]],Versiones!$A$2:$A$34,Versiones!$B$2:$B$34),"No encontrado")</f>
        <v>No encontrado</v>
      </c>
      <c r="AN260" s="88" t="str" cm="1">
        <f t="array" ref="AN260">IFERROR(_xlfn.XLOOKUP(TRUE,COUNTIF(Tabla[[#This Row],[Etiquetas]:[Etiquetas17]],Categorías!$A$2:$A$12)&gt;0,Categorías!$A$2:$A$12),"No encontrado")</f>
        <v>Contenido/Datos</v>
      </c>
      <c r="AO260" s="88" t="str" cm="1">
        <f t="array" ref="AO260">IFERROR(INDEX(Funcionalidades!$A$2:$A$80,MATCH(TRUE, COUNTIF(Reporte_Gral!R260:Z260,Funcionalidades!$A$2:$A$80)&gt;0,0)),"No encontrado")</f>
        <v>Confirmar-Inicio-De-Turno</v>
      </c>
      <c r="AP260" s="87" t="str">
        <f>IF(AND(COUNTIF(Tabla[[#This Row],[Etiquetas]:[Etiquetas17]],"*UAT_V*")&gt;0,COUNTIF(Tabla[[#This Row],[Etiquetas]:[Etiquetas17]],"*QA-Integración*")=0),"SI","")</f>
        <v/>
      </c>
      <c r="AQ260" s="88" t="str" cm="1">
        <f t="array" ref="AQ260">IF(Tabla[[#This Row],[Fue encontrado durante UAT?]]="SI",IFERROR(_xlfn.XLOOKUP(TRUE,ISNUMBER(SEARCH("UAT_V",Tabla[[#This Row],[Etiquetas]:[Etiquetas17]])),Tabla[[#This Row],[Etiquetas]:[Etiquetas17]]),""),"")</f>
        <v/>
      </c>
      <c r="AR260" s="87" t="str">
        <f>IF(COUNTIF(Tabla[[#This Row],[Etiquetas]:[Etiquetas17]],"*Devuelto*")&gt;0,"SI","")</f>
        <v/>
      </c>
      <c r="AS260" s="167">
        <f>COUNTIF(Tabla[[#This Row],[Etiquetas]:[Etiquetas17]],"*Devuelto*")</f>
        <v>0</v>
      </c>
    </row>
    <row r="261" spans="1:45" ht="15" customHeight="1">
      <c r="A261" s="40" t="s">
        <v>128</v>
      </c>
      <c r="B261" s="40" t="s">
        <v>781</v>
      </c>
      <c r="C261" s="40">
        <v>96711</v>
      </c>
      <c r="D261" s="40" t="s">
        <v>782</v>
      </c>
      <c r="E261" s="40" t="s">
        <v>40</v>
      </c>
      <c r="F261" s="40" t="s">
        <v>26</v>
      </c>
      <c r="G261" s="40" t="s">
        <v>637</v>
      </c>
      <c r="H261" s="40" t="s">
        <v>561</v>
      </c>
      <c r="I261" s="40" t="s">
        <v>429</v>
      </c>
      <c r="J261" s="40" t="s">
        <v>307</v>
      </c>
      <c r="K261" s="40" t="s">
        <v>224</v>
      </c>
      <c r="L261" s="40" t="s">
        <v>151</v>
      </c>
      <c r="M261" s="40"/>
      <c r="N261" s="40"/>
      <c r="O261" s="40"/>
      <c r="P261" s="40"/>
      <c r="Q261" s="40"/>
      <c r="R261" s="40" t="s">
        <v>229</v>
      </c>
      <c r="S261" s="40" t="s">
        <v>442</v>
      </c>
      <c r="T261" s="40" t="s">
        <v>758</v>
      </c>
      <c r="U261" s="40"/>
      <c r="V261" s="40"/>
      <c r="W261" s="40"/>
      <c r="X261" s="40"/>
      <c r="Y261" s="40"/>
      <c r="Z261" s="40"/>
      <c r="AA261" s="40" t="s">
        <v>780</v>
      </c>
      <c r="AB261" s="53">
        <v>45923.706250000003</v>
      </c>
      <c r="AC261" s="40" t="s">
        <v>732</v>
      </c>
      <c r="AD261" s="40"/>
      <c r="AE261" s="40"/>
      <c r="AF261" s="40"/>
      <c r="AG261" s="40" t="s">
        <v>135</v>
      </c>
      <c r="AH261" s="10" t="s">
        <v>184</v>
      </c>
      <c r="AI261" s="87"/>
      <c r="AJ261" s="87" cm="1">
        <f t="array" ref="AJ261">IFERROR(_xlfn.XLOOKUP(TRUE,COUNTIF(Tabla[[#This Row],[Etiquetas]:[Etiquetas17]],Versiones!$G$2:$G$36)&gt;0,Versiones!$B$2:$B$36), "")</f>
        <v>19</v>
      </c>
      <c r="AK261" s="87" t="str" cm="1">
        <f t="array" ref="AK261">IFERROR(_xlfn.XLOOKUP(TRUE,COUNTIF(Tabla[[#This Row],[Etiquetas]:[Etiquetas17]],Versiones!$G$2:$G$36)&gt;0,Versiones!$A$2:$A$36), "")</f>
        <v>V0.7</v>
      </c>
      <c r="AL26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61" s="78" t="str">
        <f>IFERROR(_xlfn.XLOOKUP(Tabla[[#This Row],[¿En qué versión fue corregido?]],Versiones!$A$2:$A$34,Versiones!$B$2:$B$34),"No encontrado")</f>
        <v>No encontrado</v>
      </c>
      <c r="AN261" s="88" t="str" cm="1">
        <f t="array" ref="AN261">IFERROR(_xlfn.XLOOKUP(TRUE,COUNTIF(Tabla[[#This Row],[Etiquetas]:[Etiquetas17]],Categorías!$A$2:$A$12)&gt;0,Categorías!$A$2:$A$12),"No encontrado")</f>
        <v>Configuración</v>
      </c>
      <c r="AO261" s="88" t="str" cm="1">
        <f t="array" ref="AO261">IFERROR(INDEX(Funcionalidades!$A$2:$A$80,MATCH(TRUE, COUNTIF(Reporte_Gral!R261:Z261,Funcionalidades!$A$2:$A$80)&gt;0,0)),"No encontrado")</f>
        <v>Login</v>
      </c>
      <c r="AP261" s="87" t="str">
        <f>IF(AND(COUNTIF(Tabla[[#This Row],[Etiquetas]:[Etiquetas17]],"*UAT_V*")&gt;0,COUNTIF(Tabla[[#This Row],[Etiquetas]:[Etiquetas17]],"*QA-Integración*")=0),"SI","")</f>
        <v/>
      </c>
      <c r="AQ261" s="88" t="str" cm="1">
        <f t="array" ref="AQ261">IF(Tabla[[#This Row],[Fue encontrado durante UAT?]]="SI",IFERROR(_xlfn.XLOOKUP(TRUE,ISNUMBER(SEARCH("UAT_V",Tabla[[#This Row],[Etiquetas]:[Etiquetas17]])),Tabla[[#This Row],[Etiquetas]:[Etiquetas17]]),""),"")</f>
        <v/>
      </c>
      <c r="AR261" s="87" t="str">
        <f>IF(COUNTIF(Tabla[[#This Row],[Etiquetas]:[Etiquetas17]],"*Devuelto*")&gt;0,"SI","")</f>
        <v/>
      </c>
      <c r="AS261" s="167">
        <f>COUNTIF(Tabla[[#This Row],[Etiquetas]:[Etiquetas17]],"*Devuelto*")</f>
        <v>0</v>
      </c>
    </row>
    <row r="262" spans="1:45" ht="15" customHeight="1">
      <c r="A262" s="40" t="s">
        <v>128</v>
      </c>
      <c r="B262" s="40" t="s">
        <v>783</v>
      </c>
      <c r="C262" s="40">
        <v>96292</v>
      </c>
      <c r="D262" s="40" t="s">
        <v>784</v>
      </c>
      <c r="E262" s="40" t="s">
        <v>40</v>
      </c>
      <c r="F262" s="40" t="s">
        <v>26</v>
      </c>
      <c r="G262" s="40" t="s">
        <v>224</v>
      </c>
      <c r="H262" s="40" t="s">
        <v>151</v>
      </c>
      <c r="I262" s="40"/>
      <c r="J262" s="40"/>
      <c r="K262" s="40"/>
      <c r="L262" s="40"/>
      <c r="M262" s="40"/>
      <c r="N262" s="40"/>
      <c r="O262" s="40"/>
      <c r="P262" s="40"/>
      <c r="Q262" s="40"/>
      <c r="R262" s="40" t="s">
        <v>371</v>
      </c>
      <c r="S262" s="40" t="s">
        <v>481</v>
      </c>
      <c r="T262" s="40" t="s">
        <v>132</v>
      </c>
      <c r="U262" s="40" t="s">
        <v>758</v>
      </c>
      <c r="V262" s="40" t="s">
        <v>226</v>
      </c>
      <c r="W262" s="40" t="s">
        <v>154</v>
      </c>
      <c r="X262" s="40" t="s">
        <v>536</v>
      </c>
      <c r="Y262" s="40"/>
      <c r="Z262" s="40"/>
      <c r="AA262" s="40" t="s">
        <v>785</v>
      </c>
      <c r="AB262" s="53">
        <v>45922.543055555558</v>
      </c>
      <c r="AC262" s="40" t="s">
        <v>174</v>
      </c>
      <c r="AD262" s="40"/>
      <c r="AE262" s="40"/>
      <c r="AF262" s="40"/>
      <c r="AG262" s="40" t="s">
        <v>135</v>
      </c>
      <c r="AH262" s="10" t="s">
        <v>163</v>
      </c>
      <c r="AI262" s="87"/>
      <c r="AJ262" s="87" cm="1">
        <f t="array" ref="AJ262">IFERROR(_xlfn.XLOOKUP(TRUE,COUNTIF(Tabla[[#This Row],[Etiquetas]:[Etiquetas17]],Versiones!$G$2:$G$36)&gt;0,Versiones!$B$2:$B$36), "")</f>
        <v>19</v>
      </c>
      <c r="AK262" s="87" t="str" cm="1">
        <f t="array" ref="AK262">IFERROR(_xlfn.XLOOKUP(TRUE,COUNTIF(Tabla[[#This Row],[Etiquetas]:[Etiquetas17]],Versiones!$G$2:$G$36)&gt;0,Versiones!$A$2:$A$36), "")</f>
        <v>V0.7</v>
      </c>
      <c r="AL26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62" s="78">
        <f>IFERROR(_xlfn.XLOOKUP(Tabla[[#This Row],[¿En qué versión fue corregido?]],Versiones!$A$2:$A$34,Versiones!$B$2:$B$34),"No encontrado")</f>
        <v>25</v>
      </c>
      <c r="AN262" s="88" t="str" cm="1">
        <f t="array" ref="AN262">IFERROR(_xlfn.XLOOKUP(TRUE,COUNTIF(Tabla[[#This Row],[Etiquetas]:[Etiquetas17]],Categorías!$A$2:$A$12)&gt;0,Categorías!$A$2:$A$12),"No encontrado")</f>
        <v>Look&amp;Feel</v>
      </c>
      <c r="AO262" s="88" t="str" cm="1">
        <f t="array" ref="AO262">IFERROR(INDEX(Funcionalidades!$A$2:$A$80,MATCH(TRUE, COUNTIF(Reporte_Gral!R262:Z262,Funcionalidades!$A$2:$A$80)&gt;0,0)),"No encontrado")</f>
        <v>Iniciar_Venta</v>
      </c>
      <c r="AP262" s="87" t="str">
        <f>IF(AND(COUNTIF(Tabla[[#This Row],[Etiquetas]:[Etiquetas17]],"*UAT_V*")&gt;0,COUNTIF(Tabla[[#This Row],[Etiquetas]:[Etiquetas17]],"*QA-Integración*")=0),"SI","")</f>
        <v/>
      </c>
      <c r="AQ262" s="88" t="str" cm="1">
        <f t="array" ref="AQ262">IF(Tabla[[#This Row],[Fue encontrado durante UAT?]]="SI",IFERROR(_xlfn.XLOOKUP(TRUE,ISNUMBER(SEARCH("UAT_V",Tabla[[#This Row],[Etiquetas]:[Etiquetas17]])),Tabla[[#This Row],[Etiquetas]:[Etiquetas17]]),""),"")</f>
        <v/>
      </c>
      <c r="AR262" s="87" t="str">
        <f>IF(COUNTIF(Tabla[[#This Row],[Etiquetas]:[Etiquetas17]],"*Devuelto*")&gt;0,"SI","")</f>
        <v/>
      </c>
      <c r="AS262" s="167">
        <f>COUNTIF(Tabla[[#This Row],[Etiquetas]:[Etiquetas17]],"*Devuelto*")</f>
        <v>0</v>
      </c>
    </row>
    <row r="263" spans="1:45" ht="15" customHeight="1">
      <c r="A263" s="40" t="s">
        <v>128</v>
      </c>
      <c r="B263" s="40" t="s">
        <v>786</v>
      </c>
      <c r="C263" s="40">
        <v>96268</v>
      </c>
      <c r="D263" s="40" t="s">
        <v>787</v>
      </c>
      <c r="E263" s="40" t="s">
        <v>36</v>
      </c>
      <c r="F263" s="40" t="s">
        <v>26</v>
      </c>
      <c r="G263" s="40" t="s">
        <v>753</v>
      </c>
      <c r="H263" s="40" t="s">
        <v>637</v>
      </c>
      <c r="I263" s="40" t="s">
        <v>561</v>
      </c>
      <c r="J263" s="40" t="s">
        <v>429</v>
      </c>
      <c r="K263" s="40" t="s">
        <v>307</v>
      </c>
      <c r="L263" s="40" t="s">
        <v>224</v>
      </c>
      <c r="M263" s="40" t="s">
        <v>151</v>
      </c>
      <c r="N263" s="40"/>
      <c r="O263" s="40"/>
      <c r="P263" s="40"/>
      <c r="Q263" s="40"/>
      <c r="R263" s="40" t="s">
        <v>287</v>
      </c>
      <c r="S263" s="40" t="s">
        <v>664</v>
      </c>
      <c r="T263" s="40" t="s">
        <v>750</v>
      </c>
      <c r="U263" s="40" t="s">
        <v>323</v>
      </c>
      <c r="V263" s="40" t="s">
        <v>204</v>
      </c>
      <c r="W263" s="40" t="s">
        <v>154</v>
      </c>
      <c r="X263" s="40"/>
      <c r="Y263" s="40"/>
      <c r="Z263" s="40"/>
      <c r="AA263" s="40" t="s">
        <v>134</v>
      </c>
      <c r="AB263" s="53">
        <v>45922.513194444444</v>
      </c>
      <c r="AC263" s="40" t="s">
        <v>732</v>
      </c>
      <c r="AD263" s="40"/>
      <c r="AE263" s="40"/>
      <c r="AF263" s="40"/>
      <c r="AG263" s="40" t="s">
        <v>141</v>
      </c>
      <c r="AH263" s="10" t="s">
        <v>163</v>
      </c>
      <c r="AI263" s="87"/>
      <c r="AJ263" s="87" cm="1">
        <f t="array" ref="AJ263">IFERROR(_xlfn.XLOOKUP(TRUE,COUNTIF(Tabla[[#This Row],[Etiquetas]:[Etiquetas17]],Versiones!$G$2:$G$36)&gt;0,Versiones!$B$2:$B$36), "")</f>
        <v>19</v>
      </c>
      <c r="AK263" s="87" t="str" cm="1">
        <f t="array" ref="AK263">IFERROR(_xlfn.XLOOKUP(TRUE,COUNTIF(Tabla[[#This Row],[Etiquetas]:[Etiquetas17]],Versiones!$G$2:$G$36)&gt;0,Versiones!$A$2:$A$36), "")</f>
        <v>V0.7</v>
      </c>
      <c r="AL26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63" s="78" t="str">
        <f>IFERROR(_xlfn.XLOOKUP(Tabla[[#This Row],[¿En qué versión fue corregido?]],Versiones!$A$2:$A$34,Versiones!$B$2:$B$34),"No encontrado")</f>
        <v>No encontrado</v>
      </c>
      <c r="AN263" s="88" t="str" cm="1">
        <f t="array" ref="AN263">IFERROR(_xlfn.XLOOKUP(TRUE,COUNTIF(Tabla[[#This Row],[Etiquetas]:[Etiquetas17]],Categorías!$A$2:$A$12)&gt;0,Categorías!$A$2:$A$12),"No encontrado")</f>
        <v>Eventos_iOT</v>
      </c>
      <c r="AO263" s="88" t="str" cm="1">
        <f t="array" ref="AO263">IFERROR(INDEX(Funcionalidades!$A$2:$A$80,MATCH(TRUE, COUNTIF(Reporte_Gral!R263:Z263,Funcionalidades!$A$2:$A$80)&gt;0,0)),"No encontrado")</f>
        <v>Registro-De-Gastos</v>
      </c>
      <c r="AP263" s="87" t="str">
        <f>IF(AND(COUNTIF(Tabla[[#This Row],[Etiquetas]:[Etiquetas17]],"*UAT_V*")&gt;0,COUNTIF(Tabla[[#This Row],[Etiquetas]:[Etiquetas17]],"*QA-Integración*")=0),"SI","")</f>
        <v/>
      </c>
      <c r="AQ263" s="88" t="str" cm="1">
        <f t="array" ref="AQ263">IF(Tabla[[#This Row],[Fue encontrado durante UAT?]]="SI",IFERROR(_xlfn.XLOOKUP(TRUE,ISNUMBER(SEARCH("UAT_V",Tabla[[#This Row],[Etiquetas]:[Etiquetas17]])),Tabla[[#This Row],[Etiquetas]:[Etiquetas17]]),""),"")</f>
        <v/>
      </c>
      <c r="AR263" s="87" t="str">
        <f>IF(COUNTIF(Tabla[[#This Row],[Etiquetas]:[Etiquetas17]],"*Devuelto*")&gt;0,"SI","")</f>
        <v/>
      </c>
      <c r="AS263" s="167">
        <f>COUNTIF(Tabla[[#This Row],[Etiquetas]:[Etiquetas17]],"*Devuelto*")</f>
        <v>0</v>
      </c>
    </row>
    <row r="264" spans="1:45" ht="15" customHeight="1">
      <c r="A264" s="40" t="s">
        <v>128</v>
      </c>
      <c r="B264" s="40" t="s">
        <v>788</v>
      </c>
      <c r="C264" s="40">
        <v>95951</v>
      </c>
      <c r="D264" s="40" t="s">
        <v>789</v>
      </c>
      <c r="E264" s="40" t="s">
        <v>37</v>
      </c>
      <c r="F264" s="40" t="s">
        <v>27</v>
      </c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 t="s">
        <v>139</v>
      </c>
      <c r="S264" s="40" t="s">
        <v>750</v>
      </c>
      <c r="T264" s="40" t="s">
        <v>210</v>
      </c>
      <c r="U264" s="40" t="s">
        <v>634</v>
      </c>
      <c r="V264" s="40"/>
      <c r="W264" s="40"/>
      <c r="X264" s="40"/>
      <c r="Y264" s="40"/>
      <c r="Z264" s="40"/>
      <c r="AA264" s="40" t="s">
        <v>217</v>
      </c>
      <c r="AB264" s="53">
        <v>45919.645833333336</v>
      </c>
      <c r="AC264" s="40"/>
      <c r="AD264" s="40"/>
      <c r="AE264" s="40"/>
      <c r="AF264" s="40"/>
      <c r="AG264" s="40" t="s">
        <v>141</v>
      </c>
      <c r="AH264" s="10" t="s">
        <v>163</v>
      </c>
      <c r="AI264" s="87"/>
      <c r="AJ264" s="87" cm="1">
        <f t="array" ref="AJ264">IFERROR(_xlfn.XLOOKUP(TRUE,COUNTIF(Tabla[[#This Row],[Etiquetas]:[Etiquetas17]],Versiones!$G$2:$G$36)&gt;0,Versiones!$B$2:$B$36), "")</f>
        <v>19</v>
      </c>
      <c r="AK264" s="87" t="str" cm="1">
        <f t="array" ref="AK264">IFERROR(_xlfn.XLOOKUP(TRUE,COUNTIF(Tabla[[#This Row],[Etiquetas]:[Etiquetas17]],Versiones!$G$2:$G$36)&gt;0,Versiones!$A$2:$A$36), "")</f>
        <v>V0.7</v>
      </c>
      <c r="AL26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64" s="78" t="str">
        <f>IFERROR(_xlfn.XLOOKUP(Tabla[[#This Row],[¿En qué versión fue corregido?]],Versiones!$A$2:$A$34,Versiones!$B$2:$B$34),"No encontrado")</f>
        <v>No encontrado</v>
      </c>
      <c r="AN264" s="88" t="str" cm="1">
        <f t="array" ref="AN264">IFERROR(_xlfn.XLOOKUP(TRUE,COUNTIF(Tabla[[#This Row],[Etiquetas]:[Etiquetas17]],Categorías!$A$2:$A$12)&gt;0,Categorías!$A$2:$A$12),"No encontrado")</f>
        <v>Funcional</v>
      </c>
      <c r="AO264" s="88" t="str" cm="1">
        <f t="array" ref="AO264">IFERROR(INDEX(Funcionalidades!$A$2:$A$80,MATCH(TRUE, COUNTIF(Reporte_Gral!R264:Z264,Funcionalidades!$A$2:$A$80)&gt;0,0)),"No encontrado")</f>
        <v>Realizar-Transferencia</v>
      </c>
      <c r="AP264" s="87" t="str">
        <f>IF(AND(COUNTIF(Tabla[[#This Row],[Etiquetas]:[Etiquetas17]],"*UAT_V*")&gt;0,COUNTIF(Tabla[[#This Row],[Etiquetas]:[Etiquetas17]],"*QA-Integración*")=0),"SI","")</f>
        <v/>
      </c>
      <c r="AQ264" s="88" t="str" cm="1">
        <f t="array" ref="AQ264">IF(Tabla[[#This Row],[Fue encontrado durante UAT?]]="SI",IFERROR(_xlfn.XLOOKUP(TRUE,ISNUMBER(SEARCH("UAT_V",Tabla[[#This Row],[Etiquetas]:[Etiquetas17]])),Tabla[[#This Row],[Etiquetas]:[Etiquetas17]]),""),"")</f>
        <v/>
      </c>
      <c r="AR264" s="87" t="str">
        <f>IF(COUNTIF(Tabla[[#This Row],[Etiquetas]:[Etiquetas17]],"*Devuelto*")&gt;0,"SI","")</f>
        <v/>
      </c>
      <c r="AS264" s="167">
        <f>COUNTIF(Tabla[[#This Row],[Etiquetas]:[Etiquetas17]],"*Devuelto*")</f>
        <v>0</v>
      </c>
    </row>
    <row r="265" spans="1:45" ht="15" customHeight="1">
      <c r="A265" s="40" t="s">
        <v>128</v>
      </c>
      <c r="B265" s="40" t="s">
        <v>790</v>
      </c>
      <c r="C265" s="40">
        <v>95629</v>
      </c>
      <c r="D265" s="40" t="s">
        <v>791</v>
      </c>
      <c r="E265" s="40" t="s">
        <v>36</v>
      </c>
      <c r="F265" s="40" t="s">
        <v>26</v>
      </c>
      <c r="G265" s="40" t="s">
        <v>637</v>
      </c>
      <c r="H265" s="40" t="s">
        <v>561</v>
      </c>
      <c r="I265" s="40" t="s">
        <v>429</v>
      </c>
      <c r="J265" s="40" t="s">
        <v>307</v>
      </c>
      <c r="K265" s="40" t="s">
        <v>224</v>
      </c>
      <c r="L265" s="40" t="s">
        <v>151</v>
      </c>
      <c r="M265" s="40"/>
      <c r="N265" s="40"/>
      <c r="O265" s="40"/>
      <c r="P265" s="40"/>
      <c r="Q265" s="40"/>
      <c r="R265" s="40" t="s">
        <v>139</v>
      </c>
      <c r="S265" s="40" t="s">
        <v>750</v>
      </c>
      <c r="T265" s="40" t="s">
        <v>323</v>
      </c>
      <c r="U265" s="40" t="s">
        <v>204</v>
      </c>
      <c r="V265" s="40" t="s">
        <v>154</v>
      </c>
      <c r="W265" s="40"/>
      <c r="X265" s="40"/>
      <c r="Y265" s="40"/>
      <c r="Z265" s="40"/>
      <c r="AA265" s="40" t="s">
        <v>217</v>
      </c>
      <c r="AB265" s="53">
        <v>45918.650694444441</v>
      </c>
      <c r="AC265" s="40" t="s">
        <v>511</v>
      </c>
      <c r="AD265" s="40"/>
      <c r="AE265" s="40"/>
      <c r="AF265" s="40"/>
      <c r="AG265" s="40" t="s">
        <v>141</v>
      </c>
      <c r="AH265" s="10" t="s">
        <v>163</v>
      </c>
      <c r="AI265" s="87"/>
      <c r="AJ265" s="87" cm="1">
        <f t="array" ref="AJ265">IFERROR(_xlfn.XLOOKUP(TRUE,COUNTIF(Tabla[[#This Row],[Etiquetas]:[Etiquetas17]],Versiones!$G$2:$G$36)&gt;0,Versiones!$B$2:$B$36), "")</f>
        <v>19</v>
      </c>
      <c r="AK265" s="87" t="str" cm="1">
        <f t="array" ref="AK265">IFERROR(_xlfn.XLOOKUP(TRUE,COUNTIF(Tabla[[#This Row],[Etiquetas]:[Etiquetas17]],Versiones!$G$2:$G$36)&gt;0,Versiones!$A$2:$A$36), "")</f>
        <v>V0.7</v>
      </c>
      <c r="AL26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65" s="78">
        <f>IFERROR(_xlfn.XLOOKUP(Tabla[[#This Row],[¿En qué versión fue corregido?]],Versiones!$A$2:$A$34,Versiones!$B$2:$B$34),"No encontrado")</f>
        <v>23</v>
      </c>
      <c r="AN265" s="88" t="str" cm="1">
        <f t="array" ref="AN265">IFERROR(_xlfn.XLOOKUP(TRUE,COUNTIF(Tabla[[#This Row],[Etiquetas]:[Etiquetas17]],Categorías!$A$2:$A$12)&gt;0,Categorías!$A$2:$A$12),"No encontrado")</f>
        <v>Funcional</v>
      </c>
      <c r="AO265" s="88" t="str" cm="1">
        <f t="array" ref="AO265">IFERROR(INDEX(Funcionalidades!$A$2:$A$80,MATCH(TRUE, COUNTIF(Reporte_Gral!R265:Z265,Funcionalidades!$A$2:$A$80)&gt;0,0)),"No encontrado")</f>
        <v>Registro-De-Gastos</v>
      </c>
      <c r="AP265" s="87" t="str">
        <f>IF(AND(COUNTIF(Tabla[[#This Row],[Etiquetas]:[Etiquetas17]],"*UAT_V*")&gt;0,COUNTIF(Tabla[[#This Row],[Etiquetas]:[Etiquetas17]],"*QA-Integración*")=0),"SI","")</f>
        <v/>
      </c>
      <c r="AQ265" s="88" t="str" cm="1">
        <f t="array" ref="AQ265">IF(Tabla[[#This Row],[Fue encontrado durante UAT?]]="SI",IFERROR(_xlfn.XLOOKUP(TRUE,ISNUMBER(SEARCH("UAT_V",Tabla[[#This Row],[Etiquetas]:[Etiquetas17]])),Tabla[[#This Row],[Etiquetas]:[Etiquetas17]]),""),"")</f>
        <v/>
      </c>
      <c r="AR265" s="87" t="str">
        <f>IF(COUNTIF(Tabla[[#This Row],[Etiquetas]:[Etiquetas17]],"*Devuelto*")&gt;0,"SI","")</f>
        <v/>
      </c>
      <c r="AS265" s="167">
        <f>COUNTIF(Tabla[[#This Row],[Etiquetas]:[Etiquetas17]],"*Devuelto*")</f>
        <v>0</v>
      </c>
    </row>
    <row r="266" spans="1:45" ht="15" customHeight="1">
      <c r="A266" s="40" t="s">
        <v>128</v>
      </c>
      <c r="B266" s="40" t="s">
        <v>792</v>
      </c>
      <c r="C266" s="40">
        <v>95626</v>
      </c>
      <c r="D266" s="40" t="s">
        <v>793</v>
      </c>
      <c r="E266" s="40" t="s">
        <v>36</v>
      </c>
      <c r="F266" s="40" t="s">
        <v>26</v>
      </c>
      <c r="G266" s="40" t="s">
        <v>753</v>
      </c>
      <c r="H266" s="40" t="s">
        <v>637</v>
      </c>
      <c r="I266" s="40" t="s">
        <v>561</v>
      </c>
      <c r="J266" s="40" t="s">
        <v>429</v>
      </c>
      <c r="K266" s="40" t="s">
        <v>307</v>
      </c>
      <c r="L266" s="40" t="s">
        <v>224</v>
      </c>
      <c r="M266" s="40" t="s">
        <v>151</v>
      </c>
      <c r="N266" s="40"/>
      <c r="O266" s="40"/>
      <c r="P266" s="40"/>
      <c r="Q266" s="40"/>
      <c r="R266" s="40" t="s">
        <v>139</v>
      </c>
      <c r="S266" s="40" t="s">
        <v>750</v>
      </c>
      <c r="T266" s="40" t="s">
        <v>323</v>
      </c>
      <c r="U266" s="40" t="s">
        <v>204</v>
      </c>
      <c r="V266" s="40" t="s">
        <v>154</v>
      </c>
      <c r="W266" s="40"/>
      <c r="X266" s="40"/>
      <c r="Y266" s="40"/>
      <c r="Z266" s="40"/>
      <c r="AA266" s="40" t="s">
        <v>217</v>
      </c>
      <c r="AB266" s="53">
        <v>45918.644444444442</v>
      </c>
      <c r="AC266" s="40" t="s">
        <v>732</v>
      </c>
      <c r="AD266" s="40"/>
      <c r="AE266" s="40"/>
      <c r="AF266" s="40"/>
      <c r="AG266" s="40" t="s">
        <v>141</v>
      </c>
      <c r="AH266" s="10" t="s">
        <v>184</v>
      </c>
      <c r="AI266" s="87"/>
      <c r="AJ266" s="87" cm="1">
        <f t="array" ref="AJ266">IFERROR(_xlfn.XLOOKUP(TRUE,COUNTIF(Tabla[[#This Row],[Etiquetas]:[Etiquetas17]],Versiones!$G$2:$G$36)&gt;0,Versiones!$B$2:$B$36), "")</f>
        <v>19</v>
      </c>
      <c r="AK266" s="87" t="str" cm="1">
        <f t="array" ref="AK266">IFERROR(_xlfn.XLOOKUP(TRUE,COUNTIF(Tabla[[#This Row],[Etiquetas]:[Etiquetas17]],Versiones!$G$2:$G$36)&gt;0,Versiones!$A$2:$A$36), "")</f>
        <v>V0.7</v>
      </c>
      <c r="AL26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66" s="78" t="str">
        <f>IFERROR(_xlfn.XLOOKUP(Tabla[[#This Row],[¿En qué versión fue corregido?]],Versiones!$A$2:$A$34,Versiones!$B$2:$B$34),"No encontrado")</f>
        <v>No encontrado</v>
      </c>
      <c r="AN266" s="88" t="str" cm="1">
        <f t="array" ref="AN266">IFERROR(_xlfn.XLOOKUP(TRUE,COUNTIF(Tabla[[#This Row],[Etiquetas]:[Etiquetas17]],Categorías!$A$2:$A$12)&gt;0,Categorías!$A$2:$A$12),"No encontrado")</f>
        <v>Funcional</v>
      </c>
      <c r="AO266" s="88" t="str" cm="1">
        <f t="array" ref="AO266">IFERROR(INDEX(Funcionalidades!$A$2:$A$80,MATCH(TRUE, COUNTIF(Reporte_Gral!R266:Z266,Funcionalidades!$A$2:$A$80)&gt;0,0)),"No encontrado")</f>
        <v>Registro-De-Gastos</v>
      </c>
      <c r="AP266" s="87" t="str">
        <f>IF(AND(COUNTIF(Tabla[[#This Row],[Etiquetas]:[Etiquetas17]],"*UAT_V*")&gt;0,COUNTIF(Tabla[[#This Row],[Etiquetas]:[Etiquetas17]],"*QA-Integración*")=0),"SI","")</f>
        <v/>
      </c>
      <c r="AQ266" s="88" t="str" cm="1">
        <f t="array" ref="AQ266">IF(Tabla[[#This Row],[Fue encontrado durante UAT?]]="SI",IFERROR(_xlfn.XLOOKUP(TRUE,ISNUMBER(SEARCH("UAT_V",Tabla[[#This Row],[Etiquetas]:[Etiquetas17]])),Tabla[[#This Row],[Etiquetas]:[Etiquetas17]]),""),"")</f>
        <v/>
      </c>
      <c r="AR266" s="87" t="str">
        <f>IF(COUNTIF(Tabla[[#This Row],[Etiquetas]:[Etiquetas17]],"*Devuelto*")&gt;0,"SI","")</f>
        <v/>
      </c>
      <c r="AS266" s="167">
        <f>COUNTIF(Tabla[[#This Row],[Etiquetas]:[Etiquetas17]],"*Devuelto*")</f>
        <v>0</v>
      </c>
    </row>
    <row r="267" spans="1:45" ht="15" customHeight="1">
      <c r="A267" s="40" t="s">
        <v>128</v>
      </c>
      <c r="B267" s="40" t="s">
        <v>794</v>
      </c>
      <c r="C267" s="40">
        <v>95592</v>
      </c>
      <c r="D267" s="40" t="s">
        <v>795</v>
      </c>
      <c r="E267" s="40" t="s">
        <v>37</v>
      </c>
      <c r="F267" s="40" t="s">
        <v>26</v>
      </c>
      <c r="G267" s="40" t="s">
        <v>307</v>
      </c>
      <c r="H267" s="40" t="s">
        <v>224</v>
      </c>
      <c r="I267" s="40" t="s">
        <v>151</v>
      </c>
      <c r="J267" s="40"/>
      <c r="K267" s="40"/>
      <c r="L267" s="40"/>
      <c r="M267" s="40"/>
      <c r="N267" s="40"/>
      <c r="O267" s="40"/>
      <c r="P267" s="40"/>
      <c r="Q267" s="40"/>
      <c r="R267" s="40" t="s">
        <v>139</v>
      </c>
      <c r="S267" s="40" t="s">
        <v>237</v>
      </c>
      <c r="T267" s="40" t="s">
        <v>750</v>
      </c>
      <c r="U267" s="40" t="s">
        <v>536</v>
      </c>
      <c r="V267" s="40"/>
      <c r="W267" s="40"/>
      <c r="X267" s="40"/>
      <c r="Y267" s="40"/>
      <c r="Z267" s="40"/>
      <c r="AA267" s="40" t="s">
        <v>217</v>
      </c>
      <c r="AB267" s="53">
        <v>45918.594444444447</v>
      </c>
      <c r="AC267" s="40" t="s">
        <v>710</v>
      </c>
      <c r="AD267" s="40"/>
      <c r="AE267" s="40"/>
      <c r="AF267" s="40"/>
      <c r="AG267" s="40" t="s">
        <v>141</v>
      </c>
      <c r="AH267" s="10" t="s">
        <v>221</v>
      </c>
      <c r="AI267" s="87"/>
      <c r="AJ267" s="87" cm="1">
        <f t="array" ref="AJ267">IFERROR(_xlfn.XLOOKUP(TRUE,COUNTIF(Tabla[[#This Row],[Etiquetas]:[Etiquetas17]],Versiones!$G$2:$G$36)&gt;0,Versiones!$B$2:$B$36), "")</f>
        <v>19</v>
      </c>
      <c r="AK267" s="87" t="str" cm="1">
        <f t="array" ref="AK267">IFERROR(_xlfn.XLOOKUP(TRUE,COUNTIF(Tabla[[#This Row],[Etiquetas]:[Etiquetas17]],Versiones!$G$2:$G$36)&gt;0,Versiones!$A$2:$A$36), "")</f>
        <v>V0.7</v>
      </c>
      <c r="AL26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67" s="78">
        <f>IFERROR(_xlfn.XLOOKUP(Tabla[[#This Row],[¿En qué versión fue corregido?]],Versiones!$A$2:$A$34,Versiones!$B$2:$B$34),"No encontrado")</f>
        <v>20</v>
      </c>
      <c r="AN267" s="88" t="str" cm="1">
        <f t="array" ref="AN267">IFERROR(_xlfn.XLOOKUP(TRUE,COUNTIF(Tabla[[#This Row],[Etiquetas]:[Etiquetas17]],Categorías!$A$2:$A$12)&gt;0,Categorías!$A$2:$A$12),"No encontrado")</f>
        <v>Funcional</v>
      </c>
      <c r="AO267" s="87" t="str" cm="1">
        <f t="array" ref="AO267">IFERROR(INDEX(Funcionalidades!$A$2:$A$80,MATCH(TRUE, COUNTIF(Reporte_Gral!R267:Z267,Funcionalidades!$A$2:$A$80)&gt;0,0)),"No encontrado")</f>
        <v>Main-Dashboard</v>
      </c>
      <c r="AP267" s="87" t="str">
        <f>IF(AND(COUNTIF(Tabla[[#This Row],[Etiquetas]:[Etiquetas17]],"*UAT_V*")&gt;0,COUNTIF(Tabla[[#This Row],[Etiquetas]:[Etiquetas17]],"*QA-Integración*")=0),"SI","")</f>
        <v/>
      </c>
      <c r="AQ267" s="88" t="str" cm="1">
        <f t="array" ref="AQ267">IF(Tabla[[#This Row],[Fue encontrado durante UAT?]]="SI",IFERROR(_xlfn.XLOOKUP(TRUE,ISNUMBER(SEARCH("UAT_V",Tabla[[#This Row],[Etiquetas]:[Etiquetas17]])),Tabla[[#This Row],[Etiquetas]:[Etiquetas17]]),""),"")</f>
        <v/>
      </c>
      <c r="AR267" s="87" t="str">
        <f>IF(COUNTIF(Tabla[[#This Row],[Etiquetas]:[Etiquetas17]],"*Devuelto*")&gt;0,"SI","")</f>
        <v/>
      </c>
      <c r="AS267" s="167">
        <f>COUNTIF(Tabla[[#This Row],[Etiquetas]:[Etiquetas17]],"*Devuelto*")</f>
        <v>0</v>
      </c>
    </row>
    <row r="268" spans="1:45" ht="15" customHeight="1">
      <c r="A268" s="40" t="s">
        <v>128</v>
      </c>
      <c r="B268" s="40" t="s">
        <v>796</v>
      </c>
      <c r="C268" s="40">
        <v>95261</v>
      </c>
      <c r="D268" s="40" t="s">
        <v>797</v>
      </c>
      <c r="E268" s="40" t="s">
        <v>36</v>
      </c>
      <c r="F268" s="40" t="s">
        <v>26</v>
      </c>
      <c r="G268" s="40" t="s">
        <v>753</v>
      </c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 t="s">
        <v>139</v>
      </c>
      <c r="S268" s="40" t="s">
        <v>237</v>
      </c>
      <c r="T268" s="40" t="s">
        <v>750</v>
      </c>
      <c r="U268" s="40" t="s">
        <v>204</v>
      </c>
      <c r="V268" s="40" t="s">
        <v>154</v>
      </c>
      <c r="W268" s="40"/>
      <c r="X268" s="40"/>
      <c r="Y268" s="40"/>
      <c r="Z268" s="40"/>
      <c r="AA268" s="40" t="s">
        <v>217</v>
      </c>
      <c r="AB268" s="53">
        <v>45917.64166666667</v>
      </c>
      <c r="AC268" s="40" t="s">
        <v>710</v>
      </c>
      <c r="AD268" s="40"/>
      <c r="AE268" s="40"/>
      <c r="AF268" s="40"/>
      <c r="AG268" s="40" t="s">
        <v>141</v>
      </c>
      <c r="AH268" s="42" t="s">
        <v>221</v>
      </c>
      <c r="AI268" s="87"/>
      <c r="AJ268" s="87" cm="1">
        <f t="array" ref="AJ268">IFERROR(_xlfn.XLOOKUP(TRUE,COUNTIF(Tabla[[#This Row],[Etiquetas]:[Etiquetas17]],Versiones!$G$2:$G$36)&gt;0,Versiones!$B$2:$B$36), "")</f>
        <v>19</v>
      </c>
      <c r="AK268" s="87" t="str" cm="1">
        <f t="array" ref="AK268">IFERROR(_xlfn.XLOOKUP(TRUE,COUNTIF(Tabla[[#This Row],[Etiquetas]:[Etiquetas17]],Versiones!$G$2:$G$36)&gt;0,Versiones!$A$2:$A$36), "")</f>
        <v>V0.7</v>
      </c>
      <c r="AL26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68" s="78">
        <f>IFERROR(_xlfn.XLOOKUP(Tabla[[#This Row],[¿En qué versión fue corregido?]],Versiones!$A$2:$A$34,Versiones!$B$2:$B$34),"No encontrado")</f>
        <v>20</v>
      </c>
      <c r="AN268" s="88" t="str" cm="1">
        <f t="array" ref="AN268">IFERROR(_xlfn.XLOOKUP(TRUE,COUNTIF(Tabla[[#This Row],[Etiquetas]:[Etiquetas17]],Categorías!$A$2:$A$12)&gt;0,Categorías!$A$2:$A$12),"No encontrado")</f>
        <v>Funcional</v>
      </c>
      <c r="AO268" s="87" t="str" cm="1">
        <f t="array" ref="AO268">IFERROR(INDEX(Funcionalidades!$A$2:$A$80,MATCH(TRUE, COUNTIF(Reporte_Gral!R268:Z268,Funcionalidades!$A$2:$A$80)&gt;0,0)),"No encontrado")</f>
        <v>Main-Dashboard</v>
      </c>
      <c r="AP268" s="87" t="str">
        <f>IF(AND(COUNTIF(Tabla[[#This Row],[Etiquetas]:[Etiquetas17]],"*UAT_V*")&gt;0,COUNTIF(Tabla[[#This Row],[Etiquetas]:[Etiquetas17]],"*QA-Integración*")=0),"SI","")</f>
        <v/>
      </c>
      <c r="AQ268" s="88" t="str" cm="1">
        <f t="array" ref="AQ268">IF(Tabla[[#This Row],[Fue encontrado durante UAT?]]="SI",IFERROR(_xlfn.XLOOKUP(TRUE,ISNUMBER(SEARCH("UAT_V",Tabla[[#This Row],[Etiquetas]:[Etiquetas17]])),Tabla[[#This Row],[Etiquetas]:[Etiquetas17]]),""),"")</f>
        <v/>
      </c>
      <c r="AR268" s="87" t="str">
        <f>IF(COUNTIF(Tabla[[#This Row],[Etiquetas]:[Etiquetas17]],"*Devuelto*")&gt;0,"SI","")</f>
        <v/>
      </c>
      <c r="AS268" s="167">
        <f>COUNTIF(Tabla[[#This Row],[Etiquetas]:[Etiquetas17]],"*Devuelto*")</f>
        <v>0</v>
      </c>
    </row>
    <row r="269" spans="1:45" ht="15" customHeight="1">
      <c r="A269" s="40" t="s">
        <v>128</v>
      </c>
      <c r="B269" s="40" t="s">
        <v>798</v>
      </c>
      <c r="C269" s="40">
        <v>95037</v>
      </c>
      <c r="D269" s="40" t="s">
        <v>799</v>
      </c>
      <c r="E269" s="40" t="s">
        <v>37</v>
      </c>
      <c r="F269" s="40" t="s">
        <v>26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 t="s">
        <v>638</v>
      </c>
      <c r="S269" s="40" t="s">
        <v>139</v>
      </c>
      <c r="T269" s="40" t="s">
        <v>750</v>
      </c>
      <c r="U269" s="40" t="s">
        <v>536</v>
      </c>
      <c r="V269" s="40"/>
      <c r="W269" s="40"/>
      <c r="X269" s="40"/>
      <c r="Y269" s="40"/>
      <c r="Z269" s="40"/>
      <c r="AA269" s="40" t="s">
        <v>217</v>
      </c>
      <c r="AB269" s="53">
        <v>45916.615277777775</v>
      </c>
      <c r="AC269" s="40"/>
      <c r="AD269" s="40"/>
      <c r="AE269" s="40"/>
      <c r="AF269" s="40"/>
      <c r="AG269" s="40" t="s">
        <v>135</v>
      </c>
      <c r="AH269" s="10" t="s">
        <v>218</v>
      </c>
      <c r="AI269" s="87"/>
      <c r="AJ269" s="87" cm="1">
        <f t="array" ref="AJ269">IFERROR(_xlfn.XLOOKUP(TRUE,COUNTIF(Tabla[[#This Row],[Etiquetas]:[Etiquetas17]],Versiones!$G$2:$G$36)&gt;0,Versiones!$B$2:$B$36), "")</f>
        <v>19</v>
      </c>
      <c r="AK269" s="87" t="str" cm="1">
        <f t="array" ref="AK269">IFERROR(_xlfn.XLOOKUP(TRUE,COUNTIF(Tabla[[#This Row],[Etiquetas]:[Etiquetas17]],Versiones!$G$2:$G$36)&gt;0,Versiones!$A$2:$A$36), "")</f>
        <v>V0.7</v>
      </c>
      <c r="AL26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69" s="78" t="str">
        <f>IFERROR(_xlfn.XLOOKUP(Tabla[[#This Row],[¿En qué versión fue corregido?]],Versiones!$A$2:$A$34,Versiones!$B$2:$B$34),"No encontrado")</f>
        <v>No encontrado</v>
      </c>
      <c r="AN269" s="88" t="str" cm="1">
        <f t="array" ref="AN269">IFERROR(_xlfn.XLOOKUP(TRUE,COUNTIF(Tabla[[#This Row],[Etiquetas]:[Etiquetas17]],Categorías!$A$2:$A$12)&gt;0,Categorías!$A$2:$A$12),"No encontrado")</f>
        <v>Funcional</v>
      </c>
      <c r="AO269" s="88" t="str" cm="1">
        <f t="array" ref="AO269">IFERROR(INDEX(Funcionalidades!$A$2:$A$80,MATCH(TRUE, COUNTIF(Reporte_Gral!R269:Z269,Funcionalidades!$A$2:$A$80)&gt;0,0)),"No encontrado")</f>
        <v>Buscar-Artículo</v>
      </c>
      <c r="AP269" s="87" t="str">
        <f>IF(AND(COUNTIF(Tabla[[#This Row],[Etiquetas]:[Etiquetas17]],"*UAT_V*")&gt;0,COUNTIF(Tabla[[#This Row],[Etiquetas]:[Etiquetas17]],"*QA-Integración*")=0),"SI","")</f>
        <v/>
      </c>
      <c r="AQ269" s="88" t="str" cm="1">
        <f t="array" ref="AQ269">IF(Tabla[[#This Row],[Fue encontrado durante UAT?]]="SI",IFERROR(_xlfn.XLOOKUP(TRUE,ISNUMBER(SEARCH("UAT_V",Tabla[[#This Row],[Etiquetas]:[Etiquetas17]])),Tabla[[#This Row],[Etiquetas]:[Etiquetas17]]),""),"")</f>
        <v/>
      </c>
      <c r="AR269" s="87" t="str">
        <f>IF(COUNTIF(Tabla[[#This Row],[Etiquetas]:[Etiquetas17]],"*Devuelto*")&gt;0,"SI","")</f>
        <v/>
      </c>
      <c r="AS269" s="167">
        <f>COUNTIF(Tabla[[#This Row],[Etiquetas]:[Etiquetas17]],"*Devuelto*")</f>
        <v>0</v>
      </c>
    </row>
    <row r="270" spans="1:45" ht="15" customHeight="1">
      <c r="A270" s="40" t="s">
        <v>128</v>
      </c>
      <c r="B270" s="40" t="s">
        <v>800</v>
      </c>
      <c r="C270" s="40">
        <v>94691</v>
      </c>
      <c r="D270" s="40" t="s">
        <v>801</v>
      </c>
      <c r="E270" s="40" t="s">
        <v>36</v>
      </c>
      <c r="F270" s="40" t="s">
        <v>26</v>
      </c>
      <c r="G270" s="40" t="s">
        <v>802</v>
      </c>
      <c r="H270" s="40" t="s">
        <v>753</v>
      </c>
      <c r="I270" s="40"/>
      <c r="J270" s="40"/>
      <c r="K270" s="40"/>
      <c r="L270" s="40"/>
      <c r="M270" s="40"/>
      <c r="N270" s="40"/>
      <c r="O270" s="40"/>
      <c r="P270" s="40"/>
      <c r="Q270" s="40"/>
      <c r="R270" s="40" t="s">
        <v>803</v>
      </c>
      <c r="S270" s="40" t="s">
        <v>287</v>
      </c>
      <c r="T270" s="40" t="s">
        <v>442</v>
      </c>
      <c r="U270" s="40" t="s">
        <v>804</v>
      </c>
      <c r="V270" s="40" t="s">
        <v>204</v>
      </c>
      <c r="W270" s="40" t="s">
        <v>154</v>
      </c>
      <c r="X270" s="40"/>
      <c r="Y270" s="40"/>
      <c r="Z270" s="40"/>
      <c r="AA270" s="40" t="s">
        <v>134</v>
      </c>
      <c r="AB270" s="53">
        <v>45914.655555555553</v>
      </c>
      <c r="AC270" s="40" t="s">
        <v>805</v>
      </c>
      <c r="AD270" s="40" t="s">
        <v>806</v>
      </c>
      <c r="AE270" s="40" t="s">
        <v>760</v>
      </c>
      <c r="AF270" s="40"/>
      <c r="AG270" s="40" t="s">
        <v>135</v>
      </c>
      <c r="AH270" s="10" t="s">
        <v>218</v>
      </c>
      <c r="AI270" s="87"/>
      <c r="AJ270" s="87" cm="1">
        <f t="array" ref="AJ270">IFERROR(_xlfn.XLOOKUP(TRUE,COUNTIF(Tabla[[#This Row],[Etiquetas]:[Etiquetas17]],Versiones!$G$2:$G$36)&gt;0,Versiones!$B$2:$B$36), "")</f>
        <v>18</v>
      </c>
      <c r="AK270" s="87" t="str" cm="1">
        <f t="array" ref="AK270">IFERROR(_xlfn.XLOOKUP(TRUE,COUNTIF(Tabla[[#This Row],[Etiquetas]:[Etiquetas17]],Versiones!$G$2:$G$36)&gt;0,Versiones!$A$2:$A$36), "")</f>
        <v>V0.6</v>
      </c>
      <c r="AL27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70" s="78">
        <f>IFERROR(_xlfn.XLOOKUP(Tabla[[#This Row],[¿En qué versión fue corregido?]],Versiones!$A$2:$A$34,Versiones!$B$2:$B$34),"No encontrado")</f>
        <v>19</v>
      </c>
      <c r="AN270" s="88" t="str" cm="1">
        <f t="array" ref="AN270">IFERROR(_xlfn.XLOOKUP(TRUE,COUNTIF(Tabla[[#This Row],[Etiquetas]:[Etiquetas17]],Categorías!$A$2:$A$12)&gt;0,Categorías!$A$2:$A$12),"No encontrado")</f>
        <v>Eventos_iOT</v>
      </c>
      <c r="AO270" s="87" t="str" cm="1">
        <f t="array" ref="AO270">IFERROR(INDEX(Funcionalidades!$A$2:$A$80,MATCH(TRUE, COUNTIF(Reporte_Gral!R270:Z270,Funcionalidades!$A$2:$A$80)&gt;0,0)),"No encontrado")</f>
        <v>Login</v>
      </c>
      <c r="AP270" s="87" t="str">
        <f>IF(AND(COUNTIF(Tabla[[#This Row],[Etiquetas]:[Etiquetas17]],"*UAT_V*")&gt;0,COUNTIF(Tabla[[#This Row],[Etiquetas]:[Etiquetas17]],"*QA-Integración*")=0),"SI","")</f>
        <v/>
      </c>
      <c r="AQ270" s="88" t="str" cm="1">
        <f t="array" ref="AQ270">IF(Tabla[[#This Row],[Fue encontrado durante UAT?]]="SI",IFERROR(_xlfn.XLOOKUP(TRUE,ISNUMBER(SEARCH("UAT_V",Tabla[[#This Row],[Etiquetas]:[Etiquetas17]])),Tabla[[#This Row],[Etiquetas]:[Etiquetas17]]),""),"")</f>
        <v/>
      </c>
      <c r="AR270" s="87" t="str">
        <f>IF(COUNTIF(Tabla[[#This Row],[Etiquetas]:[Etiquetas17]],"*Devuelto*")&gt;0,"SI","")</f>
        <v/>
      </c>
      <c r="AS270" s="167">
        <f>COUNTIF(Tabla[[#This Row],[Etiquetas]:[Etiquetas17]],"*Devuelto*")</f>
        <v>0</v>
      </c>
    </row>
    <row r="271" spans="1:45" ht="15" customHeight="1">
      <c r="A271" s="40" t="s">
        <v>128</v>
      </c>
      <c r="B271" s="40" t="s">
        <v>807</v>
      </c>
      <c r="C271" s="40">
        <v>94631</v>
      </c>
      <c r="D271" s="40" t="s">
        <v>808</v>
      </c>
      <c r="E271" s="40" t="s">
        <v>36</v>
      </c>
      <c r="F271" s="40" t="s">
        <v>26</v>
      </c>
      <c r="G271" s="40" t="s">
        <v>802</v>
      </c>
      <c r="H271" s="40" t="s">
        <v>753</v>
      </c>
      <c r="I271" s="40"/>
      <c r="J271" s="40"/>
      <c r="K271" s="40"/>
      <c r="L271" s="40"/>
      <c r="M271" s="40"/>
      <c r="N271" s="40"/>
      <c r="O271" s="40"/>
      <c r="P271" s="40"/>
      <c r="Q271" s="40"/>
      <c r="R271" s="40" t="s">
        <v>803</v>
      </c>
      <c r="S271" s="40" t="s">
        <v>287</v>
      </c>
      <c r="T271" s="40" t="s">
        <v>345</v>
      </c>
      <c r="U271" s="40" t="s">
        <v>804</v>
      </c>
      <c r="V271" s="40" t="s">
        <v>204</v>
      </c>
      <c r="W271" s="40" t="s">
        <v>154</v>
      </c>
      <c r="X271" s="40"/>
      <c r="Y271" s="40"/>
      <c r="Z271" s="40"/>
      <c r="AA271" s="40" t="s">
        <v>134</v>
      </c>
      <c r="AB271" s="53">
        <v>45914.128472222219</v>
      </c>
      <c r="AC271" s="40" t="s">
        <v>805</v>
      </c>
      <c r="AD271" s="40" t="s">
        <v>806</v>
      </c>
      <c r="AE271" s="40" t="s">
        <v>760</v>
      </c>
      <c r="AF271" s="40"/>
      <c r="AG271" s="40" t="s">
        <v>135</v>
      </c>
      <c r="AH271" s="42" t="s">
        <v>320</v>
      </c>
      <c r="AI271" s="87"/>
      <c r="AJ271" s="87" cm="1">
        <f t="array" ref="AJ271">IFERROR(_xlfn.XLOOKUP(TRUE,COUNTIF(Tabla[[#This Row],[Etiquetas]:[Etiquetas17]],Versiones!$G$2:$G$36)&gt;0,Versiones!$B$2:$B$36), "")</f>
        <v>18</v>
      </c>
      <c r="AK271" s="87" t="str" cm="1">
        <f t="array" ref="AK271">IFERROR(_xlfn.XLOOKUP(TRUE,COUNTIF(Tabla[[#This Row],[Etiquetas]:[Etiquetas17]],Versiones!$G$2:$G$36)&gt;0,Versiones!$A$2:$A$36), "")</f>
        <v>V0.6</v>
      </c>
      <c r="AL27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71" s="78">
        <f>IFERROR(_xlfn.XLOOKUP(Tabla[[#This Row],[¿En qué versión fue corregido?]],Versiones!$A$2:$A$34,Versiones!$B$2:$B$34),"No encontrado")</f>
        <v>19</v>
      </c>
      <c r="AN271" s="88" t="str" cm="1">
        <f t="array" ref="AN271">IFERROR(_xlfn.XLOOKUP(TRUE,COUNTIF(Tabla[[#This Row],[Etiquetas]:[Etiquetas17]],Categorías!$A$2:$A$12)&gt;0,Categorías!$A$2:$A$12),"No encontrado")</f>
        <v>Eventos_iOT</v>
      </c>
      <c r="AO271" s="87" t="str" cm="1">
        <f t="array" ref="AO271">IFERROR(INDEX(Funcionalidades!$A$2:$A$80,MATCH(TRUE, COUNTIF(Reporte_Gral!R271:Z271,Funcionalidades!$A$2:$A$80)&gt;0,0)),"No encontrado")</f>
        <v>Inicio-De-Turno</v>
      </c>
      <c r="AP271" s="87" t="str">
        <f>IF(AND(COUNTIF(Tabla[[#This Row],[Etiquetas]:[Etiquetas17]],"*UAT_V*")&gt;0,COUNTIF(Tabla[[#This Row],[Etiquetas]:[Etiquetas17]],"*QA-Integración*")=0),"SI","")</f>
        <v/>
      </c>
      <c r="AQ271" s="88" t="str" cm="1">
        <f t="array" ref="AQ271">IF(Tabla[[#This Row],[Fue encontrado durante UAT?]]="SI",IFERROR(_xlfn.XLOOKUP(TRUE,ISNUMBER(SEARCH("UAT_V",Tabla[[#This Row],[Etiquetas]:[Etiquetas17]])),Tabla[[#This Row],[Etiquetas]:[Etiquetas17]]),""),"")</f>
        <v/>
      </c>
      <c r="AR271" s="87" t="str">
        <f>IF(COUNTIF(Tabla[[#This Row],[Etiquetas]:[Etiquetas17]],"*Devuelto*")&gt;0,"SI","")</f>
        <v/>
      </c>
      <c r="AS271" s="167">
        <f>COUNTIF(Tabla[[#This Row],[Etiquetas]:[Etiquetas17]],"*Devuelto*")</f>
        <v>0</v>
      </c>
    </row>
    <row r="272" spans="1:45" ht="15" customHeight="1">
      <c r="A272" s="40" t="s">
        <v>128</v>
      </c>
      <c r="B272" s="40" t="s">
        <v>809</v>
      </c>
      <c r="C272" s="40">
        <v>94628</v>
      </c>
      <c r="D272" s="40" t="s">
        <v>808</v>
      </c>
      <c r="E272" s="40" t="s">
        <v>36</v>
      </c>
      <c r="F272" s="40" t="s">
        <v>24</v>
      </c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 t="s">
        <v>663</v>
      </c>
      <c r="S272" s="40" t="s">
        <v>287</v>
      </c>
      <c r="T272" s="40" t="s">
        <v>804</v>
      </c>
      <c r="U272" s="40"/>
      <c r="V272" s="40"/>
      <c r="W272" s="40"/>
      <c r="X272" s="40"/>
      <c r="Y272" s="40"/>
      <c r="Z272" s="40"/>
      <c r="AA272" s="40" t="s">
        <v>134</v>
      </c>
      <c r="AB272" s="53">
        <v>45913.960416666669</v>
      </c>
      <c r="AC272" s="40" t="s">
        <v>806</v>
      </c>
      <c r="AD272" s="40" t="s">
        <v>760</v>
      </c>
      <c r="AE272" s="40"/>
      <c r="AF272" s="40"/>
      <c r="AG272" s="40" t="s">
        <v>135</v>
      </c>
      <c r="AH272" s="90" t="s">
        <v>617</v>
      </c>
      <c r="AI272" s="87"/>
      <c r="AJ272" s="87" cm="1">
        <f t="array" ref="AJ272">IFERROR(_xlfn.XLOOKUP(TRUE,COUNTIF(Tabla[[#This Row],[Etiquetas]:[Etiquetas17]],Versiones!$G$2:$G$36)&gt;0,Versiones!$B$2:$B$36), "")</f>
        <v>18</v>
      </c>
      <c r="AK272" s="87" t="str" cm="1">
        <f t="array" ref="AK272">IFERROR(_xlfn.XLOOKUP(TRUE,COUNTIF(Tabla[[#This Row],[Etiquetas]:[Etiquetas17]],Versiones!$G$2:$G$36)&gt;0,Versiones!$A$2:$A$36), "")</f>
        <v>V0.6</v>
      </c>
      <c r="AL27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72" s="78">
        <f>IFERROR(_xlfn.XLOOKUP(Tabla[[#This Row],[¿En qué versión fue corregido?]],Versiones!$A$2:$A$34,Versiones!$B$2:$B$34),"No encontrado")</f>
        <v>19</v>
      </c>
      <c r="AN272" s="88" t="str" cm="1">
        <f t="array" ref="AN272">IFERROR(_xlfn.XLOOKUP(TRUE,COUNTIF(Tabla[[#This Row],[Etiquetas]:[Etiquetas17]],Categorías!$A$2:$A$12)&gt;0,Categorías!$A$2:$A$12),"No encontrado")</f>
        <v>Eventos_iOT</v>
      </c>
      <c r="AO272" s="87" t="str" cm="1">
        <f t="array" ref="AO272">IFERROR(INDEX(Funcionalidades!$A$2:$A$80,MATCH(TRUE, COUNTIF(Reporte_Gral!R272:Z272,Funcionalidades!$A$2:$A$80)&gt;0,0)),"No encontrado")</f>
        <v>Confirmar-Inicio-De-Turno</v>
      </c>
      <c r="AP272" s="87" t="str">
        <f>IF(AND(COUNTIF(Tabla[[#This Row],[Etiquetas]:[Etiquetas17]],"*UAT_V*")&gt;0,COUNTIF(Tabla[[#This Row],[Etiquetas]:[Etiquetas17]],"*QA-Integración*")=0),"SI","")</f>
        <v/>
      </c>
      <c r="AQ272" s="88" t="str" cm="1">
        <f t="array" ref="AQ272">IF(Tabla[[#This Row],[Fue encontrado durante UAT?]]="SI",IFERROR(_xlfn.XLOOKUP(TRUE,ISNUMBER(SEARCH("UAT_V",Tabla[[#This Row],[Etiquetas]:[Etiquetas17]])),Tabla[[#This Row],[Etiquetas]:[Etiquetas17]]),""),"")</f>
        <v/>
      </c>
      <c r="AR272" s="87" t="str">
        <f>IF(COUNTIF(Tabla[[#This Row],[Etiquetas]:[Etiquetas17]],"*Devuelto*")&gt;0,"SI","")</f>
        <v/>
      </c>
      <c r="AS272" s="167">
        <f>COUNTIF(Tabla[[#This Row],[Etiquetas]:[Etiquetas17]],"*Devuelto*")</f>
        <v>0</v>
      </c>
    </row>
    <row r="273" spans="1:45" ht="15" customHeight="1">
      <c r="A273" s="40" t="s">
        <v>128</v>
      </c>
      <c r="B273" s="40" t="s">
        <v>810</v>
      </c>
      <c r="C273" s="40">
        <v>94362</v>
      </c>
      <c r="D273" s="40" t="s">
        <v>811</v>
      </c>
      <c r="E273" s="40" t="s">
        <v>36</v>
      </c>
      <c r="F273" s="40" t="s">
        <v>26</v>
      </c>
      <c r="G273" s="40" t="s">
        <v>802</v>
      </c>
      <c r="H273" s="40" t="s">
        <v>753</v>
      </c>
      <c r="I273" s="40"/>
      <c r="J273" s="40"/>
      <c r="K273" s="40"/>
      <c r="L273" s="40"/>
      <c r="M273" s="40"/>
      <c r="N273" s="40"/>
      <c r="O273" s="40"/>
      <c r="P273" s="40"/>
      <c r="Q273" s="40"/>
      <c r="R273" s="40" t="s">
        <v>145</v>
      </c>
      <c r="S273" s="40" t="s">
        <v>803</v>
      </c>
      <c r="T273" s="40" t="s">
        <v>287</v>
      </c>
      <c r="U273" s="40" t="s">
        <v>804</v>
      </c>
      <c r="V273" s="40" t="s">
        <v>204</v>
      </c>
      <c r="W273" s="40" t="s">
        <v>154</v>
      </c>
      <c r="X273" s="40"/>
      <c r="Y273" s="40"/>
      <c r="Z273" s="40"/>
      <c r="AA273" s="40" t="s">
        <v>134</v>
      </c>
      <c r="AB273" s="53">
        <v>45912.441666666666</v>
      </c>
      <c r="AC273" s="40" t="s">
        <v>805</v>
      </c>
      <c r="AD273" s="40" t="s">
        <v>806</v>
      </c>
      <c r="AE273" s="40" t="s">
        <v>760</v>
      </c>
      <c r="AF273" s="40"/>
      <c r="AG273" s="40" t="s">
        <v>141</v>
      </c>
      <c r="AH273" s="10" t="s">
        <v>221</v>
      </c>
      <c r="AI273" s="87"/>
      <c r="AJ273" s="87" cm="1">
        <f t="array" ref="AJ273">IFERROR(_xlfn.XLOOKUP(TRUE,COUNTIF(Tabla[[#This Row],[Etiquetas]:[Etiquetas17]],Versiones!$G$2:$G$36)&gt;0,Versiones!$B$2:$B$36), "")</f>
        <v>18</v>
      </c>
      <c r="AK273" s="87" t="str" cm="1">
        <f t="array" ref="AK273">IFERROR(_xlfn.XLOOKUP(TRUE,COUNTIF(Tabla[[#This Row],[Etiquetas]:[Etiquetas17]],Versiones!$G$2:$G$36)&gt;0,Versiones!$A$2:$A$36), "")</f>
        <v>V0.6</v>
      </c>
      <c r="AL27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73" s="78">
        <f>IFERROR(_xlfn.XLOOKUP(Tabla[[#This Row],[¿En qué versión fue corregido?]],Versiones!$A$2:$A$34,Versiones!$B$2:$B$34),"No encontrado")</f>
        <v>19</v>
      </c>
      <c r="AN273" s="88" t="str" cm="1">
        <f t="array" ref="AN273">IFERROR(_xlfn.XLOOKUP(TRUE,COUNTIF(Tabla[[#This Row],[Etiquetas]:[Etiquetas17]],Categorías!$A$2:$A$12)&gt;0,Categorías!$A$2:$A$12),"No encontrado")</f>
        <v>Eventos_iOT</v>
      </c>
      <c r="AO273" s="87" t="str" cm="1">
        <f t="array" ref="AO273">IFERROR(INDEX(Funcionalidades!$A$2:$A$80,MATCH(TRUE, COUNTIF(Reporte_Gral!R273:Z273,Funcionalidades!$A$2:$A$80)&gt;0,0)),"No encontrado")</f>
        <v>Cierre-De-Turno</v>
      </c>
      <c r="AP273" s="87" t="str">
        <f>IF(AND(COUNTIF(Tabla[[#This Row],[Etiquetas]:[Etiquetas17]],"*UAT_V*")&gt;0,COUNTIF(Tabla[[#This Row],[Etiquetas]:[Etiquetas17]],"*QA-Integración*")=0),"SI","")</f>
        <v/>
      </c>
      <c r="AQ273" s="88" t="str" cm="1">
        <f t="array" ref="AQ273">IF(Tabla[[#This Row],[Fue encontrado durante UAT?]]="SI",IFERROR(_xlfn.XLOOKUP(TRUE,ISNUMBER(SEARCH("UAT_V",Tabla[[#This Row],[Etiquetas]:[Etiquetas17]])),Tabla[[#This Row],[Etiquetas]:[Etiquetas17]]),""),"")</f>
        <v/>
      </c>
      <c r="AR273" s="87" t="str">
        <f>IF(COUNTIF(Tabla[[#This Row],[Etiquetas]:[Etiquetas17]],"*Devuelto*")&gt;0,"SI","")</f>
        <v/>
      </c>
      <c r="AS273" s="167">
        <f>COUNTIF(Tabla[[#This Row],[Etiquetas]:[Etiquetas17]],"*Devuelto*")</f>
        <v>0</v>
      </c>
    </row>
    <row r="274" spans="1:45" ht="15" customHeight="1">
      <c r="A274" s="40" t="s">
        <v>128</v>
      </c>
      <c r="B274" s="40" t="s">
        <v>812</v>
      </c>
      <c r="C274" s="40">
        <v>94358</v>
      </c>
      <c r="D274" s="40" t="s">
        <v>813</v>
      </c>
      <c r="E274" s="40" t="s">
        <v>36</v>
      </c>
      <c r="F274" s="40" t="s">
        <v>26</v>
      </c>
      <c r="G274" s="40" t="s">
        <v>802</v>
      </c>
      <c r="H274" s="40" t="s">
        <v>753</v>
      </c>
      <c r="I274" s="40"/>
      <c r="J274" s="40"/>
      <c r="K274" s="40"/>
      <c r="L274" s="40"/>
      <c r="M274" s="40"/>
      <c r="N274" s="40"/>
      <c r="O274" s="40"/>
      <c r="P274" s="40"/>
      <c r="Q274" s="40"/>
      <c r="R274" s="40" t="s">
        <v>620</v>
      </c>
      <c r="S274" s="40" t="s">
        <v>803</v>
      </c>
      <c r="T274" s="40" t="s">
        <v>287</v>
      </c>
      <c r="U274" s="40" t="s">
        <v>804</v>
      </c>
      <c r="V274" s="40" t="s">
        <v>204</v>
      </c>
      <c r="W274" s="40" t="s">
        <v>154</v>
      </c>
      <c r="X274" s="40"/>
      <c r="Y274" s="40"/>
      <c r="Z274" s="40"/>
      <c r="AA274" s="40" t="s">
        <v>134</v>
      </c>
      <c r="AB274" s="53">
        <v>45912.44027777778</v>
      </c>
      <c r="AC274" s="40" t="s">
        <v>805</v>
      </c>
      <c r="AD274" s="40" t="s">
        <v>806</v>
      </c>
      <c r="AE274" s="40"/>
      <c r="AF274" s="40"/>
      <c r="AG274" s="40" t="s">
        <v>141</v>
      </c>
      <c r="AH274" s="10" t="s">
        <v>163</v>
      </c>
      <c r="AI274" s="87"/>
      <c r="AJ274" s="87" cm="1">
        <f t="array" ref="AJ274">IFERROR(_xlfn.XLOOKUP(TRUE,COUNTIF(Tabla[[#This Row],[Etiquetas]:[Etiquetas17]],Versiones!$G$2:$G$36)&gt;0,Versiones!$B$2:$B$36), "")</f>
        <v>18</v>
      </c>
      <c r="AK274" s="87" t="str" cm="1">
        <f t="array" ref="AK274">IFERROR(_xlfn.XLOOKUP(TRUE,COUNTIF(Tabla[[#This Row],[Etiquetas]:[Etiquetas17]],Versiones!$G$2:$G$36)&gt;0,Versiones!$A$2:$A$36), "")</f>
        <v>V0.6</v>
      </c>
      <c r="AL27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274" s="78">
        <f>IFERROR(_xlfn.XLOOKUP(Tabla[[#This Row],[¿En qué versión fue corregido?]],Versiones!$A$2:$A$34,Versiones!$B$2:$B$34),"No encontrado")</f>
        <v>18</v>
      </c>
      <c r="AN274" s="88" t="str" cm="1">
        <f t="array" ref="AN274">IFERROR(_xlfn.XLOOKUP(TRUE,COUNTIF(Tabla[[#This Row],[Etiquetas]:[Etiquetas17]],Categorías!$A$2:$A$12)&gt;0,Categorías!$A$2:$A$12),"No encontrado")</f>
        <v>Eventos_iOT</v>
      </c>
      <c r="AO274" s="87" t="str" cm="1">
        <f t="array" ref="AO274">IFERROR(INDEX(Funcionalidades!$A$2:$A$80,MATCH(TRUE, COUNTIF(Reporte_Gral!R274:Z274,Funcionalidades!$A$2:$A$80)&gt;0,0)),"No encontrado")</f>
        <v>Cierre-De-Día</v>
      </c>
      <c r="AP274" s="87" t="str">
        <f>IF(AND(COUNTIF(Tabla[[#This Row],[Etiquetas]:[Etiquetas17]],"*UAT_V*")&gt;0,COUNTIF(Tabla[[#This Row],[Etiquetas]:[Etiquetas17]],"*QA-Integración*")=0),"SI","")</f>
        <v/>
      </c>
      <c r="AQ274" s="88" t="str" cm="1">
        <f t="array" ref="AQ274">IF(Tabla[[#This Row],[Fue encontrado durante UAT?]]="SI",IFERROR(_xlfn.XLOOKUP(TRUE,ISNUMBER(SEARCH("UAT_V",Tabla[[#This Row],[Etiquetas]:[Etiquetas17]])),Tabla[[#This Row],[Etiquetas]:[Etiquetas17]]),""),"")</f>
        <v/>
      </c>
      <c r="AR274" s="87" t="str">
        <f>IF(COUNTIF(Tabla[[#This Row],[Etiquetas]:[Etiquetas17]],"*Devuelto*")&gt;0,"SI","")</f>
        <v/>
      </c>
      <c r="AS274" s="167">
        <f>COUNTIF(Tabla[[#This Row],[Etiquetas]:[Etiquetas17]],"*Devuelto*")</f>
        <v>0</v>
      </c>
    </row>
    <row r="275" spans="1:45" ht="15" customHeight="1">
      <c r="A275" s="40" t="s">
        <v>128</v>
      </c>
      <c r="B275" s="40" t="s">
        <v>814</v>
      </c>
      <c r="C275" s="40">
        <v>94335</v>
      </c>
      <c r="D275" s="40" t="s">
        <v>815</v>
      </c>
      <c r="E275" s="40" t="s">
        <v>36</v>
      </c>
      <c r="F275" s="40" t="s">
        <v>26</v>
      </c>
      <c r="G275" s="40" t="s">
        <v>802</v>
      </c>
      <c r="H275" s="40" t="s">
        <v>753</v>
      </c>
      <c r="I275" s="40"/>
      <c r="J275" s="40"/>
      <c r="K275" s="40"/>
      <c r="L275" s="40"/>
      <c r="M275" s="40"/>
      <c r="N275" s="40"/>
      <c r="O275" s="40"/>
      <c r="P275" s="40"/>
      <c r="Q275" s="40"/>
      <c r="R275" s="40" t="s">
        <v>803</v>
      </c>
      <c r="S275" s="40" t="s">
        <v>287</v>
      </c>
      <c r="T275" s="40" t="s">
        <v>598</v>
      </c>
      <c r="U275" s="40" t="s">
        <v>804</v>
      </c>
      <c r="V275" s="40" t="s">
        <v>204</v>
      </c>
      <c r="W275" s="40" t="s">
        <v>154</v>
      </c>
      <c r="X275" s="40"/>
      <c r="Y275" s="40"/>
      <c r="Z275" s="40"/>
      <c r="AA275" s="40" t="s">
        <v>134</v>
      </c>
      <c r="AB275" s="53">
        <v>45912.40902777778</v>
      </c>
      <c r="AC275" s="40" t="s">
        <v>805</v>
      </c>
      <c r="AD275" s="40" t="s">
        <v>806</v>
      </c>
      <c r="AE275" s="40" t="s">
        <v>760</v>
      </c>
      <c r="AF275" s="40"/>
      <c r="AG275" s="40" t="s">
        <v>135</v>
      </c>
      <c r="AH275" s="84"/>
      <c r="AI275" s="87"/>
      <c r="AJ275" s="87" cm="1">
        <f t="array" ref="AJ275">IFERROR(_xlfn.XLOOKUP(TRUE,COUNTIF(Tabla[[#This Row],[Etiquetas]:[Etiquetas17]],Versiones!$G$2:$G$36)&gt;0,Versiones!$B$2:$B$36), "")</f>
        <v>18</v>
      </c>
      <c r="AK275" s="87" t="str" cm="1">
        <f t="array" ref="AK275">IFERROR(_xlfn.XLOOKUP(TRUE,COUNTIF(Tabla[[#This Row],[Etiquetas]:[Etiquetas17]],Versiones!$G$2:$G$36)&gt;0,Versiones!$A$2:$A$36), "")</f>
        <v>V0.6</v>
      </c>
      <c r="AL27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75" s="78">
        <f>IFERROR(_xlfn.XLOOKUP(Tabla[[#This Row],[¿En qué versión fue corregido?]],Versiones!$A$2:$A$34,Versiones!$B$2:$B$34),"No encontrado")</f>
        <v>19</v>
      </c>
      <c r="AN275" s="88" t="str" cm="1">
        <f t="array" ref="AN275">IFERROR(_xlfn.XLOOKUP(TRUE,COUNTIF(Tabla[[#This Row],[Etiquetas]:[Etiquetas17]],Categorías!$A$2:$A$12)&gt;0,Categorías!$A$2:$A$12),"No encontrado")</f>
        <v>Eventos_iOT</v>
      </c>
      <c r="AO275" s="88" t="str" cm="1">
        <f t="array" ref="AO275">IFERROR(INDEX(Funcionalidades!$A$2:$A$80,MATCH(TRUE, COUNTIF(Reporte_Gral!R275:Z275,Funcionalidades!$A$2:$A$80)&gt;0,0)),"No encontrado")</f>
        <v>Logout</v>
      </c>
      <c r="AP275" s="87" t="str">
        <f>IF(AND(COUNTIF(Tabla[[#This Row],[Etiquetas]:[Etiquetas17]],"*UAT_V*")&gt;0,COUNTIF(Tabla[[#This Row],[Etiquetas]:[Etiquetas17]],"*QA-Integración*")=0),"SI","")</f>
        <v/>
      </c>
      <c r="AQ275" s="88" t="str" cm="1">
        <f t="array" ref="AQ275">IF(Tabla[[#This Row],[Fue encontrado durante UAT?]]="SI",IFERROR(_xlfn.XLOOKUP(TRUE,ISNUMBER(SEARCH("UAT_V",Tabla[[#This Row],[Etiquetas]:[Etiquetas17]])),Tabla[[#This Row],[Etiquetas]:[Etiquetas17]]),""),"")</f>
        <v/>
      </c>
      <c r="AR275" s="87" t="str">
        <f>IF(COUNTIF(Tabla[[#This Row],[Etiquetas]:[Etiquetas17]],"*Devuelto*")&gt;0,"SI","")</f>
        <v/>
      </c>
      <c r="AS275" s="167">
        <f>COUNTIF(Tabla[[#This Row],[Etiquetas]:[Etiquetas17]],"*Devuelto*")</f>
        <v>0</v>
      </c>
    </row>
    <row r="276" spans="1:45" ht="15" customHeight="1">
      <c r="A276" s="40" t="s">
        <v>128</v>
      </c>
      <c r="B276" s="40" t="s">
        <v>816</v>
      </c>
      <c r="C276" s="40">
        <v>94311</v>
      </c>
      <c r="D276" s="40" t="s">
        <v>817</v>
      </c>
      <c r="E276" s="40" t="s">
        <v>36</v>
      </c>
      <c r="F276" s="40" t="s">
        <v>26</v>
      </c>
      <c r="G276" s="40" t="s">
        <v>753</v>
      </c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 t="s">
        <v>803</v>
      </c>
      <c r="S276" s="40" t="s">
        <v>287</v>
      </c>
      <c r="T276" s="40" t="s">
        <v>598</v>
      </c>
      <c r="U276" s="40" t="s">
        <v>804</v>
      </c>
      <c r="V276" s="40" t="s">
        <v>204</v>
      </c>
      <c r="W276" s="40" t="s">
        <v>154</v>
      </c>
      <c r="X276" s="40"/>
      <c r="Y276" s="40"/>
      <c r="Z276" s="40"/>
      <c r="AA276" s="40" t="s">
        <v>134</v>
      </c>
      <c r="AB276" s="53">
        <v>45912.357638888891</v>
      </c>
      <c r="AC276" s="40" t="s">
        <v>710</v>
      </c>
      <c r="AD276" s="40"/>
      <c r="AE276" s="40"/>
      <c r="AF276" s="40"/>
      <c r="AG276" s="40" t="s">
        <v>141</v>
      </c>
      <c r="AH276" s="10" t="s">
        <v>184</v>
      </c>
      <c r="AI276" s="87"/>
      <c r="AJ276" s="87" cm="1">
        <f t="array" ref="AJ276">IFERROR(_xlfn.XLOOKUP(TRUE,COUNTIF(Tabla[[#This Row],[Etiquetas]:[Etiquetas17]],Versiones!$G$2:$G$36)&gt;0,Versiones!$B$2:$B$36), "")</f>
        <v>18</v>
      </c>
      <c r="AK276" s="87" t="str" cm="1">
        <f t="array" ref="AK276">IFERROR(_xlfn.XLOOKUP(TRUE,COUNTIF(Tabla[[#This Row],[Etiquetas]:[Etiquetas17]],Versiones!$G$2:$G$36)&gt;0,Versiones!$A$2:$A$36), "")</f>
        <v>V0.6</v>
      </c>
      <c r="AL27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76" s="78">
        <f>IFERROR(_xlfn.XLOOKUP(Tabla[[#This Row],[¿En qué versión fue corregido?]],Versiones!$A$2:$A$34,Versiones!$B$2:$B$34),"No encontrado")</f>
        <v>20</v>
      </c>
      <c r="AN276" s="88" t="str" cm="1">
        <f t="array" ref="AN276">IFERROR(_xlfn.XLOOKUP(TRUE,COUNTIF(Tabla[[#This Row],[Etiquetas]:[Etiquetas17]],Categorías!$A$2:$A$12)&gt;0,Categorías!$A$2:$A$12),"No encontrado")</f>
        <v>Eventos_iOT</v>
      </c>
      <c r="AO276" s="87" t="str" cm="1">
        <f t="array" ref="AO276">IFERROR(INDEX(Funcionalidades!$A$2:$A$80,MATCH(TRUE, COUNTIF(Reporte_Gral!R276:Z276,Funcionalidades!$A$2:$A$80)&gt;0,0)),"No encontrado")</f>
        <v>Logout</v>
      </c>
      <c r="AP276" s="87" t="str">
        <f>IF(AND(COUNTIF(Tabla[[#This Row],[Etiquetas]:[Etiquetas17]],"*UAT_V*")&gt;0,COUNTIF(Tabla[[#This Row],[Etiquetas]:[Etiquetas17]],"*QA-Integración*")=0),"SI","")</f>
        <v/>
      </c>
      <c r="AQ276" s="88" t="str" cm="1">
        <f t="array" ref="AQ276">IF(Tabla[[#This Row],[Fue encontrado durante UAT?]]="SI",IFERROR(_xlfn.XLOOKUP(TRUE,ISNUMBER(SEARCH("UAT_V",Tabla[[#This Row],[Etiquetas]:[Etiquetas17]])),Tabla[[#This Row],[Etiquetas]:[Etiquetas17]]),""),"")</f>
        <v/>
      </c>
      <c r="AR276" s="87" t="str">
        <f>IF(COUNTIF(Tabla[[#This Row],[Etiquetas]:[Etiquetas17]],"*Devuelto*")&gt;0,"SI","")</f>
        <v/>
      </c>
      <c r="AS276" s="167">
        <f>COUNTIF(Tabla[[#This Row],[Etiquetas]:[Etiquetas17]],"*Devuelto*")</f>
        <v>0</v>
      </c>
    </row>
    <row r="277" spans="1:45" ht="15" customHeight="1">
      <c r="A277" s="40" t="s">
        <v>128</v>
      </c>
      <c r="B277" s="40" t="s">
        <v>818</v>
      </c>
      <c r="C277" s="40">
        <v>93423</v>
      </c>
      <c r="D277" s="40" t="s">
        <v>819</v>
      </c>
      <c r="E277" s="40" t="s">
        <v>37</v>
      </c>
      <c r="F277" s="40" t="s">
        <v>27</v>
      </c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 t="s">
        <v>234</v>
      </c>
      <c r="S277" s="40" t="s">
        <v>139</v>
      </c>
      <c r="T277" s="40" t="s">
        <v>804</v>
      </c>
      <c r="U277" s="40" t="s">
        <v>536</v>
      </c>
      <c r="V277" s="40"/>
      <c r="W277" s="40"/>
      <c r="X277" s="40"/>
      <c r="Y277" s="40"/>
      <c r="Z277" s="40"/>
      <c r="AA277" s="40" t="s">
        <v>217</v>
      </c>
      <c r="AB277" s="53">
        <v>45908.700694444444</v>
      </c>
      <c r="AC277" s="40"/>
      <c r="AD277" s="40"/>
      <c r="AE277" s="40"/>
      <c r="AF277" s="40"/>
      <c r="AG277" s="40" t="s">
        <v>141</v>
      </c>
      <c r="AH277" s="84"/>
      <c r="AI277" s="87"/>
      <c r="AJ277" s="87" cm="1">
        <f t="array" ref="AJ277">IFERROR(_xlfn.XLOOKUP(TRUE,COUNTIF(Tabla[[#This Row],[Etiquetas]:[Etiquetas17]],Versiones!$G$2:$G$36)&gt;0,Versiones!$B$2:$B$36), "")</f>
        <v>18</v>
      </c>
      <c r="AK277" s="87" t="str" cm="1">
        <f t="array" ref="AK277">IFERROR(_xlfn.XLOOKUP(TRUE,COUNTIF(Tabla[[#This Row],[Etiquetas]:[Etiquetas17]],Versiones!$G$2:$G$36)&gt;0,Versiones!$A$2:$A$36), "")</f>
        <v>V0.6</v>
      </c>
      <c r="AL27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77" s="78" t="str">
        <f>IFERROR(_xlfn.XLOOKUP(Tabla[[#This Row],[¿En qué versión fue corregido?]],Versiones!$A$2:$A$34,Versiones!$B$2:$B$34),"No encontrado")</f>
        <v>No encontrado</v>
      </c>
      <c r="AN277" s="88" t="str" cm="1">
        <f t="array" ref="AN277">IFERROR(_xlfn.XLOOKUP(TRUE,COUNTIF(Tabla[[#This Row],[Etiquetas]:[Etiquetas17]],Categorías!$A$2:$A$12)&gt;0,Categorías!$A$2:$A$12),"No encontrado")</f>
        <v>Funcional</v>
      </c>
      <c r="AO277" s="88" t="str" cm="1">
        <f t="array" ref="AO277">IFERROR(INDEX(Funcionalidades!$A$2:$A$80,MATCH(TRUE, COUNTIF(Reporte_Gral!R277:Z277,Funcionalidades!$A$2:$A$80)&gt;0,0)),"No encontrado")</f>
        <v>Dashboard-Productos</v>
      </c>
      <c r="AP277" s="87" t="str">
        <f>IF(AND(COUNTIF(Tabla[[#This Row],[Etiquetas]:[Etiquetas17]],"*UAT_V*")&gt;0,COUNTIF(Tabla[[#This Row],[Etiquetas]:[Etiquetas17]],"*QA-Integración*")=0),"SI","")</f>
        <v/>
      </c>
      <c r="AQ277" s="88" t="str" cm="1">
        <f t="array" ref="AQ277">IF(Tabla[[#This Row],[Fue encontrado durante UAT?]]="SI",IFERROR(_xlfn.XLOOKUP(TRUE,ISNUMBER(SEARCH("UAT_V",Tabla[[#This Row],[Etiquetas]:[Etiquetas17]])),Tabla[[#This Row],[Etiquetas]:[Etiquetas17]]),""),"")</f>
        <v/>
      </c>
      <c r="AR277" s="87" t="str">
        <f>IF(COUNTIF(Tabla[[#This Row],[Etiquetas]:[Etiquetas17]],"*Devuelto*")&gt;0,"SI","")</f>
        <v/>
      </c>
      <c r="AS277" s="167">
        <f>COUNTIF(Tabla[[#This Row],[Etiquetas]:[Etiquetas17]],"*Devuelto*")</f>
        <v>0</v>
      </c>
    </row>
    <row r="278" spans="1:45" ht="15" customHeight="1">
      <c r="A278" s="40" t="s">
        <v>128</v>
      </c>
      <c r="B278" s="40" t="s">
        <v>820</v>
      </c>
      <c r="C278" s="40">
        <v>93413</v>
      </c>
      <c r="D278" s="40" t="s">
        <v>821</v>
      </c>
      <c r="E278" s="40" t="s">
        <v>37</v>
      </c>
      <c r="F278" s="40" t="s">
        <v>26</v>
      </c>
      <c r="G278" s="40" t="s">
        <v>224</v>
      </c>
      <c r="H278" s="40" t="s">
        <v>151</v>
      </c>
      <c r="I278" s="40"/>
      <c r="J278" s="40"/>
      <c r="K278" s="40"/>
      <c r="L278" s="40"/>
      <c r="M278" s="40"/>
      <c r="N278" s="40"/>
      <c r="O278" s="40"/>
      <c r="P278" s="40"/>
      <c r="Q278" s="40"/>
      <c r="R278" s="40" t="s">
        <v>139</v>
      </c>
      <c r="S278" s="40" t="s">
        <v>481</v>
      </c>
      <c r="T278" s="40" t="s">
        <v>804</v>
      </c>
      <c r="U278" s="40" t="s">
        <v>226</v>
      </c>
      <c r="V278" s="40" t="s">
        <v>154</v>
      </c>
      <c r="W278" s="40" t="s">
        <v>536</v>
      </c>
      <c r="X278" s="40"/>
      <c r="Y278" s="40"/>
      <c r="Z278" s="40"/>
      <c r="AA278" s="40" t="s">
        <v>217</v>
      </c>
      <c r="AB278" s="53">
        <v>45908.680555555555</v>
      </c>
      <c r="AC278" s="40" t="s">
        <v>174</v>
      </c>
      <c r="AD278" s="40"/>
      <c r="AE278" s="40"/>
      <c r="AF278" s="40"/>
      <c r="AG278" s="40" t="s">
        <v>135</v>
      </c>
      <c r="AH278" s="10" t="s">
        <v>184</v>
      </c>
      <c r="AI278" s="87"/>
      <c r="AJ278" s="87" cm="1">
        <f t="array" ref="AJ278">IFERROR(_xlfn.XLOOKUP(TRUE,COUNTIF(Tabla[[#This Row],[Etiquetas]:[Etiquetas17]],Versiones!$G$2:$G$36)&gt;0,Versiones!$B$2:$B$36), "")</f>
        <v>18</v>
      </c>
      <c r="AK278" s="87" t="str" cm="1">
        <f t="array" ref="AK278">IFERROR(_xlfn.XLOOKUP(TRUE,COUNTIF(Tabla[[#This Row],[Etiquetas]:[Etiquetas17]],Versiones!$G$2:$G$36)&gt;0,Versiones!$A$2:$A$36), "")</f>
        <v>V0.6</v>
      </c>
      <c r="AL27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78" s="78">
        <f>IFERROR(_xlfn.XLOOKUP(Tabla[[#This Row],[¿En qué versión fue corregido?]],Versiones!$A$2:$A$34,Versiones!$B$2:$B$34),"No encontrado")</f>
        <v>25</v>
      </c>
      <c r="AN278" s="88" t="str" cm="1">
        <f t="array" ref="AN278">IFERROR(_xlfn.XLOOKUP(TRUE,COUNTIF(Tabla[[#This Row],[Etiquetas]:[Etiquetas17]],Categorías!$A$2:$A$12)&gt;0,Categorías!$A$2:$A$12),"No encontrado")</f>
        <v>Funcional</v>
      </c>
      <c r="AO278" s="87" t="str" cm="1">
        <f t="array" ref="AO278">IFERROR(INDEX(Funcionalidades!$A$2:$A$80,MATCH(TRUE, COUNTIF(Reporte_Gral!R278:Z278,Funcionalidades!$A$2:$A$80)&gt;0,0)),"No encontrado")</f>
        <v>Iniciar_Venta</v>
      </c>
      <c r="AP278" s="87" t="str">
        <f>IF(AND(COUNTIF(Tabla[[#This Row],[Etiquetas]:[Etiquetas17]],"*UAT_V*")&gt;0,COUNTIF(Tabla[[#This Row],[Etiquetas]:[Etiquetas17]],"*QA-Integración*")=0),"SI","")</f>
        <v/>
      </c>
      <c r="AQ278" s="88" t="str" cm="1">
        <f t="array" ref="AQ278">IF(Tabla[[#This Row],[Fue encontrado durante UAT?]]="SI",IFERROR(_xlfn.XLOOKUP(TRUE,ISNUMBER(SEARCH("UAT_V",Tabla[[#This Row],[Etiquetas]:[Etiquetas17]])),Tabla[[#This Row],[Etiquetas]:[Etiquetas17]]),""),"")</f>
        <v/>
      </c>
      <c r="AR278" s="87" t="str">
        <f>IF(COUNTIF(Tabla[[#This Row],[Etiquetas]:[Etiquetas17]],"*Devuelto*")&gt;0,"SI","")</f>
        <v/>
      </c>
      <c r="AS278" s="167">
        <f>COUNTIF(Tabla[[#This Row],[Etiquetas]:[Etiquetas17]],"*Devuelto*")</f>
        <v>0</v>
      </c>
    </row>
    <row r="279" spans="1:45" ht="15" customHeight="1">
      <c r="A279" s="40" t="s">
        <v>128</v>
      </c>
      <c r="B279" s="40" t="s">
        <v>822</v>
      </c>
      <c r="C279" s="40">
        <v>93369</v>
      </c>
      <c r="D279" s="40" t="s">
        <v>823</v>
      </c>
      <c r="E279" s="40" t="s">
        <v>36</v>
      </c>
      <c r="F279" s="40" t="s">
        <v>26</v>
      </c>
      <c r="G279" s="40" t="s">
        <v>753</v>
      </c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 t="s">
        <v>317</v>
      </c>
      <c r="S279" s="40" t="s">
        <v>139</v>
      </c>
      <c r="T279" s="40" t="s">
        <v>804</v>
      </c>
      <c r="U279" s="40" t="s">
        <v>204</v>
      </c>
      <c r="V279" s="40" t="s">
        <v>154</v>
      </c>
      <c r="W279" s="40"/>
      <c r="X279" s="40"/>
      <c r="Y279" s="40"/>
      <c r="Z279" s="40"/>
      <c r="AA279" s="40" t="s">
        <v>217</v>
      </c>
      <c r="AB279" s="53">
        <v>45908.55972222222</v>
      </c>
      <c r="AC279" s="40" t="s">
        <v>710</v>
      </c>
      <c r="AD279" s="40"/>
      <c r="AE279" s="40"/>
      <c r="AF279" s="40"/>
      <c r="AG279" s="40" t="s">
        <v>141</v>
      </c>
      <c r="AH279" s="84"/>
      <c r="AI279" s="87"/>
      <c r="AJ279" s="87" cm="1">
        <f t="array" ref="AJ279">IFERROR(_xlfn.XLOOKUP(TRUE,COUNTIF(Tabla[[#This Row],[Etiquetas]:[Etiquetas17]],Versiones!$G$2:$G$36)&gt;0,Versiones!$B$2:$B$36), "")</f>
        <v>18</v>
      </c>
      <c r="AK279" s="87" t="str" cm="1">
        <f t="array" ref="AK279">IFERROR(_xlfn.XLOOKUP(TRUE,COUNTIF(Tabla[[#This Row],[Etiquetas]:[Etiquetas17]],Versiones!$G$2:$G$36)&gt;0,Versiones!$A$2:$A$36), "")</f>
        <v>V0.6</v>
      </c>
      <c r="AL27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79" s="78">
        <f>IFERROR(_xlfn.XLOOKUP(Tabla[[#This Row],[¿En qué versión fue corregido?]],Versiones!$A$2:$A$34,Versiones!$B$2:$B$34),"No encontrado")</f>
        <v>20</v>
      </c>
      <c r="AN279" s="88" t="str" cm="1">
        <f t="array" ref="AN279">IFERROR(_xlfn.XLOOKUP(TRUE,COUNTIF(Tabla[[#This Row],[Etiquetas]:[Etiquetas17]],Categorías!$A$2:$A$12)&gt;0,Categorías!$A$2:$A$12),"No encontrado")</f>
        <v>Funcional</v>
      </c>
      <c r="AO279" s="88" t="str" cm="1">
        <f t="array" ref="AO279">IFERROR(INDEX(Funcionalidades!$A$2:$A$80,MATCH(TRUE, COUNTIF(Reporte_Gral!R279:Z279,Funcionalidades!$A$2:$A$80)&gt;0,0)),"No encontrado")</f>
        <v>Dashboard-Efectivo</v>
      </c>
      <c r="AP279" s="87" t="str">
        <f>IF(AND(COUNTIF(Tabla[[#This Row],[Etiquetas]:[Etiquetas17]],"*UAT_V*")&gt;0,COUNTIF(Tabla[[#This Row],[Etiquetas]:[Etiquetas17]],"*QA-Integración*")=0),"SI","")</f>
        <v/>
      </c>
      <c r="AQ279" s="88" t="str" cm="1">
        <f t="array" ref="AQ279">IF(Tabla[[#This Row],[Fue encontrado durante UAT?]]="SI",IFERROR(_xlfn.XLOOKUP(TRUE,ISNUMBER(SEARCH("UAT_V",Tabla[[#This Row],[Etiquetas]:[Etiquetas17]])),Tabla[[#This Row],[Etiquetas]:[Etiquetas17]]),""),"")</f>
        <v/>
      </c>
      <c r="AR279" s="87" t="str">
        <f>IF(COUNTIF(Tabla[[#This Row],[Etiquetas]:[Etiquetas17]],"*Devuelto*")&gt;0,"SI","")</f>
        <v/>
      </c>
      <c r="AS279" s="167">
        <f>COUNTIF(Tabla[[#This Row],[Etiquetas]:[Etiquetas17]],"*Devuelto*")</f>
        <v>0</v>
      </c>
    </row>
    <row r="280" spans="1:45" ht="15" customHeight="1">
      <c r="A280" s="40" t="s">
        <v>128</v>
      </c>
      <c r="B280" s="40" t="s">
        <v>824</v>
      </c>
      <c r="C280" s="40">
        <v>92954</v>
      </c>
      <c r="D280" s="40" t="s">
        <v>825</v>
      </c>
      <c r="E280" s="40" t="s">
        <v>37</v>
      </c>
      <c r="F280" s="40" t="s">
        <v>27</v>
      </c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 t="s">
        <v>435</v>
      </c>
      <c r="S280" s="40" t="s">
        <v>139</v>
      </c>
      <c r="T280" s="40" t="s">
        <v>804</v>
      </c>
      <c r="U280" s="40" t="s">
        <v>536</v>
      </c>
      <c r="V280" s="40"/>
      <c r="W280" s="40"/>
      <c r="X280" s="40"/>
      <c r="Y280" s="40"/>
      <c r="Z280" s="40"/>
      <c r="AA280" s="40" t="s">
        <v>217</v>
      </c>
      <c r="AB280" s="53">
        <v>45905.272916666669</v>
      </c>
      <c r="AC280" s="40"/>
      <c r="AD280" s="40"/>
      <c r="AE280" s="40"/>
      <c r="AF280" s="40"/>
      <c r="AG280" s="40" t="s">
        <v>135</v>
      </c>
      <c r="AH280" s="10"/>
      <c r="AI280" s="87"/>
      <c r="AJ280" s="87" cm="1">
        <f t="array" ref="AJ280">IFERROR(_xlfn.XLOOKUP(TRUE,COUNTIF(Tabla[[#This Row],[Etiquetas]:[Etiquetas17]],Versiones!$G$2:$G$36)&gt;0,Versiones!$B$2:$B$36), "")</f>
        <v>18</v>
      </c>
      <c r="AK280" s="87" t="str" cm="1">
        <f t="array" ref="AK280">IFERROR(_xlfn.XLOOKUP(TRUE,COUNTIF(Tabla[[#This Row],[Etiquetas]:[Etiquetas17]],Versiones!$G$2:$G$36)&gt;0,Versiones!$A$2:$A$36), "")</f>
        <v>V0.6</v>
      </c>
      <c r="AL28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80" s="78" t="str">
        <f>IFERROR(_xlfn.XLOOKUP(Tabla[[#This Row],[¿En qué versión fue corregido?]],Versiones!$A$2:$A$34,Versiones!$B$2:$B$34),"No encontrado")</f>
        <v>No encontrado</v>
      </c>
      <c r="AN280" s="87" t="str" cm="1">
        <f t="array" ref="AN280">IFERROR(_xlfn.XLOOKUP(TRUE,COUNTIF(Tabla[[#This Row],[Etiquetas]:[Etiquetas17]],Categorías!$A$2:$A$12)&gt;0,Categorías!$A$2:$A$12),"No encontrado")</f>
        <v>Funcional</v>
      </c>
      <c r="AO280" s="87" t="str" cm="1">
        <f t="array" ref="AO280">IFERROR(INDEX(Funcionalidades!$A$2:$A$80,MATCH(TRUE, COUNTIF(Reporte_Gral!R280:Z280,Funcionalidades!$A$2:$A$80)&gt;0,0)),"No encontrado")</f>
        <v>Bloqueo-De-Sesión</v>
      </c>
      <c r="AP280" s="87" t="str">
        <f>IF(AND(COUNTIF(Tabla[[#This Row],[Etiquetas]:[Etiquetas17]],"*UAT_V*")&gt;0,COUNTIF(Tabla[[#This Row],[Etiquetas]:[Etiquetas17]],"*QA-Integración*")=0),"SI","")</f>
        <v/>
      </c>
      <c r="AQ280" s="88" t="str" cm="1">
        <f t="array" ref="AQ280">IF(Tabla[[#This Row],[Fue encontrado durante UAT?]]="SI",IFERROR(_xlfn.XLOOKUP(TRUE,ISNUMBER(SEARCH("UAT_V",Tabla[[#This Row],[Etiquetas]:[Etiquetas17]])),Tabla[[#This Row],[Etiquetas]:[Etiquetas17]]),""),"")</f>
        <v/>
      </c>
      <c r="AR280" s="87" t="str">
        <f>IF(COUNTIF(Tabla[[#This Row],[Etiquetas]:[Etiquetas17]],"*Devuelto*")&gt;0,"SI","")</f>
        <v/>
      </c>
      <c r="AS280" s="167">
        <f>COUNTIF(Tabla[[#This Row],[Etiquetas]:[Etiquetas17]],"*Devuelto*")</f>
        <v>0</v>
      </c>
    </row>
    <row r="281" spans="1:45" ht="15" customHeight="1">
      <c r="A281" s="40" t="s">
        <v>128</v>
      </c>
      <c r="B281" s="40" t="s">
        <v>826</v>
      </c>
      <c r="C281" s="40">
        <v>92831</v>
      </c>
      <c r="D281" s="40" t="s">
        <v>827</v>
      </c>
      <c r="E281" s="40" t="s">
        <v>37</v>
      </c>
      <c r="F281" s="40" t="s">
        <v>27</v>
      </c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 t="s">
        <v>139</v>
      </c>
      <c r="S281" s="40" t="s">
        <v>237</v>
      </c>
      <c r="T281" s="40" t="s">
        <v>804</v>
      </c>
      <c r="U281" s="40" t="s">
        <v>536</v>
      </c>
      <c r="V281" s="40"/>
      <c r="W281" s="40"/>
      <c r="X281" s="40"/>
      <c r="Y281" s="40"/>
      <c r="Z281" s="40"/>
      <c r="AA281" s="40" t="s">
        <v>217</v>
      </c>
      <c r="AB281" s="53">
        <v>45904.65</v>
      </c>
      <c r="AC281" s="40"/>
      <c r="AD281" s="40"/>
      <c r="AE281" s="40"/>
      <c r="AF281" s="40"/>
      <c r="AG281" s="40" t="s">
        <v>141</v>
      </c>
      <c r="AH281" s="85"/>
      <c r="AI281" s="87"/>
      <c r="AJ281" s="87" cm="1">
        <f t="array" ref="AJ281">IFERROR(_xlfn.XLOOKUP(TRUE,COUNTIF(Tabla[[#This Row],[Etiquetas]:[Etiquetas17]],Versiones!$G$2:$G$36)&gt;0,Versiones!$B$2:$B$36), "")</f>
        <v>18</v>
      </c>
      <c r="AK281" s="87" t="str" cm="1">
        <f t="array" ref="AK281">IFERROR(_xlfn.XLOOKUP(TRUE,COUNTIF(Tabla[[#This Row],[Etiquetas]:[Etiquetas17]],Versiones!$G$2:$G$36)&gt;0,Versiones!$A$2:$A$36), "")</f>
        <v>V0.6</v>
      </c>
      <c r="AL28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81" s="78" t="str">
        <f>IFERROR(_xlfn.XLOOKUP(Tabla[[#This Row],[¿En qué versión fue corregido?]],Versiones!$A$2:$A$34,Versiones!$B$2:$B$34),"No encontrado")</f>
        <v>No encontrado</v>
      </c>
      <c r="AN281" s="87" t="str" cm="1">
        <f t="array" ref="AN281">IFERROR(_xlfn.XLOOKUP(TRUE,COUNTIF(Tabla[[#This Row],[Etiquetas]:[Etiquetas17]],Categorías!$A$2:$A$12)&gt;0,Categorías!$A$2:$A$12),"No encontrado")</f>
        <v>Funcional</v>
      </c>
      <c r="AO281" s="87" t="str" cm="1">
        <f t="array" ref="AO281">IFERROR(INDEX(Funcionalidades!$A$2:$A$80,MATCH(TRUE, COUNTIF(Reporte_Gral!R281:Z281,Funcionalidades!$A$2:$A$80)&gt;0,0)),"No encontrado")</f>
        <v>Main-Dashboard</v>
      </c>
      <c r="AP281" s="87" t="str">
        <f>IF(AND(COUNTIF(Tabla[[#This Row],[Etiquetas]:[Etiquetas17]],"*UAT_V*")&gt;0,COUNTIF(Tabla[[#This Row],[Etiquetas]:[Etiquetas17]],"*QA-Integración*")=0),"SI","")</f>
        <v/>
      </c>
      <c r="AQ281" s="88" t="str" cm="1">
        <f t="array" ref="AQ281">IF(Tabla[[#This Row],[Fue encontrado durante UAT?]]="SI",IFERROR(_xlfn.XLOOKUP(TRUE,ISNUMBER(SEARCH("UAT_V",Tabla[[#This Row],[Etiquetas]:[Etiquetas17]])),Tabla[[#This Row],[Etiquetas]:[Etiquetas17]]),""),"")</f>
        <v/>
      </c>
      <c r="AR281" s="87" t="str">
        <f>IF(COUNTIF(Tabla[[#This Row],[Etiquetas]:[Etiquetas17]],"*Devuelto*")&gt;0,"SI","")</f>
        <v/>
      </c>
      <c r="AS281" s="167">
        <f>COUNTIF(Tabla[[#This Row],[Etiquetas]:[Etiquetas17]],"*Devuelto*")</f>
        <v>0</v>
      </c>
    </row>
    <row r="282" spans="1:45" ht="15" customHeight="1">
      <c r="A282" s="40" t="s">
        <v>128</v>
      </c>
      <c r="B282" s="40" t="s">
        <v>828</v>
      </c>
      <c r="C282" s="40">
        <v>92821</v>
      </c>
      <c r="D282" s="40" t="s">
        <v>829</v>
      </c>
      <c r="E282" s="40" t="s">
        <v>37</v>
      </c>
      <c r="F282" s="40" t="s">
        <v>27</v>
      </c>
      <c r="G282" s="40" t="s">
        <v>637</v>
      </c>
      <c r="H282" s="40" t="s">
        <v>561</v>
      </c>
      <c r="I282" s="40" t="s">
        <v>429</v>
      </c>
      <c r="J282" s="40" t="s">
        <v>224</v>
      </c>
      <c r="K282" s="40" t="s">
        <v>151</v>
      </c>
      <c r="L282" s="40"/>
      <c r="M282" s="40"/>
      <c r="N282" s="40"/>
      <c r="O282" s="40"/>
      <c r="P282" s="40"/>
      <c r="Q282" s="40"/>
      <c r="R282" s="40" t="s">
        <v>579</v>
      </c>
      <c r="S282" s="40" t="s">
        <v>145</v>
      </c>
      <c r="T282" s="40" t="s">
        <v>132</v>
      </c>
      <c r="U282" s="40" t="s">
        <v>629</v>
      </c>
      <c r="V282" s="40" t="s">
        <v>536</v>
      </c>
      <c r="W282" s="40"/>
      <c r="X282" s="40"/>
      <c r="Y282" s="40"/>
      <c r="Z282" s="40"/>
      <c r="AA282" s="40" t="s">
        <v>217</v>
      </c>
      <c r="AB282" s="53">
        <v>45904.629166666666</v>
      </c>
      <c r="AC282" s="40"/>
      <c r="AD282" s="40"/>
      <c r="AE282" s="40"/>
      <c r="AF282" s="40"/>
      <c r="AG282" s="40" t="s">
        <v>141</v>
      </c>
      <c r="AH282" s="10"/>
      <c r="AI282" s="87"/>
      <c r="AJ282" s="87" cm="1">
        <f t="array" ref="AJ282">IFERROR(_xlfn.XLOOKUP(TRUE,COUNTIF(Tabla[[#This Row],[Etiquetas]:[Etiquetas17]],Versiones!$G$2:$G$36)&gt;0,Versiones!$B$2:$B$36), "")</f>
        <v>22</v>
      </c>
      <c r="AK282" s="87" t="str" cm="1">
        <f t="array" ref="AK282">IFERROR(_xlfn.XLOOKUP(TRUE,COUNTIF(Tabla[[#This Row],[Etiquetas]:[Etiquetas17]],Versiones!$G$2:$G$36)&gt;0,Versiones!$A$2:$A$36), "")</f>
        <v>V0.10.1</v>
      </c>
      <c r="AL28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282" s="78" t="str">
        <f>IFERROR(_xlfn.XLOOKUP(Tabla[[#This Row],[¿En qué versión fue corregido?]],Versiones!$A$2:$A$34,Versiones!$B$2:$B$34),"No encontrado")</f>
        <v>No encontrado</v>
      </c>
      <c r="AN282" s="87" t="str" cm="1">
        <f t="array" ref="AN282">IFERROR(_xlfn.XLOOKUP(TRUE,COUNTIF(Tabla[[#This Row],[Etiquetas]:[Etiquetas17]],Categorías!$A$2:$A$12)&gt;0,Categorías!$A$2:$A$12),"No encontrado")</f>
        <v>Look&amp;Feel</v>
      </c>
      <c r="AO282" s="87" t="str" cm="1">
        <f t="array" ref="AO282">IFERROR(INDEX(Funcionalidades!$A$2:$A$80,MATCH(TRUE, COUNTIF(Reporte_Gral!R282:Z282,Funcionalidades!$A$2:$A$80)&gt;0,0)),"No encontrado")</f>
        <v>Cierre-De-Turno</v>
      </c>
      <c r="AP282" s="87" t="str">
        <f>IF(AND(COUNTIF(Tabla[[#This Row],[Etiquetas]:[Etiquetas17]],"*UAT_V*")&gt;0,COUNTIF(Tabla[[#This Row],[Etiquetas]:[Etiquetas17]],"*QA-Integración*")=0),"SI","")</f>
        <v/>
      </c>
      <c r="AQ282" s="88" t="str" cm="1">
        <f t="array" ref="AQ282">IF(Tabla[[#This Row],[Fue encontrado durante UAT?]]="SI",IFERROR(_xlfn.XLOOKUP(TRUE,ISNUMBER(SEARCH("UAT_V",Tabla[[#This Row],[Etiquetas]:[Etiquetas17]])),Tabla[[#This Row],[Etiquetas]:[Etiquetas17]]),""),"")</f>
        <v/>
      </c>
      <c r="AR282" s="87" t="str">
        <f>IF(COUNTIF(Tabla[[#This Row],[Etiquetas]:[Etiquetas17]],"*Devuelto*")&gt;0,"SI","")</f>
        <v>SI</v>
      </c>
      <c r="AS282" s="167">
        <f>COUNTIF(Tabla[[#This Row],[Etiquetas]:[Etiquetas17]],"*Devuelto*")</f>
        <v>1</v>
      </c>
    </row>
    <row r="283" spans="1:45" ht="15" customHeight="1">
      <c r="A283" s="40" t="s">
        <v>128</v>
      </c>
      <c r="B283" s="40" t="s">
        <v>830</v>
      </c>
      <c r="C283" s="40">
        <v>92641</v>
      </c>
      <c r="D283" s="40" t="s">
        <v>831</v>
      </c>
      <c r="E283" s="40" t="s">
        <v>36</v>
      </c>
      <c r="F283" s="40" t="s">
        <v>26</v>
      </c>
      <c r="G283" s="40" t="s">
        <v>637</v>
      </c>
      <c r="H283" s="40" t="s">
        <v>561</v>
      </c>
      <c r="I283" s="40" t="s">
        <v>429</v>
      </c>
      <c r="J283" s="40" t="s">
        <v>307</v>
      </c>
      <c r="K283" s="40" t="s">
        <v>224</v>
      </c>
      <c r="L283" s="40" t="s">
        <v>151</v>
      </c>
      <c r="M283" s="40"/>
      <c r="N283" s="40"/>
      <c r="O283" s="40"/>
      <c r="P283" s="40"/>
      <c r="Q283" s="40"/>
      <c r="R283" s="40" t="s">
        <v>490</v>
      </c>
      <c r="S283" s="40" t="s">
        <v>351</v>
      </c>
      <c r="T283" s="40" t="s">
        <v>832</v>
      </c>
      <c r="U283" s="40" t="s">
        <v>204</v>
      </c>
      <c r="V283" s="40" t="s">
        <v>154</v>
      </c>
      <c r="W283" s="40"/>
      <c r="X283" s="40"/>
      <c r="Y283" s="40"/>
      <c r="Z283" s="40"/>
      <c r="AA283" s="40" t="s">
        <v>261</v>
      </c>
      <c r="AB283" s="53">
        <v>45904.413194444445</v>
      </c>
      <c r="AC283" s="40" t="s">
        <v>732</v>
      </c>
      <c r="AD283" s="40"/>
      <c r="AE283" s="40"/>
      <c r="AF283" s="40"/>
      <c r="AG283" s="40" t="s">
        <v>141</v>
      </c>
      <c r="AH283" s="10"/>
      <c r="AI283" s="87"/>
      <c r="AJ283" s="87" cm="1">
        <f t="array" ref="AJ283">IFERROR(_xlfn.XLOOKUP(TRUE,COUNTIF(Tabla[[#This Row],[Etiquetas]:[Etiquetas17]],Versiones!$G$2:$G$36)&gt;0,Versiones!$B$2:$B$36), "")</f>
        <v>18</v>
      </c>
      <c r="AK283" s="87" t="str" cm="1">
        <f t="array" ref="AK283">IFERROR(_xlfn.XLOOKUP(TRUE,COUNTIF(Tabla[[#This Row],[Etiquetas]:[Etiquetas17]],Versiones!$G$2:$G$36)&gt;0,Versiones!$A$2:$A$36), "")</f>
        <v>V0.6</v>
      </c>
      <c r="AL28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83" s="78" t="str">
        <f>IFERROR(_xlfn.XLOOKUP(Tabla[[#This Row],[¿En qué versión fue corregido?]],Versiones!$A$2:$A$34,Versiones!$B$2:$B$34),"No encontrado")</f>
        <v>No encontrado</v>
      </c>
      <c r="AN283" s="87" t="str" cm="1">
        <f t="array" ref="AN283">IFERROR(_xlfn.XLOOKUP(TRUE,COUNTIF(Tabla[[#This Row],[Etiquetas]:[Etiquetas17]],Categorías!$A$2:$A$12)&gt;0,Categorías!$A$2:$A$12),"No encontrado")</f>
        <v>Contenido/Datos</v>
      </c>
      <c r="AO283" s="87" t="str" cm="1">
        <f t="array" ref="AO283">IFERROR(INDEX(Funcionalidades!$A$2:$A$80,MATCH(TRUE, COUNTIF(Reporte_Gral!R283:Z283,Funcionalidades!$A$2:$A$80)&gt;0,0)),"No encontrado")</f>
        <v>Inicio-De-Día</v>
      </c>
      <c r="AP283" s="87" t="str">
        <f>IF(AND(COUNTIF(Tabla[[#This Row],[Etiquetas]:[Etiquetas17]],"*UAT_V*")&gt;0,COUNTIF(Tabla[[#This Row],[Etiquetas]:[Etiquetas17]],"*QA-Integración*")=0),"SI","")</f>
        <v/>
      </c>
      <c r="AQ283" s="88" t="str" cm="1">
        <f t="array" ref="AQ283">IF(Tabla[[#This Row],[Fue encontrado durante UAT?]]="SI",IFERROR(_xlfn.XLOOKUP(TRUE,ISNUMBER(SEARCH("UAT_V",Tabla[[#This Row],[Etiquetas]:[Etiquetas17]])),Tabla[[#This Row],[Etiquetas]:[Etiquetas17]]),""),"")</f>
        <v/>
      </c>
      <c r="AR283" s="87" t="str">
        <f>IF(COUNTIF(Tabla[[#This Row],[Etiquetas]:[Etiquetas17]],"*Devuelto*")&gt;0,"SI","")</f>
        <v/>
      </c>
      <c r="AS283" s="167">
        <f>COUNTIF(Tabla[[#This Row],[Etiquetas]:[Etiquetas17]],"*Devuelto*")</f>
        <v>0</v>
      </c>
    </row>
    <row r="284" spans="1:45" ht="15" customHeight="1">
      <c r="A284" s="40" t="s">
        <v>128</v>
      </c>
      <c r="B284" s="40" t="s">
        <v>833</v>
      </c>
      <c r="C284" s="40">
        <v>92636</v>
      </c>
      <c r="D284" s="40" t="s">
        <v>834</v>
      </c>
      <c r="E284" s="40" t="s">
        <v>41</v>
      </c>
      <c r="F284" s="40" t="s">
        <v>26</v>
      </c>
      <c r="G284" s="40" t="s">
        <v>802</v>
      </c>
      <c r="H284" s="40" t="s">
        <v>753</v>
      </c>
      <c r="I284" s="40"/>
      <c r="J284" s="40"/>
      <c r="K284" s="40"/>
      <c r="L284" s="40"/>
      <c r="M284" s="40"/>
      <c r="N284" s="40"/>
      <c r="O284" s="40"/>
      <c r="P284" s="40"/>
      <c r="Q284" s="40"/>
      <c r="R284" s="40" t="s">
        <v>620</v>
      </c>
      <c r="S284" s="40" t="s">
        <v>139</v>
      </c>
      <c r="T284" s="40" t="s">
        <v>835</v>
      </c>
      <c r="U284" s="40" t="s">
        <v>832</v>
      </c>
      <c r="V284" s="40" t="s">
        <v>204</v>
      </c>
      <c r="W284" s="40" t="s">
        <v>154</v>
      </c>
      <c r="X284" s="40"/>
      <c r="Y284" s="40"/>
      <c r="Z284" s="40"/>
      <c r="AA284" s="40" t="s">
        <v>261</v>
      </c>
      <c r="AB284" s="53">
        <v>45904.402083333334</v>
      </c>
      <c r="AC284" s="40" t="s">
        <v>760</v>
      </c>
      <c r="AD284" s="40" t="s">
        <v>710</v>
      </c>
      <c r="AE284" s="40"/>
      <c r="AF284" s="40"/>
      <c r="AG284" s="40" t="s">
        <v>141</v>
      </c>
      <c r="AH284" s="10"/>
      <c r="AI284" s="87"/>
      <c r="AJ284" s="87" cm="1">
        <f t="array" ref="AJ284">IFERROR(_xlfn.XLOOKUP(TRUE,COUNTIF(Tabla[[#This Row],[Etiquetas]:[Etiquetas17]],Versiones!$G$2:$G$36)&gt;0,Versiones!$B$2:$B$36), "")</f>
        <v>18</v>
      </c>
      <c r="AK284" s="87" t="str" cm="1">
        <f t="array" ref="AK284">IFERROR(_xlfn.XLOOKUP(TRUE,COUNTIF(Tabla[[#This Row],[Etiquetas]:[Etiquetas17]],Versiones!$G$2:$G$36)&gt;0,Versiones!$A$2:$A$36), "")</f>
        <v>V0.6</v>
      </c>
      <c r="AL28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284" s="78">
        <f>IFERROR(_xlfn.XLOOKUP(Tabla[[#This Row],[¿En qué versión fue corregido?]],Versiones!$A$2:$A$34,Versiones!$B$2:$B$34),"No encontrado")</f>
        <v>20</v>
      </c>
      <c r="AN284" s="87" t="str" cm="1">
        <f t="array" ref="AN284">IFERROR(_xlfn.XLOOKUP(TRUE,COUNTIF(Tabla[[#This Row],[Etiquetas]:[Etiquetas17]],Categorías!$A$2:$A$12)&gt;0,Categorías!$A$2:$A$12),"No encontrado")</f>
        <v>Funcional</v>
      </c>
      <c r="AO284" s="87" t="str" cm="1">
        <f t="array" ref="AO284">IFERROR(INDEX(Funcionalidades!$A$2:$A$80,MATCH(TRUE, COUNTIF(Reporte_Gral!R284:Z284,Funcionalidades!$A$2:$A$80)&gt;0,0)),"No encontrado")</f>
        <v>Cierre-De-Día</v>
      </c>
      <c r="AP284" s="87" t="str">
        <f>IF(AND(COUNTIF(Tabla[[#This Row],[Etiquetas]:[Etiquetas17]],"*UAT_V*")&gt;0,COUNTIF(Tabla[[#This Row],[Etiquetas]:[Etiquetas17]],"*QA-Integración*")=0),"SI","")</f>
        <v/>
      </c>
      <c r="AQ284" s="88" t="str" cm="1">
        <f t="array" ref="AQ284">IF(Tabla[[#This Row],[Fue encontrado durante UAT?]]="SI",IFERROR(_xlfn.XLOOKUP(TRUE,ISNUMBER(SEARCH("UAT_V",Tabla[[#This Row],[Etiquetas]:[Etiquetas17]])),Tabla[[#This Row],[Etiquetas]:[Etiquetas17]]),""),"")</f>
        <v/>
      </c>
      <c r="AR284" s="87" t="str">
        <f>IF(COUNTIF(Tabla[[#This Row],[Etiquetas]:[Etiquetas17]],"*Devuelto*")&gt;0,"SI","")</f>
        <v/>
      </c>
      <c r="AS284" s="167">
        <f>COUNTIF(Tabla[[#This Row],[Etiquetas]:[Etiquetas17]],"*Devuelto*")</f>
        <v>0</v>
      </c>
    </row>
    <row r="285" spans="1:45" ht="15" customHeight="1">
      <c r="A285" s="40" t="s">
        <v>128</v>
      </c>
      <c r="B285" s="40" t="s">
        <v>836</v>
      </c>
      <c r="C285" s="40">
        <v>92633</v>
      </c>
      <c r="D285" s="40" t="s">
        <v>837</v>
      </c>
      <c r="E285" s="40" t="s">
        <v>41</v>
      </c>
      <c r="F285" s="40" t="s">
        <v>26</v>
      </c>
      <c r="G285" s="40" t="s">
        <v>802</v>
      </c>
      <c r="H285" s="40" t="s">
        <v>753</v>
      </c>
      <c r="I285" s="40"/>
      <c r="J285" s="40"/>
      <c r="K285" s="40"/>
      <c r="L285" s="40"/>
      <c r="M285" s="40"/>
      <c r="N285" s="40"/>
      <c r="O285" s="40"/>
      <c r="P285" s="40"/>
      <c r="Q285" s="40"/>
      <c r="R285" s="40" t="s">
        <v>620</v>
      </c>
      <c r="S285" s="40" t="s">
        <v>490</v>
      </c>
      <c r="T285" s="40" t="s">
        <v>835</v>
      </c>
      <c r="U285" s="40" t="s">
        <v>832</v>
      </c>
      <c r="V285" s="40" t="s">
        <v>204</v>
      </c>
      <c r="W285" s="40" t="s">
        <v>154</v>
      </c>
      <c r="X285" s="40"/>
      <c r="Y285" s="40"/>
      <c r="Z285" s="40"/>
      <c r="AA285" s="40" t="s">
        <v>261</v>
      </c>
      <c r="AB285" s="53">
        <v>45904.398611111108</v>
      </c>
      <c r="AC285" s="40" t="s">
        <v>760</v>
      </c>
      <c r="AD285" s="40"/>
      <c r="AE285" s="40"/>
      <c r="AF285" s="40"/>
      <c r="AG285" s="40" t="s">
        <v>141</v>
      </c>
      <c r="AH285" s="10"/>
      <c r="AI285" s="87"/>
      <c r="AJ285" s="87" cm="1">
        <f t="array" ref="AJ285">IFERROR(_xlfn.XLOOKUP(TRUE,COUNTIF(Tabla[[#This Row],[Etiquetas]:[Etiquetas17]],Versiones!$G$2:$G$36)&gt;0,Versiones!$B$2:$B$36), "")</f>
        <v>18</v>
      </c>
      <c r="AK285" s="87" t="str" cm="1">
        <f t="array" ref="AK285">IFERROR(_xlfn.XLOOKUP(TRUE,COUNTIF(Tabla[[#This Row],[Etiquetas]:[Etiquetas17]],Versiones!$G$2:$G$36)&gt;0,Versiones!$A$2:$A$36), "")</f>
        <v>V0.6</v>
      </c>
      <c r="AL28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85" s="78">
        <f>IFERROR(_xlfn.XLOOKUP(Tabla[[#This Row],[¿En qué versión fue corregido?]],Versiones!$A$2:$A$34,Versiones!$B$2:$B$34),"No encontrado")</f>
        <v>19</v>
      </c>
      <c r="AN285" s="87" t="str" cm="1">
        <f t="array" ref="AN285">IFERROR(_xlfn.XLOOKUP(TRUE,COUNTIF(Tabla[[#This Row],[Etiquetas]:[Etiquetas17]],Categorías!$A$2:$A$12)&gt;0,Categorías!$A$2:$A$12),"No encontrado")</f>
        <v>Contenido/Datos</v>
      </c>
      <c r="AO285" s="87" t="str" cm="1">
        <f t="array" ref="AO285">IFERROR(INDEX(Funcionalidades!$A$2:$A$80,MATCH(TRUE, COUNTIF(Reporte_Gral!R285:Z285,Funcionalidades!$A$2:$A$80)&gt;0,0)),"No encontrado")</f>
        <v>Cierre-De-Día</v>
      </c>
      <c r="AP285" s="87" t="str">
        <f>IF(AND(COUNTIF(Tabla[[#This Row],[Etiquetas]:[Etiquetas17]],"*UAT_V*")&gt;0,COUNTIF(Tabla[[#This Row],[Etiquetas]:[Etiquetas17]],"*QA-Integración*")=0),"SI","")</f>
        <v/>
      </c>
      <c r="AQ285" s="88" t="str" cm="1">
        <f t="array" ref="AQ285">IF(Tabla[[#This Row],[Fue encontrado durante UAT?]]="SI",IFERROR(_xlfn.XLOOKUP(TRUE,ISNUMBER(SEARCH("UAT_V",Tabla[[#This Row],[Etiquetas]:[Etiquetas17]])),Tabla[[#This Row],[Etiquetas]:[Etiquetas17]]),""),"")</f>
        <v/>
      </c>
      <c r="AR285" s="87" t="str">
        <f>IF(COUNTIF(Tabla[[#This Row],[Etiquetas]:[Etiquetas17]],"*Devuelto*")&gt;0,"SI","")</f>
        <v/>
      </c>
      <c r="AS285" s="167">
        <f>COUNTIF(Tabla[[#This Row],[Etiquetas]:[Etiquetas17]],"*Devuelto*")</f>
        <v>0</v>
      </c>
    </row>
    <row r="286" spans="1:45" ht="15" customHeight="1">
      <c r="A286" s="40" t="s">
        <v>128</v>
      </c>
      <c r="B286" s="40" t="s">
        <v>838</v>
      </c>
      <c r="C286" s="40">
        <v>92630</v>
      </c>
      <c r="D286" s="40" t="s">
        <v>839</v>
      </c>
      <c r="E286" s="40" t="s">
        <v>37</v>
      </c>
      <c r="F286" s="40" t="s">
        <v>26</v>
      </c>
      <c r="G286" s="40" t="s">
        <v>307</v>
      </c>
      <c r="H286" s="40" t="s">
        <v>224</v>
      </c>
      <c r="I286" s="40" t="s">
        <v>151</v>
      </c>
      <c r="J286" s="40"/>
      <c r="K286" s="40"/>
      <c r="L286" s="40"/>
      <c r="M286" s="40"/>
      <c r="N286" s="40"/>
      <c r="O286" s="40"/>
      <c r="P286" s="40"/>
      <c r="Q286" s="40"/>
      <c r="R286" s="40" t="s">
        <v>620</v>
      </c>
      <c r="S286" s="40" t="s">
        <v>139</v>
      </c>
      <c r="T286" s="40" t="s">
        <v>804</v>
      </c>
      <c r="U286" s="40" t="s">
        <v>536</v>
      </c>
      <c r="V286" s="40"/>
      <c r="W286" s="40"/>
      <c r="X286" s="40"/>
      <c r="Y286" s="40"/>
      <c r="Z286" s="40"/>
      <c r="AA286" s="40" t="s">
        <v>217</v>
      </c>
      <c r="AB286" s="53">
        <v>45904.395833333336</v>
      </c>
      <c r="AC286" s="40" t="s">
        <v>329</v>
      </c>
      <c r="AD286" s="40"/>
      <c r="AE286" s="40"/>
      <c r="AF286" s="40"/>
      <c r="AG286" s="40" t="s">
        <v>141</v>
      </c>
      <c r="AH286" s="10"/>
      <c r="AI286" s="87"/>
      <c r="AJ286" s="87" cm="1">
        <f t="array" ref="AJ286">IFERROR(_xlfn.XLOOKUP(TRUE,COUNTIF(Tabla[[#This Row],[Etiquetas]:[Etiquetas17]],Versiones!$G$2:$G$36)&gt;0,Versiones!$B$2:$B$36), "")</f>
        <v>18</v>
      </c>
      <c r="AK286" s="87" t="str" cm="1">
        <f t="array" ref="AK286">IFERROR(_xlfn.XLOOKUP(TRUE,COUNTIF(Tabla[[#This Row],[Etiquetas]:[Etiquetas17]],Versiones!$G$2:$G$36)&gt;0,Versiones!$A$2:$A$36), "")</f>
        <v>V0.6</v>
      </c>
      <c r="AL28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86" s="78">
        <f>IFERROR(_xlfn.XLOOKUP(Tabla[[#This Row],[¿En qué versión fue corregido?]],Versiones!$A$2:$A$34,Versiones!$B$2:$B$34),"No encontrado")</f>
        <v>24</v>
      </c>
      <c r="AN286" s="87" t="str" cm="1">
        <f t="array" ref="AN286">IFERROR(_xlfn.XLOOKUP(TRUE,COUNTIF(Tabla[[#This Row],[Etiquetas]:[Etiquetas17]],Categorías!$A$2:$A$12)&gt;0,Categorías!$A$2:$A$12),"No encontrado")</f>
        <v>Funcional</v>
      </c>
      <c r="AO286" s="87" t="str" cm="1">
        <f t="array" ref="AO286">IFERROR(INDEX(Funcionalidades!$A$2:$A$80,MATCH(TRUE, COUNTIF(Reporte_Gral!R286:Z286,Funcionalidades!$A$2:$A$80)&gt;0,0)),"No encontrado")</f>
        <v>Cierre-De-Día</v>
      </c>
      <c r="AP286" s="87" t="str">
        <f>IF(AND(COUNTIF(Tabla[[#This Row],[Etiquetas]:[Etiquetas17]],"*UAT_V*")&gt;0,COUNTIF(Tabla[[#This Row],[Etiquetas]:[Etiquetas17]],"*QA-Integración*")=0),"SI","")</f>
        <v/>
      </c>
      <c r="AQ286" s="88" t="str" cm="1">
        <f t="array" ref="AQ286">IF(Tabla[[#This Row],[Fue encontrado durante UAT?]]="SI",IFERROR(_xlfn.XLOOKUP(TRUE,ISNUMBER(SEARCH("UAT_V",Tabla[[#This Row],[Etiquetas]:[Etiquetas17]])),Tabla[[#This Row],[Etiquetas]:[Etiquetas17]]),""),"")</f>
        <v/>
      </c>
      <c r="AR286" s="87" t="str">
        <f>IF(COUNTIF(Tabla[[#This Row],[Etiquetas]:[Etiquetas17]],"*Devuelto*")&gt;0,"SI","")</f>
        <v/>
      </c>
      <c r="AS286" s="167">
        <f>COUNTIF(Tabla[[#This Row],[Etiquetas]:[Etiquetas17]],"*Devuelto*")</f>
        <v>0</v>
      </c>
    </row>
    <row r="287" spans="1:45" ht="15" customHeight="1">
      <c r="A287" s="40" t="s">
        <v>128</v>
      </c>
      <c r="B287" s="40" t="s">
        <v>840</v>
      </c>
      <c r="C287" s="40">
        <v>92327</v>
      </c>
      <c r="D287" s="40" t="s">
        <v>841</v>
      </c>
      <c r="E287" s="40" t="s">
        <v>41</v>
      </c>
      <c r="F287" s="40" t="s">
        <v>26</v>
      </c>
      <c r="G287" s="40" t="s">
        <v>802</v>
      </c>
      <c r="H287" s="40" t="s">
        <v>753</v>
      </c>
      <c r="I287" s="40"/>
      <c r="J287" s="40"/>
      <c r="K287" s="40"/>
      <c r="L287" s="40"/>
      <c r="M287" s="40"/>
      <c r="N287" s="40"/>
      <c r="O287" s="40"/>
      <c r="P287" s="40"/>
      <c r="Q287" s="40"/>
      <c r="R287" s="40" t="s">
        <v>145</v>
      </c>
      <c r="S287" s="40" t="s">
        <v>490</v>
      </c>
      <c r="T287" s="40" t="s">
        <v>835</v>
      </c>
      <c r="U287" s="40" t="s">
        <v>832</v>
      </c>
      <c r="V287" s="40"/>
      <c r="W287" s="40"/>
      <c r="X287" s="40"/>
      <c r="Y287" s="40"/>
      <c r="Z287" s="40"/>
      <c r="AA287" s="40" t="s">
        <v>261</v>
      </c>
      <c r="AB287" s="53">
        <v>45903.552777777775</v>
      </c>
      <c r="AC287" s="40" t="s">
        <v>760</v>
      </c>
      <c r="AD287" s="40"/>
      <c r="AE287" s="40"/>
      <c r="AF287" s="40"/>
      <c r="AG287" s="40" t="s">
        <v>135</v>
      </c>
      <c r="AH287" s="10"/>
      <c r="AI287" s="87"/>
      <c r="AJ287" s="87" cm="1">
        <f t="array" ref="AJ287">IFERROR(_xlfn.XLOOKUP(TRUE,COUNTIF(Tabla[[#This Row],[Etiquetas]:[Etiquetas17]],Versiones!$G$2:$G$36)&gt;0,Versiones!$B$2:$B$36), "")</f>
        <v>18</v>
      </c>
      <c r="AK287" s="87" t="str" cm="1">
        <f t="array" ref="AK287">IFERROR(_xlfn.XLOOKUP(TRUE,COUNTIF(Tabla[[#This Row],[Etiquetas]:[Etiquetas17]],Versiones!$G$2:$G$36)&gt;0,Versiones!$A$2:$A$36), "")</f>
        <v>V0.6</v>
      </c>
      <c r="AL28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87" s="78">
        <f>IFERROR(_xlfn.XLOOKUP(Tabla[[#This Row],[¿En qué versión fue corregido?]],Versiones!$A$2:$A$34,Versiones!$B$2:$B$34),"No encontrado")</f>
        <v>19</v>
      </c>
      <c r="AN287" s="87" t="str" cm="1">
        <f t="array" ref="AN287">IFERROR(_xlfn.XLOOKUP(TRUE,COUNTIF(Tabla[[#This Row],[Etiquetas]:[Etiquetas17]],Categorías!$A$2:$A$12)&gt;0,Categorías!$A$2:$A$12),"No encontrado")</f>
        <v>Contenido/Datos</v>
      </c>
      <c r="AO287" s="87" t="str" cm="1">
        <f t="array" ref="AO287">IFERROR(INDEX(Funcionalidades!$A$2:$A$80,MATCH(TRUE, COUNTIF(Reporte_Gral!R287:Z287,Funcionalidades!$A$2:$A$80)&gt;0,0)),"No encontrado")</f>
        <v>Cierre-De-Turno</v>
      </c>
      <c r="AP287" s="87" t="str">
        <f>IF(AND(COUNTIF(Tabla[[#This Row],[Etiquetas]:[Etiquetas17]],"*UAT_V*")&gt;0,COUNTIF(Tabla[[#This Row],[Etiquetas]:[Etiquetas17]],"*QA-Integración*")=0),"SI","")</f>
        <v/>
      </c>
      <c r="AQ287" s="88" t="str" cm="1">
        <f t="array" ref="AQ287">IF(Tabla[[#This Row],[Fue encontrado durante UAT?]]="SI",IFERROR(_xlfn.XLOOKUP(TRUE,ISNUMBER(SEARCH("UAT_V",Tabla[[#This Row],[Etiquetas]:[Etiquetas17]])),Tabla[[#This Row],[Etiquetas]:[Etiquetas17]]),""),"")</f>
        <v/>
      </c>
      <c r="AR287" s="87" t="str">
        <f>IF(COUNTIF(Tabla[[#This Row],[Etiquetas]:[Etiquetas17]],"*Devuelto*")&gt;0,"SI","")</f>
        <v/>
      </c>
      <c r="AS287" s="167">
        <f>COUNTIF(Tabla[[#This Row],[Etiquetas]:[Etiquetas17]],"*Devuelto*")</f>
        <v>0</v>
      </c>
    </row>
    <row r="288" spans="1:45" ht="15" customHeight="1">
      <c r="A288" s="40" t="s">
        <v>128</v>
      </c>
      <c r="B288" s="40" t="s">
        <v>842</v>
      </c>
      <c r="C288" s="40">
        <v>92278</v>
      </c>
      <c r="D288" s="40" t="s">
        <v>843</v>
      </c>
      <c r="E288" s="40" t="s">
        <v>36</v>
      </c>
      <c r="F288" s="40" t="s">
        <v>26</v>
      </c>
      <c r="G288" s="40" t="s">
        <v>802</v>
      </c>
      <c r="H288" s="40" t="s">
        <v>753</v>
      </c>
      <c r="I288" s="40"/>
      <c r="J288" s="40"/>
      <c r="K288" s="40"/>
      <c r="L288" s="40"/>
      <c r="M288" s="40"/>
      <c r="N288" s="40"/>
      <c r="O288" s="40"/>
      <c r="P288" s="40"/>
      <c r="Q288" s="40"/>
      <c r="R288" s="40" t="s">
        <v>490</v>
      </c>
      <c r="S288" s="40" t="s">
        <v>535</v>
      </c>
      <c r="T288" s="40" t="s">
        <v>835</v>
      </c>
      <c r="U288" s="40" t="s">
        <v>832</v>
      </c>
      <c r="V288" s="40"/>
      <c r="W288" s="40"/>
      <c r="X288" s="40"/>
      <c r="Y288" s="40"/>
      <c r="Z288" s="40"/>
      <c r="AA288" s="40" t="s">
        <v>261</v>
      </c>
      <c r="AB288" s="53">
        <v>45903.515972222223</v>
      </c>
      <c r="AC288" s="40" t="s">
        <v>760</v>
      </c>
      <c r="AD288" s="40"/>
      <c r="AE288" s="40"/>
      <c r="AF288" s="40"/>
      <c r="AG288" s="40" t="s">
        <v>135</v>
      </c>
      <c r="AH288" s="10"/>
      <c r="AI288" s="87"/>
      <c r="AJ288" s="87" cm="1">
        <f t="array" ref="AJ288">IFERROR(_xlfn.XLOOKUP(TRUE,COUNTIF(Tabla[[#This Row],[Etiquetas]:[Etiquetas17]],Versiones!$G$2:$G$36)&gt;0,Versiones!$B$2:$B$36), "")</f>
        <v>18</v>
      </c>
      <c r="AK288" s="87" t="str" cm="1">
        <f t="array" ref="AK288">IFERROR(_xlfn.XLOOKUP(TRUE,COUNTIF(Tabla[[#This Row],[Etiquetas]:[Etiquetas17]],Versiones!$G$2:$G$36)&gt;0,Versiones!$A$2:$A$36), "")</f>
        <v>V0.6</v>
      </c>
      <c r="AL28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88" s="78">
        <f>IFERROR(_xlfn.XLOOKUP(Tabla[[#This Row],[¿En qué versión fue corregido?]],Versiones!$A$2:$A$34,Versiones!$B$2:$B$34),"No encontrado")</f>
        <v>19</v>
      </c>
      <c r="AN288" s="87" t="str" cm="1">
        <f t="array" ref="AN288">IFERROR(_xlfn.XLOOKUP(TRUE,COUNTIF(Tabla[[#This Row],[Etiquetas]:[Etiquetas17]],Categorías!$A$2:$A$12)&gt;0,Categorías!$A$2:$A$12),"No encontrado")</f>
        <v>Contenido/Datos</v>
      </c>
      <c r="AO288" s="87" t="str" cm="1">
        <f t="array" ref="AO288">IFERROR(INDEX(Funcionalidades!$A$2:$A$80,MATCH(TRUE, COUNTIF(Reporte_Gral!R288:Z288,Funcionalidades!$A$2:$A$80)&gt;0,0)),"No encontrado")</f>
        <v>Pago-En-Efectivo</v>
      </c>
      <c r="AP288" s="87" t="str">
        <f>IF(AND(COUNTIF(Tabla[[#This Row],[Etiquetas]:[Etiquetas17]],"*UAT_V*")&gt;0,COUNTIF(Tabla[[#This Row],[Etiquetas]:[Etiquetas17]],"*QA-Integración*")=0),"SI","")</f>
        <v/>
      </c>
      <c r="AQ288" s="88" t="str" cm="1">
        <f t="array" ref="AQ288">IF(Tabla[[#This Row],[Fue encontrado durante UAT?]]="SI",IFERROR(_xlfn.XLOOKUP(TRUE,ISNUMBER(SEARCH("UAT_V",Tabla[[#This Row],[Etiquetas]:[Etiquetas17]])),Tabla[[#This Row],[Etiquetas]:[Etiquetas17]]),""),"")</f>
        <v/>
      </c>
      <c r="AR288" s="87" t="str">
        <f>IF(COUNTIF(Tabla[[#This Row],[Etiquetas]:[Etiquetas17]],"*Devuelto*")&gt;0,"SI","")</f>
        <v/>
      </c>
      <c r="AS288" s="167">
        <f>COUNTIF(Tabla[[#This Row],[Etiquetas]:[Etiquetas17]],"*Devuelto*")</f>
        <v>0</v>
      </c>
    </row>
    <row r="289" spans="1:45" ht="15" customHeight="1">
      <c r="A289" s="40" t="s">
        <v>128</v>
      </c>
      <c r="B289" s="40" t="s">
        <v>844</v>
      </c>
      <c r="C289" s="40">
        <v>92241</v>
      </c>
      <c r="D289" s="40" t="s">
        <v>845</v>
      </c>
      <c r="E289" s="40" t="s">
        <v>36</v>
      </c>
      <c r="F289" s="40" t="s">
        <v>26</v>
      </c>
      <c r="G289" s="40" t="s">
        <v>637</v>
      </c>
      <c r="H289" s="40" t="s">
        <v>561</v>
      </c>
      <c r="I289" s="40" t="s">
        <v>429</v>
      </c>
      <c r="J289" s="40" t="s">
        <v>307</v>
      </c>
      <c r="K289" s="40" t="s">
        <v>224</v>
      </c>
      <c r="L289" s="40" t="s">
        <v>151</v>
      </c>
      <c r="M289" s="40"/>
      <c r="N289" s="40"/>
      <c r="O289" s="40"/>
      <c r="P289" s="40"/>
      <c r="Q289" s="40"/>
      <c r="R289" s="40" t="s">
        <v>139</v>
      </c>
      <c r="S289" s="40" t="s">
        <v>481</v>
      </c>
      <c r="T289" s="40" t="s">
        <v>804</v>
      </c>
      <c r="U289" s="40" t="s">
        <v>226</v>
      </c>
      <c r="V289" s="40" t="s">
        <v>154</v>
      </c>
      <c r="W289" s="40"/>
      <c r="X289" s="40"/>
      <c r="Y289" s="40"/>
      <c r="Z289" s="40"/>
      <c r="AA289" s="40" t="s">
        <v>217</v>
      </c>
      <c r="AB289" s="53">
        <v>45903.465277777781</v>
      </c>
      <c r="AC289" s="40" t="s">
        <v>675</v>
      </c>
      <c r="AD289" s="40" t="s">
        <v>511</v>
      </c>
      <c r="AE289" s="40"/>
      <c r="AF289" s="40"/>
      <c r="AG289" s="40" t="s">
        <v>135</v>
      </c>
      <c r="AH289" s="10"/>
      <c r="AI289" s="87"/>
      <c r="AJ289" s="87" cm="1">
        <f t="array" ref="AJ289">IFERROR(_xlfn.XLOOKUP(TRUE,COUNTIF(Tabla[[#This Row],[Etiquetas]:[Etiquetas17]],Versiones!$G$2:$G$36)&gt;0,Versiones!$B$2:$B$36), "")</f>
        <v>18</v>
      </c>
      <c r="AK289" s="87" t="str" cm="1">
        <f t="array" ref="AK289">IFERROR(_xlfn.XLOOKUP(TRUE,COUNTIF(Tabla[[#This Row],[Etiquetas]:[Etiquetas17]],Versiones!$G$2:$G$36)&gt;0,Versiones!$A$2:$A$36), "")</f>
        <v>V0.6</v>
      </c>
      <c r="AL28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89" s="78">
        <f>IFERROR(_xlfn.XLOOKUP(Tabla[[#This Row],[¿En qué versión fue corregido?]],Versiones!$A$2:$A$34,Versiones!$B$2:$B$34),"No encontrado")</f>
        <v>23</v>
      </c>
      <c r="AN289" s="87" t="str" cm="1">
        <f t="array" ref="AN289">IFERROR(_xlfn.XLOOKUP(TRUE,COUNTIF(Tabla[[#This Row],[Etiquetas]:[Etiquetas17]],Categorías!$A$2:$A$12)&gt;0,Categorías!$A$2:$A$12),"No encontrado")</f>
        <v>Funcional</v>
      </c>
      <c r="AO289" s="87" t="str" cm="1">
        <f t="array" ref="AO289">IFERROR(INDEX(Funcionalidades!$A$2:$A$80,MATCH(TRUE, COUNTIF(Reporte_Gral!R289:Z289,Funcionalidades!$A$2:$A$80)&gt;0,0)),"No encontrado")</f>
        <v>Iniciar_Venta</v>
      </c>
      <c r="AP289" s="87" t="str">
        <f>IF(AND(COUNTIF(Tabla[[#This Row],[Etiquetas]:[Etiquetas17]],"*UAT_V*")&gt;0,COUNTIF(Tabla[[#This Row],[Etiquetas]:[Etiquetas17]],"*QA-Integración*")=0),"SI","")</f>
        <v/>
      </c>
      <c r="AQ289" s="88" t="str" cm="1">
        <f t="array" ref="AQ289">IF(Tabla[[#This Row],[Fue encontrado durante UAT?]]="SI",IFERROR(_xlfn.XLOOKUP(TRUE,ISNUMBER(SEARCH("UAT_V",Tabla[[#This Row],[Etiquetas]:[Etiquetas17]])),Tabla[[#This Row],[Etiquetas]:[Etiquetas17]]),""),"")</f>
        <v/>
      </c>
      <c r="AR289" s="87" t="str">
        <f>IF(COUNTIF(Tabla[[#This Row],[Etiquetas]:[Etiquetas17]],"*Devuelto*")&gt;0,"SI","")</f>
        <v/>
      </c>
      <c r="AS289" s="167">
        <f>COUNTIF(Tabla[[#This Row],[Etiquetas]:[Etiquetas17]],"*Devuelto*")</f>
        <v>0</v>
      </c>
    </row>
    <row r="290" spans="1:45" ht="15" customHeight="1">
      <c r="A290" s="40" t="s">
        <v>128</v>
      </c>
      <c r="B290" s="40" t="s">
        <v>846</v>
      </c>
      <c r="C290" s="40">
        <v>92233</v>
      </c>
      <c r="D290" s="40" t="s">
        <v>847</v>
      </c>
      <c r="E290" s="40" t="s">
        <v>37</v>
      </c>
      <c r="F290" s="40" t="s">
        <v>26</v>
      </c>
      <c r="G290" s="40" t="s">
        <v>307</v>
      </c>
      <c r="H290" s="40" t="s">
        <v>224</v>
      </c>
      <c r="I290" s="40" t="s">
        <v>151</v>
      </c>
      <c r="J290" s="40"/>
      <c r="K290" s="40"/>
      <c r="L290" s="40"/>
      <c r="M290" s="40"/>
      <c r="N290" s="40"/>
      <c r="O290" s="40"/>
      <c r="P290" s="40"/>
      <c r="Q290" s="40"/>
      <c r="R290" s="40" t="s">
        <v>460</v>
      </c>
      <c r="S290" s="40" t="s">
        <v>139</v>
      </c>
      <c r="T290" s="40" t="s">
        <v>516</v>
      </c>
      <c r="U290" s="40" t="s">
        <v>832</v>
      </c>
      <c r="V290" s="40" t="s">
        <v>226</v>
      </c>
      <c r="W290" s="40" t="s">
        <v>154</v>
      </c>
      <c r="X290" s="40" t="s">
        <v>536</v>
      </c>
      <c r="Y290" s="40"/>
      <c r="Z290" s="40"/>
      <c r="AA290" s="40" t="s">
        <v>261</v>
      </c>
      <c r="AB290" s="53">
        <v>45903.454861111109</v>
      </c>
      <c r="AC290" s="40" t="s">
        <v>329</v>
      </c>
      <c r="AD290" s="40"/>
      <c r="AE290" s="40"/>
      <c r="AF290" s="40"/>
      <c r="AG290" s="40" t="s">
        <v>135</v>
      </c>
      <c r="AH290" s="10"/>
      <c r="AI290" s="87"/>
      <c r="AJ290" s="87" cm="1">
        <f t="array" ref="AJ290">IFERROR(_xlfn.XLOOKUP(TRUE,COUNTIF(Tabla[[#This Row],[Etiquetas]:[Etiquetas17]],Versiones!$G$2:$G$36)&gt;0,Versiones!$B$2:$B$36), "")</f>
        <v>18</v>
      </c>
      <c r="AK290" s="87" t="str" cm="1">
        <f t="array" ref="AK290">IFERROR(_xlfn.XLOOKUP(TRUE,COUNTIF(Tabla[[#This Row],[Etiquetas]:[Etiquetas17]],Versiones!$G$2:$G$36)&gt;0,Versiones!$A$2:$A$36), "")</f>
        <v>V0.6</v>
      </c>
      <c r="AL29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90" s="78">
        <f>IFERROR(_xlfn.XLOOKUP(Tabla[[#This Row],[¿En qué versión fue corregido?]],Versiones!$A$2:$A$34,Versiones!$B$2:$B$34),"No encontrado")</f>
        <v>24</v>
      </c>
      <c r="AN290" s="87" t="str" cm="1">
        <f t="array" ref="AN290">IFERROR(_xlfn.XLOOKUP(TRUE,COUNTIF(Tabla[[#This Row],[Etiquetas]:[Etiquetas17]],Categorías!$A$2:$A$12)&gt;0,Categorías!$A$2:$A$12),"No encontrado")</f>
        <v>Funcional</v>
      </c>
      <c r="AO290" s="87" t="str" cm="1">
        <f t="array" ref="AO290">IFERROR(INDEX(Funcionalidades!$A$2:$A$80,MATCH(TRUE, COUNTIF(Reporte_Gral!R290:Z290,Funcionalidades!$A$2:$A$80)&gt;0,0)),"No encontrado")</f>
        <v>Cancelar-Venta</v>
      </c>
      <c r="AP290" s="87" t="str">
        <f>IF(AND(COUNTIF(Tabla[[#This Row],[Etiquetas]:[Etiquetas17]],"*UAT_V*")&gt;0,COUNTIF(Tabla[[#This Row],[Etiquetas]:[Etiquetas17]],"*QA-Integración*")=0),"SI","")</f>
        <v/>
      </c>
      <c r="AQ290" s="88" t="str" cm="1">
        <f t="array" ref="AQ290">IF(Tabla[[#This Row],[Fue encontrado durante UAT?]]="SI",IFERROR(_xlfn.XLOOKUP(TRUE,ISNUMBER(SEARCH("UAT_V",Tabla[[#This Row],[Etiquetas]:[Etiquetas17]])),Tabla[[#This Row],[Etiquetas]:[Etiquetas17]]),""),"")</f>
        <v/>
      </c>
      <c r="AR290" s="87" t="str">
        <f>IF(COUNTIF(Tabla[[#This Row],[Etiquetas]:[Etiquetas17]],"*Devuelto*")&gt;0,"SI","")</f>
        <v/>
      </c>
      <c r="AS290" s="167">
        <f>COUNTIF(Tabla[[#This Row],[Etiquetas]:[Etiquetas17]],"*Devuelto*")</f>
        <v>0</v>
      </c>
    </row>
    <row r="291" spans="1:45" ht="15" customHeight="1">
      <c r="A291" s="40" t="s">
        <v>128</v>
      </c>
      <c r="B291" s="40" t="s">
        <v>848</v>
      </c>
      <c r="C291" s="40">
        <v>92229</v>
      </c>
      <c r="D291" s="40" t="s">
        <v>849</v>
      </c>
      <c r="E291" s="40" t="s">
        <v>37</v>
      </c>
      <c r="F291" s="40" t="s">
        <v>242</v>
      </c>
      <c r="G291" s="40" t="s">
        <v>753</v>
      </c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 t="s">
        <v>460</v>
      </c>
      <c r="S291" s="40" t="s">
        <v>139</v>
      </c>
      <c r="T291" s="40" t="s">
        <v>804</v>
      </c>
      <c r="U291" s="40" t="s">
        <v>226</v>
      </c>
      <c r="V291" s="40" t="s">
        <v>154</v>
      </c>
      <c r="W291" s="40" t="s">
        <v>536</v>
      </c>
      <c r="X291" s="40"/>
      <c r="Y291" s="40"/>
      <c r="Z291" s="40"/>
      <c r="AA291" s="40" t="s">
        <v>217</v>
      </c>
      <c r="AB291" s="53">
        <v>45903.452777777777</v>
      </c>
      <c r="AC291" s="40" t="s">
        <v>675</v>
      </c>
      <c r="AD291" s="40" t="s">
        <v>760</v>
      </c>
      <c r="AE291" s="40"/>
      <c r="AF291" s="40"/>
      <c r="AG291" s="40" t="s">
        <v>135</v>
      </c>
      <c r="AH291" s="10"/>
      <c r="AI291" s="87"/>
      <c r="AJ291" s="87" cm="1">
        <f t="array" ref="AJ291">IFERROR(_xlfn.XLOOKUP(TRUE,COUNTIF(Tabla[[#This Row],[Etiquetas]:[Etiquetas17]],Versiones!$G$2:$G$36)&gt;0,Versiones!$B$2:$B$36), "")</f>
        <v>18</v>
      </c>
      <c r="AK291" s="87" t="str" cm="1">
        <f t="array" ref="AK291">IFERROR(_xlfn.XLOOKUP(TRUE,COUNTIF(Tabla[[#This Row],[Etiquetas]:[Etiquetas17]],Versiones!$G$2:$G$36)&gt;0,Versiones!$A$2:$A$36), "")</f>
        <v>V0.6</v>
      </c>
      <c r="AL29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91" s="78">
        <f>IFERROR(_xlfn.XLOOKUP(Tabla[[#This Row],[¿En qué versión fue corregido?]],Versiones!$A$2:$A$34,Versiones!$B$2:$B$34),"No encontrado")</f>
        <v>19</v>
      </c>
      <c r="AN291" s="87" t="str" cm="1">
        <f t="array" ref="AN291">IFERROR(_xlfn.XLOOKUP(TRUE,COUNTIF(Tabla[[#This Row],[Etiquetas]:[Etiquetas17]],Categorías!$A$2:$A$12)&gt;0,Categorías!$A$2:$A$12),"No encontrado")</f>
        <v>Funcional</v>
      </c>
      <c r="AO291" s="87" t="str" cm="1">
        <f t="array" ref="AO291">IFERROR(INDEX(Funcionalidades!$A$2:$A$80,MATCH(TRUE, COUNTIF(Reporte_Gral!R291:Z291,Funcionalidades!$A$2:$A$80)&gt;0,0)),"No encontrado")</f>
        <v>Cancelar-Venta</v>
      </c>
      <c r="AP291" s="87" t="str">
        <f>IF(AND(COUNTIF(Tabla[[#This Row],[Etiquetas]:[Etiquetas17]],"*UAT_V*")&gt;0,COUNTIF(Tabla[[#This Row],[Etiquetas]:[Etiquetas17]],"*QA-Integración*")=0),"SI","")</f>
        <v/>
      </c>
      <c r="AQ291" s="88" t="str" cm="1">
        <f t="array" ref="AQ291">IF(Tabla[[#This Row],[Fue encontrado durante UAT?]]="SI",IFERROR(_xlfn.XLOOKUP(TRUE,ISNUMBER(SEARCH("UAT_V",Tabla[[#This Row],[Etiquetas]:[Etiquetas17]])),Tabla[[#This Row],[Etiquetas]:[Etiquetas17]]),""),"")</f>
        <v/>
      </c>
      <c r="AR291" s="87" t="str">
        <f>IF(COUNTIF(Tabla[[#This Row],[Etiquetas]:[Etiquetas17]],"*Devuelto*")&gt;0,"SI","")</f>
        <v/>
      </c>
      <c r="AS291" s="167">
        <f>COUNTIF(Tabla[[#This Row],[Etiquetas]:[Etiquetas17]],"*Devuelto*")</f>
        <v>0</v>
      </c>
    </row>
    <row r="292" spans="1:45" ht="15" customHeight="1">
      <c r="A292" s="40" t="s">
        <v>128</v>
      </c>
      <c r="B292" s="40" t="s">
        <v>850</v>
      </c>
      <c r="C292" s="40">
        <v>92221</v>
      </c>
      <c r="D292" s="40" t="s">
        <v>851</v>
      </c>
      <c r="E292" s="40" t="s">
        <v>36</v>
      </c>
      <c r="F292" s="40" t="s">
        <v>26</v>
      </c>
      <c r="G292" s="40" t="s">
        <v>637</v>
      </c>
      <c r="H292" s="40" t="s">
        <v>561</v>
      </c>
      <c r="I292" s="40" t="s">
        <v>429</v>
      </c>
      <c r="J292" s="40" t="s">
        <v>307</v>
      </c>
      <c r="K292" s="40" t="s">
        <v>224</v>
      </c>
      <c r="L292" s="40" t="s">
        <v>151</v>
      </c>
      <c r="M292" s="40"/>
      <c r="N292" s="40"/>
      <c r="O292" s="40"/>
      <c r="P292" s="40"/>
      <c r="Q292" s="40"/>
      <c r="R292" s="40" t="s">
        <v>139</v>
      </c>
      <c r="S292" s="40" t="s">
        <v>442</v>
      </c>
      <c r="T292" s="40" t="s">
        <v>832</v>
      </c>
      <c r="U292" s="40" t="s">
        <v>226</v>
      </c>
      <c r="V292" s="40" t="s">
        <v>154</v>
      </c>
      <c r="W292" s="40"/>
      <c r="X292" s="40"/>
      <c r="Y292" s="40"/>
      <c r="Z292" s="40"/>
      <c r="AA292" s="40" t="s">
        <v>261</v>
      </c>
      <c r="AB292" s="53">
        <v>45903.447916666664</v>
      </c>
      <c r="AC292" s="40" t="s">
        <v>732</v>
      </c>
      <c r="AD292" s="40"/>
      <c r="AE292" s="40"/>
      <c r="AF292" s="40"/>
      <c r="AG292" s="40" t="s">
        <v>135</v>
      </c>
      <c r="AH292" s="10"/>
      <c r="AI292" s="87"/>
      <c r="AJ292" s="87" cm="1">
        <f t="array" ref="AJ292">IFERROR(_xlfn.XLOOKUP(TRUE,COUNTIF(Tabla[[#This Row],[Etiquetas]:[Etiquetas17]],Versiones!$G$2:$G$36)&gt;0,Versiones!$B$2:$B$36), "")</f>
        <v>18</v>
      </c>
      <c r="AK292" s="87" t="str" cm="1">
        <f t="array" ref="AK292">IFERROR(_xlfn.XLOOKUP(TRUE,COUNTIF(Tabla[[#This Row],[Etiquetas]:[Etiquetas17]],Versiones!$G$2:$G$36)&gt;0,Versiones!$A$2:$A$36), "")</f>
        <v>V0.6</v>
      </c>
      <c r="AL29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</v>
      </c>
      <c r="AM292" s="78" t="str">
        <f>IFERROR(_xlfn.XLOOKUP(Tabla[[#This Row],[¿En qué versión fue corregido?]],Versiones!$A$2:$A$34,Versiones!$B$2:$B$34),"No encontrado")</f>
        <v>No encontrado</v>
      </c>
      <c r="AN292" s="87" t="str" cm="1">
        <f t="array" ref="AN292">IFERROR(_xlfn.XLOOKUP(TRUE,COUNTIF(Tabla[[#This Row],[Etiquetas]:[Etiquetas17]],Categorías!$A$2:$A$12)&gt;0,Categorías!$A$2:$A$12),"No encontrado")</f>
        <v>Funcional</v>
      </c>
      <c r="AO292" s="87" t="str" cm="1">
        <f t="array" ref="AO292">IFERROR(INDEX(Funcionalidades!$A$2:$A$80,MATCH(TRUE, COUNTIF(Reporte_Gral!R292:Z292,Funcionalidades!$A$2:$A$80)&gt;0,0)),"No encontrado")</f>
        <v>Login</v>
      </c>
      <c r="AP292" s="87" t="str">
        <f>IF(AND(COUNTIF(Tabla[[#This Row],[Etiquetas]:[Etiquetas17]],"*UAT_V*")&gt;0,COUNTIF(Tabla[[#This Row],[Etiquetas]:[Etiquetas17]],"*QA-Integración*")=0),"SI","")</f>
        <v/>
      </c>
      <c r="AQ292" s="88" t="str" cm="1">
        <f t="array" ref="AQ292">IF(Tabla[[#This Row],[Fue encontrado durante UAT?]]="SI",IFERROR(_xlfn.XLOOKUP(TRUE,ISNUMBER(SEARCH("UAT_V",Tabla[[#This Row],[Etiquetas]:[Etiquetas17]])),Tabla[[#This Row],[Etiquetas]:[Etiquetas17]]),""),"")</f>
        <v/>
      </c>
      <c r="AR292" s="87" t="str">
        <f>IF(COUNTIF(Tabla[[#This Row],[Etiquetas]:[Etiquetas17]],"*Devuelto*")&gt;0,"SI","")</f>
        <v/>
      </c>
      <c r="AS292" s="167">
        <f>COUNTIF(Tabla[[#This Row],[Etiquetas]:[Etiquetas17]],"*Devuelto*")</f>
        <v>0</v>
      </c>
    </row>
    <row r="293" spans="1:45" ht="15" customHeight="1">
      <c r="A293" s="40" t="s">
        <v>128</v>
      </c>
      <c r="B293" s="40" t="s">
        <v>852</v>
      </c>
      <c r="C293" s="40">
        <v>91981</v>
      </c>
      <c r="D293" s="40" t="s">
        <v>853</v>
      </c>
      <c r="E293" s="40" t="s">
        <v>37</v>
      </c>
      <c r="F293" s="40" t="s">
        <v>26</v>
      </c>
      <c r="G293" s="40" t="s">
        <v>637</v>
      </c>
      <c r="H293" s="40" t="s">
        <v>561</v>
      </c>
      <c r="I293" s="40" t="s">
        <v>429</v>
      </c>
      <c r="J293" s="40" t="s">
        <v>224</v>
      </c>
      <c r="K293" s="40" t="s">
        <v>151</v>
      </c>
      <c r="L293" s="40"/>
      <c r="M293" s="40"/>
      <c r="N293" s="40"/>
      <c r="O293" s="40"/>
      <c r="P293" s="40"/>
      <c r="Q293" s="40"/>
      <c r="R293" s="40" t="s">
        <v>371</v>
      </c>
      <c r="S293" s="40" t="s">
        <v>132</v>
      </c>
      <c r="T293" s="40" t="s">
        <v>854</v>
      </c>
      <c r="U293" s="40" t="s">
        <v>832</v>
      </c>
      <c r="V293" s="40" t="s">
        <v>226</v>
      </c>
      <c r="W293" s="40" t="s">
        <v>154</v>
      </c>
      <c r="X293" s="40" t="s">
        <v>536</v>
      </c>
      <c r="Y293" s="40"/>
      <c r="Z293" s="40"/>
      <c r="AA293" s="40" t="s">
        <v>261</v>
      </c>
      <c r="AB293" s="53">
        <v>45902.715277777781</v>
      </c>
      <c r="AC293" s="40" t="s">
        <v>174</v>
      </c>
      <c r="AD293" s="40"/>
      <c r="AE293" s="40"/>
      <c r="AF293" s="40"/>
      <c r="AG293" s="40" t="s">
        <v>135</v>
      </c>
      <c r="AH293" s="10"/>
      <c r="AI293" s="87"/>
      <c r="AJ293" s="87" cm="1">
        <f t="array" ref="AJ293">IFERROR(_xlfn.XLOOKUP(TRUE,COUNTIF(Tabla[[#This Row],[Etiquetas]:[Etiquetas17]],Versiones!$G$2:$G$36)&gt;0,Versiones!$B$2:$B$36), "")</f>
        <v>18</v>
      </c>
      <c r="AK293" s="87" t="str" cm="1">
        <f t="array" ref="AK293">IFERROR(_xlfn.XLOOKUP(TRUE,COUNTIF(Tabla[[#This Row],[Etiquetas]:[Etiquetas17]],Versiones!$G$2:$G$36)&gt;0,Versiones!$A$2:$A$36), "")</f>
        <v>V0.6</v>
      </c>
      <c r="AL29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93" s="78">
        <f>IFERROR(_xlfn.XLOOKUP(Tabla[[#This Row],[¿En qué versión fue corregido?]],Versiones!$A$2:$A$34,Versiones!$B$2:$B$34),"No encontrado")</f>
        <v>25</v>
      </c>
      <c r="AN293" s="87" t="str" cm="1">
        <f t="array" ref="AN293">IFERROR(_xlfn.XLOOKUP(TRUE,COUNTIF(Tabla[[#This Row],[Etiquetas]:[Etiquetas17]],Categorías!$A$2:$A$12)&gt;0,Categorías!$A$2:$A$12),"No encontrado")</f>
        <v>Look&amp;Feel</v>
      </c>
      <c r="AO293" s="87" t="str" cm="1">
        <f t="array" ref="AO293">IFERROR(INDEX(Funcionalidades!$A$2:$A$80,MATCH(TRUE, COUNTIF(Reporte_Gral!R293:Z293,Funcionalidades!$A$2:$A$80)&gt;0,0)),"No encontrado")</f>
        <v>Pago-Mix</v>
      </c>
      <c r="AP293" s="87" t="str">
        <f>IF(AND(COUNTIF(Tabla[[#This Row],[Etiquetas]:[Etiquetas17]],"*UAT_V*")&gt;0,COUNTIF(Tabla[[#This Row],[Etiquetas]:[Etiquetas17]],"*QA-Integración*")=0),"SI","")</f>
        <v/>
      </c>
      <c r="AQ293" s="88" t="str" cm="1">
        <f t="array" ref="AQ293">IF(Tabla[[#This Row],[Fue encontrado durante UAT?]]="SI",IFERROR(_xlfn.XLOOKUP(TRUE,ISNUMBER(SEARCH("UAT_V",Tabla[[#This Row],[Etiquetas]:[Etiquetas17]])),Tabla[[#This Row],[Etiquetas]:[Etiquetas17]]),""),"")</f>
        <v/>
      </c>
      <c r="AR293" s="87" t="str">
        <f>IF(COUNTIF(Tabla[[#This Row],[Etiquetas]:[Etiquetas17]],"*Devuelto*")&gt;0,"SI","")</f>
        <v/>
      </c>
      <c r="AS293" s="167">
        <f>COUNTIF(Tabla[[#This Row],[Etiquetas]:[Etiquetas17]],"*Devuelto*")</f>
        <v>0</v>
      </c>
    </row>
    <row r="294" spans="1:45" ht="15" customHeight="1">
      <c r="A294" s="40" t="s">
        <v>128</v>
      </c>
      <c r="B294" s="40" t="s">
        <v>855</v>
      </c>
      <c r="C294" s="40">
        <v>91815</v>
      </c>
      <c r="D294" s="40" t="s">
        <v>856</v>
      </c>
      <c r="E294" s="40" t="s">
        <v>36</v>
      </c>
      <c r="F294" s="40" t="s">
        <v>26</v>
      </c>
      <c r="G294" s="40" t="s">
        <v>802</v>
      </c>
      <c r="H294" s="40" t="s">
        <v>753</v>
      </c>
      <c r="I294" s="40"/>
      <c r="J294" s="40"/>
      <c r="K294" s="40"/>
      <c r="L294" s="40"/>
      <c r="M294" s="40"/>
      <c r="N294" s="40"/>
      <c r="O294" s="40"/>
      <c r="P294" s="40"/>
      <c r="Q294" s="40"/>
      <c r="R294" s="40" t="s">
        <v>490</v>
      </c>
      <c r="S294" s="40" t="s">
        <v>442</v>
      </c>
      <c r="T294" s="40" t="s">
        <v>835</v>
      </c>
      <c r="U294" s="40" t="s">
        <v>832</v>
      </c>
      <c r="V294" s="40"/>
      <c r="W294" s="40"/>
      <c r="X294" s="40"/>
      <c r="Y294" s="40"/>
      <c r="Z294" s="40"/>
      <c r="AA294" s="40" t="s">
        <v>261</v>
      </c>
      <c r="AB294" s="53">
        <v>45902.527777777781</v>
      </c>
      <c r="AC294" s="40" t="s">
        <v>760</v>
      </c>
      <c r="AD294" s="40"/>
      <c r="AE294" s="40"/>
      <c r="AF294" s="40"/>
      <c r="AG294" s="40" t="s">
        <v>135</v>
      </c>
      <c r="AH294" s="10"/>
      <c r="AI294" s="87"/>
      <c r="AJ294" s="87" cm="1">
        <f t="array" ref="AJ294">IFERROR(_xlfn.XLOOKUP(TRUE,COUNTIF(Tabla[[#This Row],[Etiquetas]:[Etiquetas17]],Versiones!$G$2:$G$36)&gt;0,Versiones!$B$2:$B$36), "")</f>
        <v>18</v>
      </c>
      <c r="AK294" s="87" t="str" cm="1">
        <f t="array" ref="AK294">IFERROR(_xlfn.XLOOKUP(TRUE,COUNTIF(Tabla[[#This Row],[Etiquetas]:[Etiquetas17]],Versiones!$G$2:$G$36)&gt;0,Versiones!$A$2:$A$36), "")</f>
        <v>V0.6</v>
      </c>
      <c r="AL29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294" s="78">
        <f>IFERROR(_xlfn.XLOOKUP(Tabla[[#This Row],[¿En qué versión fue corregido?]],Versiones!$A$2:$A$34,Versiones!$B$2:$B$34),"No encontrado")</f>
        <v>19</v>
      </c>
      <c r="AN294" s="87" t="str" cm="1">
        <f t="array" ref="AN294">IFERROR(_xlfn.XLOOKUP(TRUE,COUNTIF(Tabla[[#This Row],[Etiquetas]:[Etiquetas17]],Categorías!$A$2:$A$12)&gt;0,Categorías!$A$2:$A$12),"No encontrado")</f>
        <v>Contenido/Datos</v>
      </c>
      <c r="AO294" s="87" t="str" cm="1">
        <f t="array" ref="AO294">IFERROR(INDEX(Funcionalidades!$A$2:$A$80,MATCH(TRUE, COUNTIF(Reporte_Gral!R294:Z294,Funcionalidades!$A$2:$A$80)&gt;0,0)),"No encontrado")</f>
        <v>Login</v>
      </c>
      <c r="AP294" s="87" t="str">
        <f>IF(AND(COUNTIF(Tabla[[#This Row],[Etiquetas]:[Etiquetas17]],"*UAT_V*")&gt;0,COUNTIF(Tabla[[#This Row],[Etiquetas]:[Etiquetas17]],"*QA-Integración*")=0),"SI","")</f>
        <v/>
      </c>
      <c r="AQ294" s="88" t="str" cm="1">
        <f t="array" ref="AQ294">IF(Tabla[[#This Row],[Fue encontrado durante UAT?]]="SI",IFERROR(_xlfn.XLOOKUP(TRUE,ISNUMBER(SEARCH("UAT_V",Tabla[[#This Row],[Etiquetas]:[Etiquetas17]])),Tabla[[#This Row],[Etiquetas]:[Etiquetas17]]),""),"")</f>
        <v/>
      </c>
      <c r="AR294" s="87" t="str">
        <f>IF(COUNTIF(Tabla[[#This Row],[Etiquetas]:[Etiquetas17]],"*Devuelto*")&gt;0,"SI","")</f>
        <v/>
      </c>
      <c r="AS294" s="167">
        <f>COUNTIF(Tabla[[#This Row],[Etiquetas]:[Etiquetas17]],"*Devuelto*")</f>
        <v>0</v>
      </c>
    </row>
    <row r="295" spans="1:45" ht="15" customHeight="1">
      <c r="A295" s="40" t="s">
        <v>128</v>
      </c>
      <c r="B295" s="40" t="s">
        <v>857</v>
      </c>
      <c r="C295" s="40">
        <v>91752</v>
      </c>
      <c r="D295" s="40" t="s">
        <v>858</v>
      </c>
      <c r="E295" s="40" t="s">
        <v>37</v>
      </c>
      <c r="F295" s="40" t="s">
        <v>26</v>
      </c>
      <c r="G295" s="40" t="s">
        <v>307</v>
      </c>
      <c r="H295" s="40" t="s">
        <v>224</v>
      </c>
      <c r="I295" s="40" t="s">
        <v>151</v>
      </c>
      <c r="J295" s="40"/>
      <c r="K295" s="40"/>
      <c r="L295" s="40"/>
      <c r="M295" s="40"/>
      <c r="N295" s="40"/>
      <c r="O295" s="40"/>
      <c r="P295" s="40"/>
      <c r="Q295" s="40"/>
      <c r="R295" s="40" t="s">
        <v>859</v>
      </c>
      <c r="S295" s="40" t="s">
        <v>516</v>
      </c>
      <c r="T295" s="40" t="s">
        <v>132</v>
      </c>
      <c r="U295" s="40" t="s">
        <v>804</v>
      </c>
      <c r="V295" s="40" t="s">
        <v>226</v>
      </c>
      <c r="W295" s="40" t="s">
        <v>154</v>
      </c>
      <c r="X295" s="40" t="s">
        <v>536</v>
      </c>
      <c r="Y295" s="40"/>
      <c r="Z295" s="40"/>
      <c r="AA295" s="40" t="s">
        <v>217</v>
      </c>
      <c r="AB295" s="53">
        <v>45902.495833333334</v>
      </c>
      <c r="AC295" s="40" t="s">
        <v>329</v>
      </c>
      <c r="AD295" s="40"/>
      <c r="AE295" s="40"/>
      <c r="AF295" s="40"/>
      <c r="AG295" s="40" t="s">
        <v>135</v>
      </c>
      <c r="AH295" s="10"/>
      <c r="AI295" s="87"/>
      <c r="AJ295" s="87" cm="1">
        <f t="array" ref="AJ295">IFERROR(_xlfn.XLOOKUP(TRUE,COUNTIF(Tabla[[#This Row],[Etiquetas]:[Etiquetas17]],Versiones!$G$2:$G$36)&gt;0,Versiones!$B$2:$B$36), "")</f>
        <v>18</v>
      </c>
      <c r="AK295" s="87" t="str" cm="1">
        <f t="array" ref="AK295">IFERROR(_xlfn.XLOOKUP(TRUE,COUNTIF(Tabla[[#This Row],[Etiquetas]:[Etiquetas17]],Versiones!$G$2:$G$36)&gt;0,Versiones!$A$2:$A$36), "")</f>
        <v>V0.6</v>
      </c>
      <c r="AL29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95" s="78">
        <f>IFERROR(_xlfn.XLOOKUP(Tabla[[#This Row],[¿En qué versión fue corregido?]],Versiones!$A$2:$A$34,Versiones!$B$2:$B$34),"No encontrado")</f>
        <v>24</v>
      </c>
      <c r="AN295" s="87" t="str" cm="1">
        <f t="array" ref="AN295">IFERROR(_xlfn.XLOOKUP(TRUE,COUNTIF(Tabla[[#This Row],[Etiquetas]:[Etiquetas17]],Categorías!$A$2:$A$12)&gt;0,Categorías!$A$2:$A$12),"No encontrado")</f>
        <v>Look&amp;Feel</v>
      </c>
      <c r="AO295" s="87" t="str" cm="1">
        <f t="array" ref="AO295">IFERROR(INDEX(Funcionalidades!$A$2:$A$80,MATCH(TRUE, COUNTIF(Reporte_Gral!R295:Z295,Funcionalidades!$A$2:$A$80)&gt;0,0)),"No encontrado")</f>
        <v>Fondeo-Inicial</v>
      </c>
      <c r="AP295" s="87" t="str">
        <f>IF(AND(COUNTIF(Tabla[[#This Row],[Etiquetas]:[Etiquetas17]],"*UAT_V*")&gt;0,COUNTIF(Tabla[[#This Row],[Etiquetas]:[Etiquetas17]],"*QA-Integración*")=0),"SI","")</f>
        <v/>
      </c>
      <c r="AQ295" s="88" t="str" cm="1">
        <f t="array" ref="AQ295">IF(Tabla[[#This Row],[Fue encontrado durante UAT?]]="SI",IFERROR(_xlfn.XLOOKUP(TRUE,ISNUMBER(SEARCH("UAT_V",Tabla[[#This Row],[Etiquetas]:[Etiquetas17]])),Tabla[[#This Row],[Etiquetas]:[Etiquetas17]]),""),"")</f>
        <v/>
      </c>
      <c r="AR295" s="87" t="str">
        <f>IF(COUNTIF(Tabla[[#This Row],[Etiquetas]:[Etiquetas17]],"*Devuelto*")&gt;0,"SI","")</f>
        <v/>
      </c>
      <c r="AS295" s="167">
        <f>COUNTIF(Tabla[[#This Row],[Etiquetas]:[Etiquetas17]],"*Devuelto*")</f>
        <v>0</v>
      </c>
    </row>
    <row r="296" spans="1:45" ht="15" customHeight="1">
      <c r="A296" s="40" t="s">
        <v>128</v>
      </c>
      <c r="B296" s="40" t="s">
        <v>860</v>
      </c>
      <c r="C296" s="40">
        <v>91734</v>
      </c>
      <c r="D296" s="40" t="s">
        <v>861</v>
      </c>
      <c r="E296" s="40" t="s">
        <v>40</v>
      </c>
      <c r="F296" s="40" t="s">
        <v>26</v>
      </c>
      <c r="G296" s="40" t="s">
        <v>224</v>
      </c>
      <c r="H296" s="40" t="s">
        <v>151</v>
      </c>
      <c r="I296" s="40"/>
      <c r="J296" s="40"/>
      <c r="K296" s="40"/>
      <c r="L296" s="40"/>
      <c r="M296" s="40"/>
      <c r="N296" s="40"/>
      <c r="O296" s="40"/>
      <c r="P296" s="40"/>
      <c r="Q296" s="40"/>
      <c r="R296" s="40" t="s">
        <v>435</v>
      </c>
      <c r="S296" s="40" t="s">
        <v>139</v>
      </c>
      <c r="T296" s="40" t="s">
        <v>371</v>
      </c>
      <c r="U296" s="40" t="s">
        <v>832</v>
      </c>
      <c r="V296" s="40" t="s">
        <v>226</v>
      </c>
      <c r="W296" s="40" t="s">
        <v>154</v>
      </c>
      <c r="X296" s="40" t="s">
        <v>188</v>
      </c>
      <c r="Y296" s="40" t="s">
        <v>536</v>
      </c>
      <c r="Z296" s="40"/>
      <c r="AA296" s="40" t="s">
        <v>261</v>
      </c>
      <c r="AB296" s="53">
        <v>45902.477083333331</v>
      </c>
      <c r="AC296" s="40" t="s">
        <v>174</v>
      </c>
      <c r="AD296" s="40"/>
      <c r="AE296" s="40"/>
      <c r="AF296" s="40"/>
      <c r="AG296" s="40" t="s">
        <v>135</v>
      </c>
      <c r="AH296" s="10"/>
      <c r="AI296" s="87"/>
      <c r="AJ296" s="87" cm="1">
        <f t="array" ref="AJ296">IFERROR(_xlfn.XLOOKUP(TRUE,COUNTIF(Tabla[[#This Row],[Etiquetas]:[Etiquetas17]],Versiones!$G$2:$G$36)&gt;0,Versiones!$B$2:$B$36), "")</f>
        <v>18</v>
      </c>
      <c r="AK296" s="87" t="str" cm="1">
        <f t="array" ref="AK296">IFERROR(_xlfn.XLOOKUP(TRUE,COUNTIF(Tabla[[#This Row],[Etiquetas]:[Etiquetas17]],Versiones!$G$2:$G$36)&gt;0,Versiones!$A$2:$A$36), "")</f>
        <v>V0.6</v>
      </c>
      <c r="AL29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296" s="78">
        <f>IFERROR(_xlfn.XLOOKUP(Tabla[[#This Row],[¿En qué versión fue corregido?]],Versiones!$A$2:$A$34,Versiones!$B$2:$B$34),"No encontrado")</f>
        <v>25</v>
      </c>
      <c r="AN296" s="87" t="str" cm="1">
        <f t="array" ref="AN296">IFERROR(_xlfn.XLOOKUP(TRUE,COUNTIF(Tabla[[#This Row],[Etiquetas]:[Etiquetas17]],Categorías!$A$2:$A$12)&gt;0,Categorías!$A$2:$A$12),"No encontrado")</f>
        <v>Funcional</v>
      </c>
      <c r="AO296" s="87" t="str" cm="1">
        <f t="array" ref="AO296">IFERROR(INDEX(Funcionalidades!$A$2:$A$80,MATCH(TRUE, COUNTIF(Reporte_Gral!R296:Z296,Funcionalidades!$A$2:$A$80)&gt;0,0)),"No encontrado")</f>
        <v>Bloqueo-De-Sesión</v>
      </c>
      <c r="AP296" s="87" t="str">
        <f>IF(AND(COUNTIF(Tabla[[#This Row],[Etiquetas]:[Etiquetas17]],"*UAT_V*")&gt;0,COUNTIF(Tabla[[#This Row],[Etiquetas]:[Etiquetas17]],"*QA-Integración*")=0),"SI","")</f>
        <v/>
      </c>
      <c r="AQ296" s="88" t="str" cm="1">
        <f t="array" ref="AQ296">IF(Tabla[[#This Row],[Fue encontrado durante UAT?]]="SI",IFERROR(_xlfn.XLOOKUP(TRUE,ISNUMBER(SEARCH("UAT_V",Tabla[[#This Row],[Etiquetas]:[Etiquetas17]])),Tabla[[#This Row],[Etiquetas]:[Etiquetas17]]),""),"")</f>
        <v/>
      </c>
      <c r="AR296" s="87" t="str">
        <f>IF(COUNTIF(Tabla[[#This Row],[Etiquetas]:[Etiquetas17]],"*Devuelto*")&gt;0,"SI","")</f>
        <v/>
      </c>
      <c r="AS296" s="167">
        <f>COUNTIF(Tabla[[#This Row],[Etiquetas]:[Etiquetas17]],"*Devuelto*")</f>
        <v>0</v>
      </c>
    </row>
    <row r="297" spans="1:45" ht="15" customHeight="1">
      <c r="A297" s="40" t="s">
        <v>128</v>
      </c>
      <c r="B297" s="40" t="s">
        <v>862</v>
      </c>
      <c r="C297" s="40">
        <v>91730</v>
      </c>
      <c r="D297" s="40" t="s">
        <v>863</v>
      </c>
      <c r="E297" s="40" t="s">
        <v>40</v>
      </c>
      <c r="F297" s="40" t="s">
        <v>26</v>
      </c>
      <c r="G297" s="40" t="s">
        <v>307</v>
      </c>
      <c r="H297" s="40" t="s">
        <v>224</v>
      </c>
      <c r="I297" s="40" t="s">
        <v>151</v>
      </c>
      <c r="J297" s="40"/>
      <c r="K297" s="40"/>
      <c r="L297" s="40"/>
      <c r="M297" s="40"/>
      <c r="N297" s="40"/>
      <c r="O297" s="40"/>
      <c r="P297" s="40"/>
      <c r="Q297" s="40"/>
      <c r="R297" s="40" t="s">
        <v>690</v>
      </c>
      <c r="S297" s="40" t="s">
        <v>371</v>
      </c>
      <c r="T297" s="40" t="s">
        <v>132</v>
      </c>
      <c r="U297" s="40" t="s">
        <v>804</v>
      </c>
      <c r="V297" s="40" t="s">
        <v>226</v>
      </c>
      <c r="W297" s="40" t="s">
        <v>154</v>
      </c>
      <c r="X297" s="40" t="s">
        <v>188</v>
      </c>
      <c r="Y297" s="40" t="s">
        <v>536</v>
      </c>
      <c r="Z297" s="40"/>
      <c r="AA297" s="40" t="s">
        <v>217</v>
      </c>
      <c r="AB297" s="53">
        <v>45902.472222222219</v>
      </c>
      <c r="AC297" s="40" t="s">
        <v>329</v>
      </c>
      <c r="AD297" s="40"/>
      <c r="AE297" s="40"/>
      <c r="AF297" s="40"/>
      <c r="AG297" s="40" t="s">
        <v>135</v>
      </c>
      <c r="AH297" s="10"/>
      <c r="AI297" s="87"/>
      <c r="AJ297" s="87" cm="1">
        <f t="array" ref="AJ297">IFERROR(_xlfn.XLOOKUP(TRUE,COUNTIF(Tabla[[#This Row],[Etiquetas]:[Etiquetas17]],Versiones!$G$2:$G$36)&gt;0,Versiones!$B$2:$B$36), "")</f>
        <v>18</v>
      </c>
      <c r="AK297" s="87" t="str" cm="1">
        <f t="array" ref="AK297">IFERROR(_xlfn.XLOOKUP(TRUE,COUNTIF(Tabla[[#This Row],[Etiquetas]:[Etiquetas17]],Versiones!$G$2:$G$36)&gt;0,Versiones!$A$2:$A$36), "")</f>
        <v>V0.6</v>
      </c>
      <c r="AL29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V0.14</v>
      </c>
      <c r="AM297" s="78">
        <f>IFERROR(_xlfn.XLOOKUP(Tabla[[#This Row],[¿En qué versión fue corregido?]],Versiones!$A$2:$A$34,Versiones!$B$2:$B$34),"No encontrado")</f>
        <v>24</v>
      </c>
      <c r="AN297" s="87" t="str" cm="1">
        <f t="array" ref="AN297">IFERROR(_xlfn.XLOOKUP(TRUE,COUNTIF(Tabla[[#This Row],[Etiquetas]:[Etiquetas17]],Categorías!$A$2:$A$12)&gt;0,Categorías!$A$2:$A$12),"No encontrado")</f>
        <v>Look&amp;Feel</v>
      </c>
      <c r="AO297" s="87" t="str" cm="1">
        <f t="array" ref="AO297">IFERROR(INDEX(Funcionalidades!$A$2:$A$80,MATCH(TRUE, COUNTIF(Reporte_Gral!R297:Z297,Funcionalidades!$A$2:$A$80)&gt;0,0)),"No encontrado")</f>
        <v>Bugs-Idioma</v>
      </c>
      <c r="AP297" s="87" t="str">
        <f>IF(AND(COUNTIF(Tabla[[#This Row],[Etiquetas]:[Etiquetas17]],"*UAT_V*")&gt;0,COUNTIF(Tabla[[#This Row],[Etiquetas]:[Etiquetas17]],"*QA-Integración*")=0),"SI","")</f>
        <v/>
      </c>
      <c r="AQ297" s="88" t="str" cm="1">
        <f t="array" ref="AQ297">IF(Tabla[[#This Row],[Fue encontrado durante UAT?]]="SI",IFERROR(_xlfn.XLOOKUP(TRUE,ISNUMBER(SEARCH("UAT_V",Tabla[[#This Row],[Etiquetas]:[Etiquetas17]])),Tabla[[#This Row],[Etiquetas]:[Etiquetas17]]),""),"")</f>
        <v/>
      </c>
      <c r="AR297" s="87" t="str">
        <f>IF(COUNTIF(Tabla[[#This Row],[Etiquetas]:[Etiquetas17]],"*Devuelto*")&gt;0,"SI","")</f>
        <v/>
      </c>
      <c r="AS297" s="167">
        <f>COUNTIF(Tabla[[#This Row],[Etiquetas]:[Etiquetas17]],"*Devuelto*")</f>
        <v>0</v>
      </c>
    </row>
    <row r="298" spans="1:45" ht="15" customHeight="1">
      <c r="A298" s="40" t="s">
        <v>128</v>
      </c>
      <c r="B298" s="40" t="s">
        <v>864</v>
      </c>
      <c r="C298" s="40">
        <v>90978</v>
      </c>
      <c r="D298" s="40" t="s">
        <v>865</v>
      </c>
      <c r="E298" s="40" t="s">
        <v>36</v>
      </c>
      <c r="F298" s="40" t="s">
        <v>26</v>
      </c>
      <c r="G298" s="40" t="s">
        <v>866</v>
      </c>
      <c r="H298" s="40" t="s">
        <v>802</v>
      </c>
      <c r="I298" s="40" t="s">
        <v>637</v>
      </c>
      <c r="J298" s="40" t="s">
        <v>561</v>
      </c>
      <c r="K298" s="40" t="s">
        <v>429</v>
      </c>
      <c r="L298" s="40" t="s">
        <v>307</v>
      </c>
      <c r="M298" s="40" t="s">
        <v>224</v>
      </c>
      <c r="N298" s="40" t="s">
        <v>151</v>
      </c>
      <c r="O298" s="40"/>
      <c r="P298" s="40"/>
      <c r="Q298" s="40"/>
      <c r="R298" s="40" t="s">
        <v>132</v>
      </c>
      <c r="S298" s="40" t="s">
        <v>835</v>
      </c>
      <c r="T298" s="40" t="s">
        <v>867</v>
      </c>
      <c r="U298" s="40" t="s">
        <v>152</v>
      </c>
      <c r="V298" s="40" t="s">
        <v>204</v>
      </c>
      <c r="W298" s="40" t="s">
        <v>153</v>
      </c>
      <c r="X298" s="40" t="s">
        <v>154</v>
      </c>
      <c r="Y298" s="40" t="s">
        <v>536</v>
      </c>
      <c r="Z298" s="40"/>
      <c r="AA298" s="40" t="s">
        <v>217</v>
      </c>
      <c r="AB298" s="53">
        <v>45898.640972222223</v>
      </c>
      <c r="AC298" s="40" t="s">
        <v>511</v>
      </c>
      <c r="AD298" s="40"/>
      <c r="AE298" s="40"/>
      <c r="AF298" s="40"/>
      <c r="AG298" s="40" t="s">
        <v>141</v>
      </c>
      <c r="AH298" s="10"/>
      <c r="AI298" s="87"/>
      <c r="AJ298" s="87" cm="1">
        <f t="array" ref="AJ298">IFERROR(_xlfn.XLOOKUP(TRUE,COUNTIF(Tabla[[#This Row],[Etiquetas]:[Etiquetas17]],Versiones!$G$2:$G$36)&gt;0,Versiones!$B$2:$B$36), "")</f>
        <v>17</v>
      </c>
      <c r="AK298" s="87" t="str" cm="1">
        <f t="array" ref="AK298">IFERROR(_xlfn.XLOOKUP(TRUE,COUNTIF(Tabla[[#This Row],[Etiquetas]:[Etiquetas17]],Versiones!$G$2:$G$36)&gt;0,Versiones!$A$2:$A$36), "")</f>
        <v>V0.6.1</v>
      </c>
      <c r="AL29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V0.13</v>
      </c>
      <c r="AM298" s="78">
        <f>IFERROR(_xlfn.XLOOKUP(Tabla[[#This Row],[¿En qué versión fue corregido?]],Versiones!$A$2:$A$34,Versiones!$B$2:$B$34),"No encontrado")</f>
        <v>23</v>
      </c>
      <c r="AN298" s="87" t="str" cm="1">
        <f t="array" ref="AN298">IFERROR(_xlfn.XLOOKUP(TRUE,COUNTIF(Tabla[[#This Row],[Etiquetas]:[Etiquetas17]],Categorías!$A$2:$A$12)&gt;0,Categorías!$A$2:$A$12),"No encontrado")</f>
        <v>Look&amp;Feel</v>
      </c>
      <c r="AO298" s="87" t="str" cm="1">
        <f t="array" ref="AO298">IFERROR(INDEX(Funcionalidades!$A$2:$A$80,MATCH(TRUE, COUNTIF(Reporte_Gral!R298:Z298,Funcionalidades!$A$2:$A$80)&gt;0,0)),"No encontrado")</f>
        <v>Registrar-Merma</v>
      </c>
      <c r="AP298" s="87" t="str">
        <f>IF(AND(COUNTIF(Tabla[[#This Row],[Etiquetas]:[Etiquetas17]],"*UAT_V*")&gt;0,COUNTIF(Tabla[[#This Row],[Etiquetas]:[Etiquetas17]],"*QA-Integración*")=0),"SI","")</f>
        <v/>
      </c>
      <c r="AQ298" s="88" t="str" cm="1">
        <f t="array" ref="AQ298">IF(Tabla[[#This Row],[Fue encontrado durante UAT?]]="SI",IFERROR(_xlfn.XLOOKUP(TRUE,ISNUMBER(SEARCH("UAT_V",Tabla[[#This Row],[Etiquetas]:[Etiquetas17]])),Tabla[[#This Row],[Etiquetas]:[Etiquetas17]]),""),"")</f>
        <v/>
      </c>
      <c r="AR298" s="87" t="str">
        <f>IF(COUNTIF(Tabla[[#This Row],[Etiquetas]:[Etiquetas17]],"*Devuelto*")&gt;0,"SI","")</f>
        <v/>
      </c>
      <c r="AS298" s="167">
        <f>COUNTIF(Tabla[[#This Row],[Etiquetas]:[Etiquetas17]],"*Devuelto*")</f>
        <v>0</v>
      </c>
    </row>
    <row r="299" spans="1:45" ht="15" customHeight="1">
      <c r="A299" s="40" t="s">
        <v>128</v>
      </c>
      <c r="B299" s="40" t="s">
        <v>868</v>
      </c>
      <c r="C299" s="40">
        <v>90484</v>
      </c>
      <c r="D299" s="40" t="s">
        <v>869</v>
      </c>
      <c r="E299" s="40" t="s">
        <v>36</v>
      </c>
      <c r="F299" s="40" t="s">
        <v>26</v>
      </c>
      <c r="G299" s="40" t="s">
        <v>866</v>
      </c>
      <c r="H299" s="40" t="s">
        <v>802</v>
      </c>
      <c r="I299" s="40"/>
      <c r="J299" s="40"/>
      <c r="K299" s="40"/>
      <c r="L299" s="40"/>
      <c r="M299" s="40"/>
      <c r="N299" s="40"/>
      <c r="O299" s="40"/>
      <c r="P299" s="40"/>
      <c r="Q299" s="40"/>
      <c r="R299" s="40" t="s">
        <v>435</v>
      </c>
      <c r="S299" s="40" t="s">
        <v>139</v>
      </c>
      <c r="T299" s="40" t="s">
        <v>867</v>
      </c>
      <c r="U299" s="40" t="s">
        <v>226</v>
      </c>
      <c r="V299" s="40" t="s">
        <v>154</v>
      </c>
      <c r="W299" s="40" t="s">
        <v>188</v>
      </c>
      <c r="X299" s="40"/>
      <c r="Y299" s="40"/>
      <c r="Z299" s="40"/>
      <c r="AA299" s="40" t="s">
        <v>217</v>
      </c>
      <c r="AB299" s="53">
        <v>45897.631249999999</v>
      </c>
      <c r="AC299" s="40" t="s">
        <v>806</v>
      </c>
      <c r="AD299" s="40"/>
      <c r="AE299" s="40"/>
      <c r="AF299" s="40"/>
      <c r="AG299" s="40" t="s">
        <v>135</v>
      </c>
      <c r="AH299" s="10"/>
      <c r="AI299" s="87"/>
      <c r="AJ299" s="87" cm="1">
        <f t="array" ref="AJ299">IFERROR(_xlfn.XLOOKUP(TRUE,COUNTIF(Tabla[[#This Row],[Etiquetas]:[Etiquetas17]],Versiones!$G$2:$G$36)&gt;0,Versiones!$B$2:$B$36), "")</f>
        <v>17</v>
      </c>
      <c r="AK299" s="87" t="str" cm="1">
        <f t="array" ref="AK299">IFERROR(_xlfn.XLOOKUP(TRUE,COUNTIF(Tabla[[#This Row],[Etiquetas]:[Etiquetas17]],Versiones!$G$2:$G$36)&gt;0,Versiones!$A$2:$A$36), "")</f>
        <v>V0.6.1</v>
      </c>
      <c r="AL29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299" s="78">
        <f>IFERROR(_xlfn.XLOOKUP(Tabla[[#This Row],[¿En qué versión fue corregido?]],Versiones!$A$2:$A$34,Versiones!$B$2:$B$34),"No encontrado")</f>
        <v>18</v>
      </c>
      <c r="AN299" s="87" t="str" cm="1">
        <f t="array" ref="AN299">IFERROR(_xlfn.XLOOKUP(TRUE,COUNTIF(Tabla[[#This Row],[Etiquetas]:[Etiquetas17]],Categorías!$A$2:$A$12)&gt;0,Categorías!$A$2:$A$12),"No encontrado")</f>
        <v>Funcional</v>
      </c>
      <c r="AO299" s="87" t="str" cm="1">
        <f t="array" ref="AO299">IFERROR(INDEX(Funcionalidades!$A$2:$A$80,MATCH(TRUE, COUNTIF(Reporte_Gral!R299:Z299,Funcionalidades!$A$2:$A$80)&gt;0,0)),"No encontrado")</f>
        <v>Bloqueo-De-Sesión</v>
      </c>
      <c r="AP299" s="87" t="str">
        <f>IF(AND(COUNTIF(Tabla[[#This Row],[Etiquetas]:[Etiquetas17]],"*UAT_V*")&gt;0,COUNTIF(Tabla[[#This Row],[Etiquetas]:[Etiquetas17]],"*QA-Integración*")=0),"SI","")</f>
        <v/>
      </c>
      <c r="AQ299" s="88" t="str" cm="1">
        <f t="array" ref="AQ299">IF(Tabla[[#This Row],[Fue encontrado durante UAT?]]="SI",IFERROR(_xlfn.XLOOKUP(TRUE,ISNUMBER(SEARCH("UAT_V",Tabla[[#This Row],[Etiquetas]:[Etiquetas17]])),Tabla[[#This Row],[Etiquetas]:[Etiquetas17]]),""),"")</f>
        <v/>
      </c>
      <c r="AR299" s="87" t="str">
        <f>IF(COUNTIF(Tabla[[#This Row],[Etiquetas]:[Etiquetas17]],"*Devuelto*")&gt;0,"SI","")</f>
        <v/>
      </c>
      <c r="AS299" s="167">
        <f>COUNTIF(Tabla[[#This Row],[Etiquetas]:[Etiquetas17]],"*Devuelto*")</f>
        <v>0</v>
      </c>
    </row>
    <row r="300" spans="1:45" ht="15" customHeight="1">
      <c r="A300" s="40" t="s">
        <v>128</v>
      </c>
      <c r="B300" s="40" t="s">
        <v>870</v>
      </c>
      <c r="C300" s="40">
        <v>90296</v>
      </c>
      <c r="D300" s="40" t="s">
        <v>871</v>
      </c>
      <c r="E300" s="40" t="s">
        <v>41</v>
      </c>
      <c r="F300" s="40" t="s">
        <v>26</v>
      </c>
      <c r="G300" s="40" t="s">
        <v>802</v>
      </c>
      <c r="H300" s="40" t="s">
        <v>753</v>
      </c>
      <c r="I300" s="40"/>
      <c r="J300" s="40"/>
      <c r="K300" s="40"/>
      <c r="L300" s="40"/>
      <c r="M300" s="40"/>
      <c r="N300" s="40"/>
      <c r="O300" s="40"/>
      <c r="P300" s="40"/>
      <c r="Q300" s="40"/>
      <c r="R300" s="40" t="s">
        <v>302</v>
      </c>
      <c r="S300" s="40" t="s">
        <v>139</v>
      </c>
      <c r="T300" s="40" t="s">
        <v>835</v>
      </c>
      <c r="U300" s="40" t="s">
        <v>872</v>
      </c>
      <c r="V300" s="40"/>
      <c r="W300" s="40"/>
      <c r="X300" s="40"/>
      <c r="Y300" s="40"/>
      <c r="Z300" s="40"/>
      <c r="AA300" s="40" t="s">
        <v>261</v>
      </c>
      <c r="AB300" s="53">
        <v>45896.714583333334</v>
      </c>
      <c r="AC300" s="40" t="s">
        <v>760</v>
      </c>
      <c r="AD300" s="40"/>
      <c r="AE300" s="40"/>
      <c r="AF300" s="40"/>
      <c r="AG300" s="40" t="s">
        <v>135</v>
      </c>
      <c r="AH300" s="10"/>
      <c r="AI300" s="87"/>
      <c r="AJ300" s="87" cm="1">
        <f t="array" ref="AJ300">IFERROR(_xlfn.XLOOKUP(TRUE,COUNTIF(Tabla[[#This Row],[Etiquetas]:[Etiquetas17]],Versiones!$G$2:$G$36)&gt;0,Versiones!$B$2:$B$36), "")</f>
        <v>17</v>
      </c>
      <c r="AK300" s="87" t="str" cm="1">
        <f t="array" ref="AK300">IFERROR(_xlfn.XLOOKUP(TRUE,COUNTIF(Tabla[[#This Row],[Etiquetas]:[Etiquetas17]],Versiones!$G$2:$G$36)&gt;0,Versiones!$A$2:$A$36), "")</f>
        <v>V0.6.1</v>
      </c>
      <c r="AL30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00" s="78">
        <f>IFERROR(_xlfn.XLOOKUP(Tabla[[#This Row],[¿En qué versión fue corregido?]],Versiones!$A$2:$A$34,Versiones!$B$2:$B$34),"No encontrado")</f>
        <v>19</v>
      </c>
      <c r="AN300" s="87" t="str" cm="1">
        <f t="array" ref="AN300">IFERROR(_xlfn.XLOOKUP(TRUE,COUNTIF(Tabla[[#This Row],[Etiquetas]:[Etiquetas17]],Categorías!$A$2:$A$12)&gt;0,Categorías!$A$2:$A$12),"No encontrado")</f>
        <v>Funcional</v>
      </c>
      <c r="AO300" s="87" t="str" cm="1">
        <f t="array" ref="AO300">IFERROR(INDEX(Funcionalidades!$A$2:$A$80,MATCH(TRUE, COUNTIF(Reporte_Gral!R300:Z300,Funcionalidades!$A$2:$A$80)&gt;0,0)),"No encontrado")</f>
        <v>Devoluciones</v>
      </c>
      <c r="AP300" s="87" t="str">
        <f>IF(AND(COUNTIF(Tabla[[#This Row],[Etiquetas]:[Etiquetas17]],"*UAT_V*")&gt;0,COUNTIF(Tabla[[#This Row],[Etiquetas]:[Etiquetas17]],"*QA-Integración*")=0),"SI","")</f>
        <v/>
      </c>
      <c r="AQ300" s="88" t="str" cm="1">
        <f t="array" ref="AQ300">IF(Tabla[[#This Row],[Fue encontrado durante UAT?]]="SI",IFERROR(_xlfn.XLOOKUP(TRUE,ISNUMBER(SEARCH("UAT_V",Tabla[[#This Row],[Etiquetas]:[Etiquetas17]])),Tabla[[#This Row],[Etiquetas]:[Etiquetas17]]),""),"")</f>
        <v/>
      </c>
      <c r="AR300" s="87" t="str">
        <f>IF(COUNTIF(Tabla[[#This Row],[Etiquetas]:[Etiquetas17]],"*Devuelto*")&gt;0,"SI","")</f>
        <v/>
      </c>
      <c r="AS300" s="167">
        <f>COUNTIF(Tabla[[#This Row],[Etiquetas]:[Etiquetas17]],"*Devuelto*")</f>
        <v>0</v>
      </c>
    </row>
    <row r="301" spans="1:45" ht="15" customHeight="1">
      <c r="A301" s="40" t="s">
        <v>128</v>
      </c>
      <c r="B301" s="40" t="s">
        <v>873</v>
      </c>
      <c r="C301" s="40">
        <v>90222</v>
      </c>
      <c r="D301" s="40" t="s">
        <v>874</v>
      </c>
      <c r="E301" s="40" t="s">
        <v>36</v>
      </c>
      <c r="F301" s="40" t="s">
        <v>26</v>
      </c>
      <c r="G301" s="40" t="s">
        <v>866</v>
      </c>
      <c r="H301" s="40" t="s">
        <v>802</v>
      </c>
      <c r="I301" s="40" t="s">
        <v>753</v>
      </c>
      <c r="J301" s="40"/>
      <c r="K301" s="40"/>
      <c r="L301" s="40"/>
      <c r="M301" s="40"/>
      <c r="N301" s="40"/>
      <c r="O301" s="40"/>
      <c r="P301" s="40"/>
      <c r="Q301" s="40"/>
      <c r="R301" s="40" t="s">
        <v>460</v>
      </c>
      <c r="S301" s="40" t="s">
        <v>139</v>
      </c>
      <c r="T301" s="40" t="s">
        <v>867</v>
      </c>
      <c r="U301" s="40"/>
      <c r="V301" s="40"/>
      <c r="W301" s="40"/>
      <c r="X301" s="40"/>
      <c r="Y301" s="40"/>
      <c r="Z301" s="40"/>
      <c r="AA301" s="40" t="s">
        <v>217</v>
      </c>
      <c r="AB301" s="53">
        <v>45896.630555555559</v>
      </c>
      <c r="AC301" s="40" t="s">
        <v>806</v>
      </c>
      <c r="AD301" s="40"/>
      <c r="AE301" s="40"/>
      <c r="AF301" s="40"/>
      <c r="AG301" s="40" t="s">
        <v>135</v>
      </c>
      <c r="AH301" s="10"/>
      <c r="AI301" s="87"/>
      <c r="AJ301" s="87" cm="1">
        <f t="array" ref="AJ301">IFERROR(_xlfn.XLOOKUP(TRUE,COUNTIF(Tabla[[#This Row],[Etiquetas]:[Etiquetas17]],Versiones!$G$2:$G$36)&gt;0,Versiones!$B$2:$B$36), "")</f>
        <v>17</v>
      </c>
      <c r="AK301" s="87" t="str" cm="1">
        <f t="array" ref="AK301">IFERROR(_xlfn.XLOOKUP(TRUE,COUNTIF(Tabla[[#This Row],[Etiquetas]:[Etiquetas17]],Versiones!$G$2:$G$36)&gt;0,Versiones!$A$2:$A$36), "")</f>
        <v>V0.6.1</v>
      </c>
      <c r="AL30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1" s="78">
        <f>IFERROR(_xlfn.XLOOKUP(Tabla[[#This Row],[¿En qué versión fue corregido?]],Versiones!$A$2:$A$34,Versiones!$B$2:$B$34),"No encontrado")</f>
        <v>18</v>
      </c>
      <c r="AN301" s="87" t="str" cm="1">
        <f t="array" ref="AN301">IFERROR(_xlfn.XLOOKUP(TRUE,COUNTIF(Tabla[[#This Row],[Etiquetas]:[Etiquetas17]],Categorías!$A$2:$A$12)&gt;0,Categorías!$A$2:$A$12),"No encontrado")</f>
        <v>Funcional</v>
      </c>
      <c r="AO301" s="87" t="str" cm="1">
        <f t="array" ref="AO301">IFERROR(INDEX(Funcionalidades!$A$2:$A$80,MATCH(TRUE, COUNTIF(Reporte_Gral!R301:Z301,Funcionalidades!$A$2:$A$80)&gt;0,0)),"No encontrado")</f>
        <v>Cancelar-Venta</v>
      </c>
      <c r="AP301" s="87" t="str">
        <f>IF(AND(COUNTIF(Tabla[[#This Row],[Etiquetas]:[Etiquetas17]],"*UAT_V*")&gt;0,COUNTIF(Tabla[[#This Row],[Etiquetas]:[Etiquetas17]],"*QA-Integración*")=0),"SI","")</f>
        <v/>
      </c>
      <c r="AQ301" s="88" t="str" cm="1">
        <f t="array" ref="AQ301">IF(Tabla[[#This Row],[Fue encontrado durante UAT?]]="SI",IFERROR(_xlfn.XLOOKUP(TRUE,ISNUMBER(SEARCH("UAT_V",Tabla[[#This Row],[Etiquetas]:[Etiquetas17]])),Tabla[[#This Row],[Etiquetas]:[Etiquetas17]]),""),"")</f>
        <v/>
      </c>
      <c r="AR301" s="87" t="str">
        <f>IF(COUNTIF(Tabla[[#This Row],[Etiquetas]:[Etiquetas17]],"*Devuelto*")&gt;0,"SI","")</f>
        <v/>
      </c>
      <c r="AS301" s="167">
        <f>COUNTIF(Tabla[[#This Row],[Etiquetas]:[Etiquetas17]],"*Devuelto*")</f>
        <v>0</v>
      </c>
    </row>
    <row r="302" spans="1:45" ht="15" customHeight="1">
      <c r="A302" s="40" t="s">
        <v>128</v>
      </c>
      <c r="B302" s="40" t="s">
        <v>875</v>
      </c>
      <c r="C302" s="40">
        <v>90190</v>
      </c>
      <c r="D302" s="40" t="s">
        <v>876</v>
      </c>
      <c r="E302" s="40" t="s">
        <v>37</v>
      </c>
      <c r="F302" s="40" t="s">
        <v>26</v>
      </c>
      <c r="G302" s="40" t="s">
        <v>866</v>
      </c>
      <c r="H302" s="40" t="s">
        <v>802</v>
      </c>
      <c r="I302" s="40"/>
      <c r="J302" s="40"/>
      <c r="K302" s="40"/>
      <c r="L302" s="40"/>
      <c r="M302" s="40"/>
      <c r="N302" s="40"/>
      <c r="O302" s="40"/>
      <c r="P302" s="40"/>
      <c r="Q302" s="40"/>
      <c r="R302" s="40" t="s">
        <v>877</v>
      </c>
      <c r="S302" s="40" t="s">
        <v>139</v>
      </c>
      <c r="T302" s="40" t="s">
        <v>872</v>
      </c>
      <c r="U302" s="40"/>
      <c r="V302" s="40"/>
      <c r="W302" s="40"/>
      <c r="X302" s="40"/>
      <c r="Y302" s="40"/>
      <c r="Z302" s="40"/>
      <c r="AA302" s="40" t="s">
        <v>261</v>
      </c>
      <c r="AB302" s="53">
        <v>45896.554166666669</v>
      </c>
      <c r="AC302" s="40" t="s">
        <v>806</v>
      </c>
      <c r="AD302" s="40"/>
      <c r="AE302" s="40"/>
      <c r="AF302" s="40"/>
      <c r="AG302" s="40" t="s">
        <v>135</v>
      </c>
      <c r="AH302" s="10"/>
      <c r="AI302" s="87"/>
      <c r="AJ302" s="87" cm="1">
        <f t="array" ref="AJ302">IFERROR(_xlfn.XLOOKUP(TRUE,COUNTIF(Tabla[[#This Row],[Etiquetas]:[Etiquetas17]],Versiones!$G$2:$G$36)&gt;0,Versiones!$B$2:$B$36), "")</f>
        <v>17</v>
      </c>
      <c r="AK302" s="87" t="str" cm="1">
        <f t="array" ref="AK302">IFERROR(_xlfn.XLOOKUP(TRUE,COUNTIF(Tabla[[#This Row],[Etiquetas]:[Etiquetas17]],Versiones!$G$2:$G$36)&gt;0,Versiones!$A$2:$A$36), "")</f>
        <v>V0.6.1</v>
      </c>
      <c r="AL30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2" s="78">
        <f>IFERROR(_xlfn.XLOOKUP(Tabla[[#This Row],[¿En qué versión fue corregido?]],Versiones!$A$2:$A$34,Versiones!$B$2:$B$34),"No encontrado")</f>
        <v>18</v>
      </c>
      <c r="AN302" s="87" t="str" cm="1">
        <f t="array" ref="AN302">IFERROR(_xlfn.XLOOKUP(TRUE,COUNTIF(Tabla[[#This Row],[Etiquetas]:[Etiquetas17]],Categorías!$A$2:$A$12)&gt;0,Categorías!$A$2:$A$12),"No encontrado")</f>
        <v>Funcional</v>
      </c>
      <c r="AO302" s="87" t="str" cm="1">
        <f t="array" ref="AO302">IFERROR(INDEX(Funcionalidades!$A$2:$A$80,MATCH(TRUE, COUNTIF(Reporte_Gral!R302:Z302,Funcionalidades!$A$2:$A$80)&gt;0,0)),"No encontrado")</f>
        <v>Checar-Precio</v>
      </c>
      <c r="AP302" s="87" t="str">
        <f>IF(AND(COUNTIF(Tabla[[#This Row],[Etiquetas]:[Etiquetas17]],"*UAT_V*")&gt;0,COUNTIF(Tabla[[#This Row],[Etiquetas]:[Etiquetas17]],"*QA-Integración*")=0),"SI","")</f>
        <v/>
      </c>
      <c r="AQ302" s="88" t="str" cm="1">
        <f t="array" ref="AQ302">IF(Tabla[[#This Row],[Fue encontrado durante UAT?]]="SI",IFERROR(_xlfn.XLOOKUP(TRUE,ISNUMBER(SEARCH("UAT_V",Tabla[[#This Row],[Etiquetas]:[Etiquetas17]])),Tabla[[#This Row],[Etiquetas]:[Etiquetas17]]),""),"")</f>
        <v/>
      </c>
      <c r="AR302" s="87" t="str">
        <f>IF(COUNTIF(Tabla[[#This Row],[Etiquetas]:[Etiquetas17]],"*Devuelto*")&gt;0,"SI","")</f>
        <v/>
      </c>
      <c r="AS302" s="167">
        <f>COUNTIF(Tabla[[#This Row],[Etiquetas]:[Etiquetas17]],"*Devuelto*")</f>
        <v>0</v>
      </c>
    </row>
    <row r="303" spans="1:45" ht="15" customHeight="1">
      <c r="A303" s="40" t="s">
        <v>128</v>
      </c>
      <c r="B303" s="40" t="s">
        <v>878</v>
      </c>
      <c r="C303" s="40">
        <v>90143</v>
      </c>
      <c r="D303" s="40" t="s">
        <v>879</v>
      </c>
      <c r="E303" s="40" t="s">
        <v>37</v>
      </c>
      <c r="F303" s="40" t="s">
        <v>26</v>
      </c>
      <c r="G303" s="40" t="s">
        <v>866</v>
      </c>
      <c r="H303" s="40" t="s">
        <v>802</v>
      </c>
      <c r="I303" s="40"/>
      <c r="J303" s="40"/>
      <c r="K303" s="40"/>
      <c r="L303" s="40"/>
      <c r="M303" s="40"/>
      <c r="N303" s="40"/>
      <c r="O303" s="40"/>
      <c r="P303" s="40"/>
      <c r="Q303" s="40"/>
      <c r="R303" s="40" t="s">
        <v>139</v>
      </c>
      <c r="S303" s="40" t="s">
        <v>481</v>
      </c>
      <c r="T303" s="40" t="s">
        <v>872</v>
      </c>
      <c r="U303" s="40" t="s">
        <v>226</v>
      </c>
      <c r="V303" s="40" t="s">
        <v>154</v>
      </c>
      <c r="W303" s="40"/>
      <c r="X303" s="40"/>
      <c r="Y303" s="40"/>
      <c r="Z303" s="40"/>
      <c r="AA303" s="40" t="s">
        <v>261</v>
      </c>
      <c r="AB303" s="53">
        <v>45896.479861111111</v>
      </c>
      <c r="AC303" s="40" t="s">
        <v>806</v>
      </c>
      <c r="AD303" s="40"/>
      <c r="AE303" s="40"/>
      <c r="AF303" s="40"/>
      <c r="AG303" s="40" t="s">
        <v>135</v>
      </c>
      <c r="AH303" s="10"/>
      <c r="AI303" s="87"/>
      <c r="AJ303" s="87" cm="1">
        <f t="array" ref="AJ303">IFERROR(_xlfn.XLOOKUP(TRUE,COUNTIF(Tabla[[#This Row],[Etiquetas]:[Etiquetas17]],Versiones!$G$2:$G$36)&gt;0,Versiones!$B$2:$B$36), "")</f>
        <v>17</v>
      </c>
      <c r="AK303" s="87" t="str" cm="1">
        <f t="array" ref="AK303">IFERROR(_xlfn.XLOOKUP(TRUE,COUNTIF(Tabla[[#This Row],[Etiquetas]:[Etiquetas17]],Versiones!$G$2:$G$36)&gt;0,Versiones!$A$2:$A$36), "")</f>
        <v>V0.6.1</v>
      </c>
      <c r="AL30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3" s="78">
        <f>IFERROR(_xlfn.XLOOKUP(Tabla[[#This Row],[¿En qué versión fue corregido?]],Versiones!$A$2:$A$34,Versiones!$B$2:$B$34),"No encontrado")</f>
        <v>18</v>
      </c>
      <c r="AN303" s="87" t="str" cm="1">
        <f t="array" ref="AN303">IFERROR(_xlfn.XLOOKUP(TRUE,COUNTIF(Tabla[[#This Row],[Etiquetas]:[Etiquetas17]],Categorías!$A$2:$A$12)&gt;0,Categorías!$A$2:$A$12),"No encontrado")</f>
        <v>Funcional</v>
      </c>
      <c r="AO303" s="87" t="str" cm="1">
        <f t="array" ref="AO303">IFERROR(INDEX(Funcionalidades!$A$2:$A$80,MATCH(TRUE, COUNTIF(Reporte_Gral!R303:Z303,Funcionalidades!$A$2:$A$80)&gt;0,0)),"No encontrado")</f>
        <v>Iniciar_Venta</v>
      </c>
      <c r="AP303" s="87" t="str">
        <f>IF(AND(COUNTIF(Tabla[[#This Row],[Etiquetas]:[Etiquetas17]],"*UAT_V*")&gt;0,COUNTIF(Tabla[[#This Row],[Etiquetas]:[Etiquetas17]],"*QA-Integración*")=0),"SI","")</f>
        <v/>
      </c>
      <c r="AQ303" s="88" t="str" cm="1">
        <f t="array" ref="AQ303">IF(Tabla[[#This Row],[Fue encontrado durante UAT?]]="SI",IFERROR(_xlfn.XLOOKUP(TRUE,ISNUMBER(SEARCH("UAT_V",Tabla[[#This Row],[Etiquetas]:[Etiquetas17]])),Tabla[[#This Row],[Etiquetas]:[Etiquetas17]]),""),"")</f>
        <v/>
      </c>
      <c r="AR303" s="87" t="str">
        <f>IF(COUNTIF(Tabla[[#This Row],[Etiquetas]:[Etiquetas17]],"*Devuelto*")&gt;0,"SI","")</f>
        <v/>
      </c>
      <c r="AS303" s="167">
        <f>COUNTIF(Tabla[[#This Row],[Etiquetas]:[Etiquetas17]],"*Devuelto*")</f>
        <v>0</v>
      </c>
    </row>
    <row r="304" spans="1:45" ht="15" customHeight="1">
      <c r="A304" s="40" t="s">
        <v>128</v>
      </c>
      <c r="B304" s="40" t="s">
        <v>880</v>
      </c>
      <c r="C304" s="40">
        <v>90021</v>
      </c>
      <c r="D304" s="40" t="s">
        <v>881</v>
      </c>
      <c r="E304" s="40" t="s">
        <v>37</v>
      </c>
      <c r="F304" s="40" t="s">
        <v>26</v>
      </c>
      <c r="G304" s="40" t="s">
        <v>866</v>
      </c>
      <c r="H304" s="40" t="s">
        <v>802</v>
      </c>
      <c r="I304" s="40"/>
      <c r="J304" s="40"/>
      <c r="K304" s="40"/>
      <c r="L304" s="40"/>
      <c r="M304" s="40"/>
      <c r="N304" s="40"/>
      <c r="O304" s="40"/>
      <c r="P304" s="40"/>
      <c r="Q304" s="40"/>
      <c r="R304" s="40" t="s">
        <v>490</v>
      </c>
      <c r="S304" s="40" t="s">
        <v>859</v>
      </c>
      <c r="T304" s="40" t="s">
        <v>872</v>
      </c>
      <c r="U304" s="40" t="s">
        <v>204</v>
      </c>
      <c r="V304" s="40" t="s">
        <v>153</v>
      </c>
      <c r="W304" s="40" t="s">
        <v>226</v>
      </c>
      <c r="X304" s="40" t="s">
        <v>154</v>
      </c>
      <c r="Y304" s="40"/>
      <c r="Z304" s="40"/>
      <c r="AA304" s="40" t="s">
        <v>261</v>
      </c>
      <c r="AB304" s="53">
        <v>45895.704861111109</v>
      </c>
      <c r="AC304" s="40" t="s">
        <v>806</v>
      </c>
      <c r="AD304" s="40"/>
      <c r="AE304" s="40"/>
      <c r="AF304" s="40"/>
      <c r="AG304" s="40" t="s">
        <v>141</v>
      </c>
      <c r="AH304" s="10"/>
      <c r="AI304" s="87"/>
      <c r="AJ304" s="87" cm="1">
        <f t="array" ref="AJ304">IFERROR(_xlfn.XLOOKUP(TRUE,COUNTIF(Tabla[[#This Row],[Etiquetas]:[Etiquetas17]],Versiones!$G$2:$G$36)&gt;0,Versiones!$B$2:$B$36), "")</f>
        <v>17</v>
      </c>
      <c r="AK304" s="87" t="str" cm="1">
        <f t="array" ref="AK304">IFERROR(_xlfn.XLOOKUP(TRUE,COUNTIF(Tabla[[#This Row],[Etiquetas]:[Etiquetas17]],Versiones!$G$2:$G$36)&gt;0,Versiones!$A$2:$A$36), "")</f>
        <v>V0.6.1</v>
      </c>
      <c r="AL30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4" s="78">
        <f>IFERROR(_xlfn.XLOOKUP(Tabla[[#This Row],[¿En qué versión fue corregido?]],Versiones!$A$2:$A$34,Versiones!$B$2:$B$34),"No encontrado")</f>
        <v>18</v>
      </c>
      <c r="AN304" s="87" t="str" cm="1">
        <f t="array" ref="AN304">IFERROR(_xlfn.XLOOKUP(TRUE,COUNTIF(Tabla[[#This Row],[Etiquetas]:[Etiquetas17]],Categorías!$A$2:$A$12)&gt;0,Categorías!$A$2:$A$12),"No encontrado")</f>
        <v>Contenido/Datos</v>
      </c>
      <c r="AO304" s="87" t="str" cm="1">
        <f t="array" ref="AO304">IFERROR(INDEX(Funcionalidades!$A$2:$A$80,MATCH(TRUE, COUNTIF(Reporte_Gral!R304:Z304,Funcionalidades!$A$2:$A$80)&gt;0,0)),"No encontrado")</f>
        <v>Fondeo-Inicial</v>
      </c>
      <c r="AP304" s="87" t="str">
        <f>IF(AND(COUNTIF(Tabla[[#This Row],[Etiquetas]:[Etiquetas17]],"*UAT_V*")&gt;0,COUNTIF(Tabla[[#This Row],[Etiquetas]:[Etiquetas17]],"*QA-Integración*")=0),"SI","")</f>
        <v/>
      </c>
      <c r="AQ304" s="88" t="str" cm="1">
        <f t="array" ref="AQ304">IF(Tabla[[#This Row],[Fue encontrado durante UAT?]]="SI",IFERROR(_xlfn.XLOOKUP(TRUE,ISNUMBER(SEARCH("UAT_V",Tabla[[#This Row],[Etiquetas]:[Etiquetas17]])),Tabla[[#This Row],[Etiquetas]:[Etiquetas17]]),""),"")</f>
        <v/>
      </c>
      <c r="AR304" s="87" t="str">
        <f>IF(COUNTIF(Tabla[[#This Row],[Etiquetas]:[Etiquetas17]],"*Devuelto*")&gt;0,"SI","")</f>
        <v/>
      </c>
      <c r="AS304" s="167">
        <f>COUNTIF(Tabla[[#This Row],[Etiquetas]:[Etiquetas17]],"*Devuelto*")</f>
        <v>0</v>
      </c>
    </row>
    <row r="305" spans="1:45" ht="15" customHeight="1">
      <c r="A305" s="40" t="s">
        <v>128</v>
      </c>
      <c r="B305" s="40" t="s">
        <v>882</v>
      </c>
      <c r="C305" s="40">
        <v>90007</v>
      </c>
      <c r="D305" s="40" t="s">
        <v>883</v>
      </c>
      <c r="E305" s="40" t="s">
        <v>36</v>
      </c>
      <c r="F305" s="40" t="s">
        <v>27</v>
      </c>
      <c r="G305" s="40" t="s">
        <v>866</v>
      </c>
      <c r="H305" s="40" t="s">
        <v>802</v>
      </c>
      <c r="I305" s="40"/>
      <c r="J305" s="40"/>
      <c r="K305" s="40"/>
      <c r="L305" s="40"/>
      <c r="M305" s="40"/>
      <c r="N305" s="40"/>
      <c r="O305" s="40"/>
      <c r="P305" s="40"/>
      <c r="Q305" s="40"/>
      <c r="R305" s="40" t="s">
        <v>158</v>
      </c>
      <c r="S305" s="40" t="s">
        <v>420</v>
      </c>
      <c r="T305" s="40" t="s">
        <v>884</v>
      </c>
      <c r="U305" s="40" t="s">
        <v>139</v>
      </c>
      <c r="V305" s="40" t="s">
        <v>872</v>
      </c>
      <c r="W305" s="40" t="s">
        <v>204</v>
      </c>
      <c r="X305" s="40" t="s">
        <v>154</v>
      </c>
      <c r="Y305" s="40" t="s">
        <v>634</v>
      </c>
      <c r="Z305" s="40"/>
      <c r="AA305" s="40" t="s">
        <v>261</v>
      </c>
      <c r="AB305" s="53">
        <v>45895.677083333336</v>
      </c>
      <c r="AC305" s="40" t="s">
        <v>806</v>
      </c>
      <c r="AD305" s="40"/>
      <c r="AE305" s="40"/>
      <c r="AF305" s="40"/>
      <c r="AG305" s="40" t="s">
        <v>141</v>
      </c>
      <c r="AH305" s="10"/>
      <c r="AI305" s="87"/>
      <c r="AJ305" s="87" cm="1">
        <f t="array" ref="AJ305">IFERROR(_xlfn.XLOOKUP(TRUE,COUNTIF(Tabla[[#This Row],[Etiquetas]:[Etiquetas17]],Versiones!$G$2:$G$36)&gt;0,Versiones!$B$2:$B$36), "")</f>
        <v>17</v>
      </c>
      <c r="AK305" s="87" t="str" cm="1">
        <f t="array" ref="AK305">IFERROR(_xlfn.XLOOKUP(TRUE,COUNTIF(Tabla[[#This Row],[Etiquetas]:[Etiquetas17]],Versiones!$G$2:$G$36)&gt;0,Versiones!$A$2:$A$36), "")</f>
        <v>V0.6.1</v>
      </c>
      <c r="AL30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5" s="78">
        <f>IFERROR(_xlfn.XLOOKUP(Tabla[[#This Row],[¿En qué versión fue corregido?]],Versiones!$A$2:$A$34,Versiones!$B$2:$B$34),"No encontrado")</f>
        <v>18</v>
      </c>
      <c r="AN305" s="87" t="str" cm="1">
        <f t="array" ref="AN305">IFERROR(_xlfn.XLOOKUP(TRUE,COUNTIF(Tabla[[#This Row],[Etiquetas]:[Etiquetas17]],Categorías!$A$2:$A$12)&gt;0,Categorías!$A$2:$A$12),"No encontrado")</f>
        <v>Funcional</v>
      </c>
      <c r="AO305" s="87" t="str" cm="1">
        <f t="array" ref="AO305">IFERROR(INDEX(Funcionalidades!$A$2:$A$80,MATCH(TRUE, COUNTIF(Reporte_Gral!R305:Z305,Funcionalidades!$A$2:$A$80)&gt;0,0)),"No encontrado")</f>
        <v>Alivios</v>
      </c>
      <c r="AP305" s="87" t="str">
        <f>IF(AND(COUNTIF(Tabla[[#This Row],[Etiquetas]:[Etiquetas17]],"*UAT_V*")&gt;0,COUNTIF(Tabla[[#This Row],[Etiquetas]:[Etiquetas17]],"*QA-Integración*")=0),"SI","")</f>
        <v/>
      </c>
      <c r="AQ305" s="88" t="str" cm="1">
        <f t="array" ref="AQ305">IF(Tabla[[#This Row],[Fue encontrado durante UAT?]]="SI",IFERROR(_xlfn.XLOOKUP(TRUE,ISNUMBER(SEARCH("UAT_V",Tabla[[#This Row],[Etiquetas]:[Etiquetas17]])),Tabla[[#This Row],[Etiquetas]:[Etiquetas17]]),""),"")</f>
        <v/>
      </c>
      <c r="AR305" s="87" t="str">
        <f>IF(COUNTIF(Tabla[[#This Row],[Etiquetas]:[Etiquetas17]],"*Devuelto*")&gt;0,"SI","")</f>
        <v>SI</v>
      </c>
      <c r="AS305" s="167">
        <f>COUNTIF(Tabla[[#This Row],[Etiquetas]:[Etiquetas17]],"*Devuelto*")</f>
        <v>1</v>
      </c>
    </row>
    <row r="306" spans="1:45" ht="15" customHeight="1">
      <c r="A306" s="40" t="s">
        <v>128</v>
      </c>
      <c r="B306" s="40" t="s">
        <v>885</v>
      </c>
      <c r="C306" s="40">
        <v>89957</v>
      </c>
      <c r="D306" s="40" t="s">
        <v>886</v>
      </c>
      <c r="E306" s="40" t="s">
        <v>37</v>
      </c>
      <c r="F306" s="40" t="s">
        <v>26</v>
      </c>
      <c r="G306" s="40" t="s">
        <v>866</v>
      </c>
      <c r="H306" s="40" t="s">
        <v>802</v>
      </c>
      <c r="I306" s="40"/>
      <c r="J306" s="40"/>
      <c r="K306" s="40"/>
      <c r="L306" s="40"/>
      <c r="M306" s="40"/>
      <c r="N306" s="40"/>
      <c r="O306" s="40"/>
      <c r="P306" s="40"/>
      <c r="Q306" s="40"/>
      <c r="R306" s="40" t="s">
        <v>663</v>
      </c>
      <c r="S306" s="40" t="s">
        <v>139</v>
      </c>
      <c r="T306" s="40" t="s">
        <v>867</v>
      </c>
      <c r="U306" s="40" t="s">
        <v>204</v>
      </c>
      <c r="V306" s="40" t="s">
        <v>154</v>
      </c>
      <c r="W306" s="40"/>
      <c r="X306" s="40"/>
      <c r="Y306" s="40"/>
      <c r="Z306" s="40"/>
      <c r="AA306" s="40" t="s">
        <v>217</v>
      </c>
      <c r="AB306" s="53">
        <v>45895.569444444445</v>
      </c>
      <c r="AC306" s="40" t="s">
        <v>806</v>
      </c>
      <c r="AD306" s="40"/>
      <c r="AE306" s="40"/>
      <c r="AF306" s="40"/>
      <c r="AG306" s="40" t="s">
        <v>141</v>
      </c>
      <c r="AH306" s="10"/>
      <c r="AI306" s="87"/>
      <c r="AJ306" s="87" cm="1">
        <f t="array" ref="AJ306">IFERROR(_xlfn.XLOOKUP(TRUE,COUNTIF(Tabla[[#This Row],[Etiquetas]:[Etiquetas17]],Versiones!$G$2:$G$36)&gt;0,Versiones!$B$2:$B$36), "")</f>
        <v>17</v>
      </c>
      <c r="AK306" s="87" t="str" cm="1">
        <f t="array" ref="AK306">IFERROR(_xlfn.XLOOKUP(TRUE,COUNTIF(Tabla[[#This Row],[Etiquetas]:[Etiquetas17]],Versiones!$G$2:$G$36)&gt;0,Versiones!$A$2:$A$36), "")</f>
        <v>V0.6.1</v>
      </c>
      <c r="AL30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6" s="78">
        <f>IFERROR(_xlfn.XLOOKUP(Tabla[[#This Row],[¿En qué versión fue corregido?]],Versiones!$A$2:$A$34,Versiones!$B$2:$B$34),"No encontrado")</f>
        <v>18</v>
      </c>
      <c r="AN306" s="87" t="str" cm="1">
        <f t="array" ref="AN306">IFERROR(_xlfn.XLOOKUP(TRUE,COUNTIF(Tabla[[#This Row],[Etiquetas]:[Etiquetas17]],Categorías!$A$2:$A$12)&gt;0,Categorías!$A$2:$A$12),"No encontrado")</f>
        <v>Funcional</v>
      </c>
      <c r="AO306" s="87" t="str" cm="1">
        <f t="array" ref="AO306">IFERROR(INDEX(Funcionalidades!$A$2:$A$80,MATCH(TRUE, COUNTIF(Reporte_Gral!R306:Z306,Funcionalidades!$A$2:$A$80)&gt;0,0)),"No encontrado")</f>
        <v>Confirmar-Inicio-De-Turno</v>
      </c>
      <c r="AP306" s="87" t="str">
        <f>IF(AND(COUNTIF(Tabla[[#This Row],[Etiquetas]:[Etiquetas17]],"*UAT_V*")&gt;0,COUNTIF(Tabla[[#This Row],[Etiquetas]:[Etiquetas17]],"*QA-Integración*")=0),"SI","")</f>
        <v/>
      </c>
      <c r="AQ306" s="88" t="str" cm="1">
        <f t="array" ref="AQ306">IF(Tabla[[#This Row],[Fue encontrado durante UAT?]]="SI",IFERROR(_xlfn.XLOOKUP(TRUE,ISNUMBER(SEARCH("UAT_V",Tabla[[#This Row],[Etiquetas]:[Etiquetas17]])),Tabla[[#This Row],[Etiquetas]:[Etiquetas17]]),""),"")</f>
        <v/>
      </c>
      <c r="AR306" s="87" t="str">
        <f>IF(COUNTIF(Tabla[[#This Row],[Etiquetas]:[Etiquetas17]],"*Devuelto*")&gt;0,"SI","")</f>
        <v/>
      </c>
      <c r="AS306" s="167">
        <f>COUNTIF(Tabla[[#This Row],[Etiquetas]:[Etiquetas17]],"*Devuelto*")</f>
        <v>0</v>
      </c>
    </row>
    <row r="307" spans="1:45" ht="15" customHeight="1">
      <c r="A307" s="40" t="s">
        <v>128</v>
      </c>
      <c r="B307" s="40" t="s">
        <v>887</v>
      </c>
      <c r="C307" s="40">
        <v>89615</v>
      </c>
      <c r="D307" s="40" t="s">
        <v>888</v>
      </c>
      <c r="E307" s="40" t="s">
        <v>37</v>
      </c>
      <c r="F307" s="40" t="s">
        <v>24</v>
      </c>
      <c r="G307" s="40" t="s">
        <v>866</v>
      </c>
      <c r="H307" s="40" t="s">
        <v>802</v>
      </c>
      <c r="I307" s="40" t="s">
        <v>753</v>
      </c>
      <c r="J307" s="40" t="s">
        <v>721</v>
      </c>
      <c r="K307" s="40" t="s">
        <v>637</v>
      </c>
      <c r="L307" s="40" t="s">
        <v>561</v>
      </c>
      <c r="M307" s="40" t="s">
        <v>429</v>
      </c>
      <c r="N307" s="40" t="s">
        <v>307</v>
      </c>
      <c r="O307" s="40" t="s">
        <v>224</v>
      </c>
      <c r="P307" s="40" t="s">
        <v>151</v>
      </c>
      <c r="Q307" s="40"/>
      <c r="R307" s="40" t="s">
        <v>139</v>
      </c>
      <c r="S307" s="40" t="s">
        <v>598</v>
      </c>
      <c r="T307" s="40" t="s">
        <v>889</v>
      </c>
      <c r="U307" s="40"/>
      <c r="V307" s="40"/>
      <c r="W307" s="40"/>
      <c r="X307" s="40"/>
      <c r="Y307" s="40"/>
      <c r="Z307" s="40"/>
      <c r="AA307" s="40" t="s">
        <v>324</v>
      </c>
      <c r="AB307" s="53">
        <v>45894.412499999999</v>
      </c>
      <c r="AC307" s="40"/>
      <c r="AD307" s="40"/>
      <c r="AE307" s="40"/>
      <c r="AF307" s="40"/>
      <c r="AG307" s="40" t="s">
        <v>141</v>
      </c>
      <c r="AH307" s="10"/>
      <c r="AI307" s="87"/>
      <c r="AJ307" s="87" cm="1">
        <f t="array" ref="AJ307">IFERROR(_xlfn.XLOOKUP(TRUE,COUNTIF(Tabla[[#This Row],[Etiquetas]:[Etiquetas17]],Versiones!$G$2:$G$36)&gt;0,Versiones!$B$2:$B$36), "")</f>
        <v>17</v>
      </c>
      <c r="AK307" s="87" t="str" cm="1">
        <f t="array" ref="AK307">IFERROR(_xlfn.XLOOKUP(TRUE,COUNTIF(Tabla[[#This Row],[Etiquetas]:[Etiquetas17]],Versiones!$G$2:$G$36)&gt;0,Versiones!$A$2:$A$36), "")</f>
        <v>V0.5</v>
      </c>
      <c r="AL30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07" s="78" t="str">
        <f>IFERROR(_xlfn.XLOOKUP(Tabla[[#This Row],[¿En qué versión fue corregido?]],Versiones!$A$2:$A$34,Versiones!$B$2:$B$34),"No encontrado")</f>
        <v>No encontrado</v>
      </c>
      <c r="AN307" s="87" t="str" cm="1">
        <f t="array" ref="AN307">IFERROR(_xlfn.XLOOKUP(TRUE,COUNTIF(Tabla[[#This Row],[Etiquetas]:[Etiquetas17]],Categorías!$A$2:$A$12)&gt;0,Categorías!$A$2:$A$12),"No encontrado")</f>
        <v>Funcional</v>
      </c>
      <c r="AO307" s="87" t="str" cm="1">
        <f t="array" ref="AO307">IFERROR(INDEX(Funcionalidades!$A$2:$A$80,MATCH(TRUE, COUNTIF(Reporte_Gral!R307:Z307,Funcionalidades!$A$2:$A$80)&gt;0,0)),"No encontrado")</f>
        <v>Logout</v>
      </c>
      <c r="AP307" s="87" t="str">
        <f>IF(AND(COUNTIF(Tabla[[#This Row],[Etiquetas]:[Etiquetas17]],"*UAT_V*")&gt;0,COUNTIF(Tabla[[#This Row],[Etiquetas]:[Etiquetas17]],"*QA-Integración*")=0),"SI","")</f>
        <v/>
      </c>
      <c r="AQ307" s="88" t="str" cm="1">
        <f t="array" ref="AQ307">IF(Tabla[[#This Row],[Fue encontrado durante UAT?]]="SI",IFERROR(_xlfn.XLOOKUP(TRUE,ISNUMBER(SEARCH("UAT_V",Tabla[[#This Row],[Etiquetas]:[Etiquetas17]])),Tabla[[#This Row],[Etiquetas]:[Etiquetas17]]),""),"")</f>
        <v/>
      </c>
      <c r="AR307" s="87" t="str">
        <f>IF(COUNTIF(Tabla[[#This Row],[Etiquetas]:[Etiquetas17]],"*Devuelto*")&gt;0,"SI","")</f>
        <v/>
      </c>
      <c r="AS307" s="167">
        <f>COUNTIF(Tabla[[#This Row],[Etiquetas]:[Etiquetas17]],"*Devuelto*")</f>
        <v>0</v>
      </c>
    </row>
    <row r="308" spans="1:45" ht="15" customHeight="1">
      <c r="A308" s="40" t="s">
        <v>128</v>
      </c>
      <c r="B308" s="40" t="s">
        <v>890</v>
      </c>
      <c r="C308" s="40">
        <v>89612</v>
      </c>
      <c r="D308" s="40" t="s">
        <v>891</v>
      </c>
      <c r="E308" s="40" t="s">
        <v>36</v>
      </c>
      <c r="F308" s="40" t="s">
        <v>26</v>
      </c>
      <c r="G308" s="40" t="s">
        <v>866</v>
      </c>
      <c r="H308" s="40" t="s">
        <v>802</v>
      </c>
      <c r="I308" s="40" t="s">
        <v>753</v>
      </c>
      <c r="J308" s="40"/>
      <c r="K308" s="40"/>
      <c r="L308" s="40"/>
      <c r="M308" s="40"/>
      <c r="N308" s="40"/>
      <c r="O308" s="40"/>
      <c r="P308" s="40"/>
      <c r="Q308" s="40"/>
      <c r="R308" s="40" t="s">
        <v>139</v>
      </c>
      <c r="S308" s="40" t="s">
        <v>598</v>
      </c>
      <c r="T308" s="40" t="s">
        <v>867</v>
      </c>
      <c r="U308" s="40" t="s">
        <v>204</v>
      </c>
      <c r="V308" s="40" t="s">
        <v>154</v>
      </c>
      <c r="W308" s="40"/>
      <c r="X308" s="40"/>
      <c r="Y308" s="40"/>
      <c r="Z308" s="40"/>
      <c r="AA308" s="40" t="s">
        <v>324</v>
      </c>
      <c r="AB308" s="53">
        <v>45894.404166666667</v>
      </c>
      <c r="AC308" s="40" t="s">
        <v>710</v>
      </c>
      <c r="AD308" s="40"/>
      <c r="AE308" s="40"/>
      <c r="AF308" s="40"/>
      <c r="AG308" s="40" t="s">
        <v>141</v>
      </c>
      <c r="AH308" s="10"/>
      <c r="AI308" s="87"/>
      <c r="AJ308" s="87" cm="1">
        <f t="array" ref="AJ308">IFERROR(_xlfn.XLOOKUP(TRUE,COUNTIF(Tabla[[#This Row],[Etiquetas]:[Etiquetas17]],Versiones!$G$2:$G$36)&gt;0,Versiones!$B$2:$B$36), "")</f>
        <v>17</v>
      </c>
      <c r="AK308" s="87" t="str" cm="1">
        <f t="array" ref="AK308">IFERROR(_xlfn.XLOOKUP(TRUE,COUNTIF(Tabla[[#This Row],[Etiquetas]:[Etiquetas17]],Versiones!$G$2:$G$36)&gt;0,Versiones!$A$2:$A$36), "")</f>
        <v>V0.6.1</v>
      </c>
      <c r="AL30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308" s="78">
        <f>IFERROR(_xlfn.XLOOKUP(Tabla[[#This Row],[¿En qué versión fue corregido?]],Versiones!$A$2:$A$34,Versiones!$B$2:$B$34),"No encontrado")</f>
        <v>20</v>
      </c>
      <c r="AN308" s="87" t="str" cm="1">
        <f t="array" ref="AN308">IFERROR(_xlfn.XLOOKUP(TRUE,COUNTIF(Tabla[[#This Row],[Etiquetas]:[Etiquetas17]],Categorías!$A$2:$A$12)&gt;0,Categorías!$A$2:$A$12),"No encontrado")</f>
        <v>Funcional</v>
      </c>
      <c r="AO308" s="87" t="str" cm="1">
        <f t="array" ref="AO308">IFERROR(INDEX(Funcionalidades!$A$2:$A$80,MATCH(TRUE, COUNTIF(Reporte_Gral!R308:Z308,Funcionalidades!$A$2:$A$80)&gt;0,0)),"No encontrado")</f>
        <v>Logout</v>
      </c>
      <c r="AP308" s="87" t="str">
        <f>IF(AND(COUNTIF(Tabla[[#This Row],[Etiquetas]:[Etiquetas17]],"*UAT_V*")&gt;0,COUNTIF(Tabla[[#This Row],[Etiquetas]:[Etiquetas17]],"*QA-Integración*")=0),"SI","")</f>
        <v/>
      </c>
      <c r="AQ308" s="88" t="str" cm="1">
        <f t="array" ref="AQ308">IF(Tabla[[#This Row],[Fue encontrado durante UAT?]]="SI",IFERROR(_xlfn.XLOOKUP(TRUE,ISNUMBER(SEARCH("UAT_V",Tabla[[#This Row],[Etiquetas]:[Etiquetas17]])),Tabla[[#This Row],[Etiquetas]:[Etiquetas17]]),""),"")</f>
        <v/>
      </c>
      <c r="AR308" s="87" t="str">
        <f>IF(COUNTIF(Tabla[[#This Row],[Etiquetas]:[Etiquetas17]],"*Devuelto*")&gt;0,"SI","")</f>
        <v/>
      </c>
      <c r="AS308" s="167">
        <f>COUNTIF(Tabla[[#This Row],[Etiquetas]:[Etiquetas17]],"*Devuelto*")</f>
        <v>0</v>
      </c>
    </row>
    <row r="309" spans="1:45" ht="15" customHeight="1">
      <c r="A309" s="40" t="s">
        <v>128</v>
      </c>
      <c r="B309" s="40" t="s">
        <v>892</v>
      </c>
      <c r="C309" s="40">
        <v>89392</v>
      </c>
      <c r="D309" s="40" t="s">
        <v>893</v>
      </c>
      <c r="E309" s="40" t="s">
        <v>37</v>
      </c>
      <c r="F309" s="40" t="s">
        <v>26</v>
      </c>
      <c r="G309" s="40" t="s">
        <v>866</v>
      </c>
      <c r="H309" s="40" t="s">
        <v>802</v>
      </c>
      <c r="I309" s="40"/>
      <c r="J309" s="40"/>
      <c r="K309" s="40"/>
      <c r="L309" s="40"/>
      <c r="M309" s="40"/>
      <c r="N309" s="40"/>
      <c r="O309" s="40"/>
      <c r="P309" s="40"/>
      <c r="Q309" s="40"/>
      <c r="R309" s="40" t="s">
        <v>132</v>
      </c>
      <c r="S309" s="40" t="s">
        <v>173</v>
      </c>
      <c r="T309" s="40" t="s">
        <v>889</v>
      </c>
      <c r="U309" s="40" t="s">
        <v>226</v>
      </c>
      <c r="V309" s="40" t="s">
        <v>154</v>
      </c>
      <c r="W309" s="40"/>
      <c r="X309" s="40"/>
      <c r="Y309" s="40"/>
      <c r="Z309" s="40"/>
      <c r="AA309" s="40" t="s">
        <v>217</v>
      </c>
      <c r="AB309" s="53">
        <v>45891.636805555558</v>
      </c>
      <c r="AC309" s="40" t="s">
        <v>806</v>
      </c>
      <c r="AD309" s="40"/>
      <c r="AE309" s="40"/>
      <c r="AF309" s="40"/>
      <c r="AG309" s="40" t="s">
        <v>135</v>
      </c>
      <c r="AH309" s="10"/>
      <c r="AI309" s="87"/>
      <c r="AJ309" s="87" cm="1">
        <f t="array" ref="AJ309">IFERROR(_xlfn.XLOOKUP(TRUE,COUNTIF(Tabla[[#This Row],[Etiquetas]:[Etiquetas17]],Versiones!$G$2:$G$36)&gt;0,Versiones!$B$2:$B$36), "")</f>
        <v>17</v>
      </c>
      <c r="AK309" s="87" t="str" cm="1">
        <f t="array" ref="AK309">IFERROR(_xlfn.XLOOKUP(TRUE,COUNTIF(Tabla[[#This Row],[Etiquetas]:[Etiquetas17]],Versiones!$G$2:$G$36)&gt;0,Versiones!$A$2:$A$36), "")</f>
        <v>V0.5</v>
      </c>
      <c r="AL30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09" s="78">
        <f>IFERROR(_xlfn.XLOOKUP(Tabla[[#This Row],[¿En qué versión fue corregido?]],Versiones!$A$2:$A$34,Versiones!$B$2:$B$34),"No encontrado")</f>
        <v>18</v>
      </c>
      <c r="AN309" s="87" t="str" cm="1">
        <f t="array" ref="AN309">IFERROR(_xlfn.XLOOKUP(TRUE,COUNTIF(Tabla[[#This Row],[Etiquetas]:[Etiquetas17]],Categorías!$A$2:$A$12)&gt;0,Categorías!$A$2:$A$12),"No encontrado")</f>
        <v>Look&amp;Feel</v>
      </c>
      <c r="AO309" s="87" t="str" cm="1">
        <f t="array" ref="AO309">IFERROR(INDEX(Funcionalidades!$A$2:$A$80,MATCH(TRUE, COUNTIF(Reporte_Gral!R309:Z309,Funcionalidades!$A$2:$A$80)&gt;0,0)),"No encontrado")</f>
        <v>Pago-De-Servicios-Con-Catálogo</v>
      </c>
      <c r="AP309" s="87" t="str">
        <f>IF(AND(COUNTIF(Tabla[[#This Row],[Etiquetas]:[Etiquetas17]],"*UAT_V*")&gt;0,COUNTIF(Tabla[[#This Row],[Etiquetas]:[Etiquetas17]],"*QA-Integración*")=0),"SI","")</f>
        <v/>
      </c>
      <c r="AQ309" s="88" t="str" cm="1">
        <f t="array" ref="AQ309">IF(Tabla[[#This Row],[Fue encontrado durante UAT?]]="SI",IFERROR(_xlfn.XLOOKUP(TRUE,ISNUMBER(SEARCH("UAT_V",Tabla[[#This Row],[Etiquetas]:[Etiquetas17]])),Tabla[[#This Row],[Etiquetas]:[Etiquetas17]]),""),"")</f>
        <v/>
      </c>
      <c r="AR309" s="87" t="str">
        <f>IF(COUNTIF(Tabla[[#This Row],[Etiquetas]:[Etiquetas17]],"*Devuelto*")&gt;0,"SI","")</f>
        <v/>
      </c>
      <c r="AS309" s="167">
        <f>COUNTIF(Tabla[[#This Row],[Etiquetas]:[Etiquetas17]],"*Devuelto*")</f>
        <v>0</v>
      </c>
    </row>
    <row r="310" spans="1:45" ht="15" customHeight="1">
      <c r="A310" s="40" t="s">
        <v>128</v>
      </c>
      <c r="B310" s="40" t="s">
        <v>894</v>
      </c>
      <c r="C310" s="40">
        <v>89363</v>
      </c>
      <c r="D310" s="40" t="s">
        <v>895</v>
      </c>
      <c r="E310" s="40" t="s">
        <v>37</v>
      </c>
      <c r="F310" s="40" t="s">
        <v>24</v>
      </c>
      <c r="G310" s="40" t="s">
        <v>866</v>
      </c>
      <c r="H310" s="40" t="s">
        <v>802</v>
      </c>
      <c r="I310" s="40"/>
      <c r="J310" s="40"/>
      <c r="K310" s="40"/>
      <c r="L310" s="40"/>
      <c r="M310" s="40"/>
      <c r="N310" s="40"/>
      <c r="O310" s="40"/>
      <c r="P310" s="40"/>
      <c r="Q310" s="40"/>
      <c r="R310" s="40" t="s">
        <v>132</v>
      </c>
      <c r="S310" s="40" t="s">
        <v>173</v>
      </c>
      <c r="T310" s="40" t="s">
        <v>835</v>
      </c>
      <c r="U310" s="40" t="s">
        <v>889</v>
      </c>
      <c r="V310" s="40" t="s">
        <v>226</v>
      </c>
      <c r="W310" s="40" t="s">
        <v>154</v>
      </c>
      <c r="X310" s="40"/>
      <c r="Y310" s="40"/>
      <c r="Z310" s="40"/>
      <c r="AA310" s="40" t="s">
        <v>217</v>
      </c>
      <c r="AB310" s="53">
        <v>45891.556944444441</v>
      </c>
      <c r="AC310" s="40" t="s">
        <v>806</v>
      </c>
      <c r="AD310" s="40" t="s">
        <v>760</v>
      </c>
      <c r="AE310" s="40"/>
      <c r="AF310" s="40"/>
      <c r="AG310" s="40" t="s">
        <v>135</v>
      </c>
      <c r="AH310" s="10"/>
      <c r="AI310" s="87"/>
      <c r="AJ310" s="87" cm="1">
        <f t="array" ref="AJ310">IFERROR(_xlfn.XLOOKUP(TRUE,COUNTIF(Tabla[[#This Row],[Etiquetas]:[Etiquetas17]],Versiones!$G$2:$G$36)&gt;0,Versiones!$B$2:$B$36), "")</f>
        <v>17</v>
      </c>
      <c r="AK310" s="87" t="str" cm="1">
        <f t="array" ref="AK310">IFERROR(_xlfn.XLOOKUP(TRUE,COUNTIF(Tabla[[#This Row],[Etiquetas]:[Etiquetas17]],Versiones!$G$2:$G$36)&gt;0,Versiones!$A$2:$A$36), "")</f>
        <v>V0.5</v>
      </c>
      <c r="AL31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10" s="78">
        <f>IFERROR(_xlfn.XLOOKUP(Tabla[[#This Row],[¿En qué versión fue corregido?]],Versiones!$A$2:$A$34,Versiones!$B$2:$B$34),"No encontrado")</f>
        <v>19</v>
      </c>
      <c r="AN310" s="87" t="str" cm="1">
        <f t="array" ref="AN310">IFERROR(_xlfn.XLOOKUP(TRUE,COUNTIF(Tabla[[#This Row],[Etiquetas]:[Etiquetas17]],Categorías!$A$2:$A$12)&gt;0,Categorías!$A$2:$A$12),"No encontrado")</f>
        <v>Look&amp;Feel</v>
      </c>
      <c r="AO310" s="87" t="str" cm="1">
        <f t="array" ref="AO310">IFERROR(INDEX(Funcionalidades!$A$2:$A$80,MATCH(TRUE, COUNTIF(Reporte_Gral!R310:Z310,Funcionalidades!$A$2:$A$80)&gt;0,0)),"No encontrado")</f>
        <v>Pago-De-Servicios-Con-Catálogo</v>
      </c>
      <c r="AP310" s="87" t="str">
        <f>IF(AND(COUNTIF(Tabla[[#This Row],[Etiquetas]:[Etiquetas17]],"*UAT_V*")&gt;0,COUNTIF(Tabla[[#This Row],[Etiquetas]:[Etiquetas17]],"*QA-Integración*")=0),"SI","")</f>
        <v/>
      </c>
      <c r="AQ310" s="88" t="str" cm="1">
        <f t="array" ref="AQ310">IF(Tabla[[#This Row],[Fue encontrado durante UAT?]]="SI",IFERROR(_xlfn.XLOOKUP(TRUE,ISNUMBER(SEARCH("UAT_V",Tabla[[#This Row],[Etiquetas]:[Etiquetas17]])),Tabla[[#This Row],[Etiquetas]:[Etiquetas17]]),""),"")</f>
        <v/>
      </c>
      <c r="AR310" s="87" t="str">
        <f>IF(COUNTIF(Tabla[[#This Row],[Etiquetas]:[Etiquetas17]],"*Devuelto*")&gt;0,"SI","")</f>
        <v/>
      </c>
      <c r="AS310" s="167">
        <f>COUNTIF(Tabla[[#This Row],[Etiquetas]:[Etiquetas17]],"*Devuelto*")</f>
        <v>0</v>
      </c>
    </row>
    <row r="311" spans="1:45" ht="15" customHeight="1">
      <c r="A311" s="40" t="s">
        <v>128</v>
      </c>
      <c r="B311" s="40" t="s">
        <v>896</v>
      </c>
      <c r="C311" s="40">
        <v>89203</v>
      </c>
      <c r="D311" s="40" t="s">
        <v>897</v>
      </c>
      <c r="E311" s="40" t="s">
        <v>36</v>
      </c>
      <c r="F311" s="40" t="s">
        <v>26</v>
      </c>
      <c r="G311" s="40" t="s">
        <v>866</v>
      </c>
      <c r="H311" s="40" t="s">
        <v>802</v>
      </c>
      <c r="I311" s="40" t="s">
        <v>753</v>
      </c>
      <c r="J311" s="40"/>
      <c r="K311" s="40"/>
      <c r="L311" s="40"/>
      <c r="M311" s="40"/>
      <c r="N311" s="40"/>
      <c r="O311" s="40"/>
      <c r="P311" s="40"/>
      <c r="Q311" s="40"/>
      <c r="R311" s="40" t="s">
        <v>139</v>
      </c>
      <c r="S311" s="40" t="s">
        <v>835</v>
      </c>
      <c r="T311" s="40" t="s">
        <v>898</v>
      </c>
      <c r="U311" s="40" t="s">
        <v>152</v>
      </c>
      <c r="V311" s="40" t="s">
        <v>204</v>
      </c>
      <c r="W311" s="40" t="s">
        <v>154</v>
      </c>
      <c r="X311" s="40"/>
      <c r="Y311" s="40"/>
      <c r="Z311" s="40"/>
      <c r="AA311" s="40" t="s">
        <v>261</v>
      </c>
      <c r="AB311" s="53">
        <v>45890.71597222222</v>
      </c>
      <c r="AC311" s="40" t="s">
        <v>760</v>
      </c>
      <c r="AD311" s="40" t="s">
        <v>710</v>
      </c>
      <c r="AE311" s="40"/>
      <c r="AF311" s="40"/>
      <c r="AG311" s="40" t="s">
        <v>141</v>
      </c>
      <c r="AH311" s="10"/>
      <c r="AI311" s="87"/>
      <c r="AJ311" s="87" cm="1">
        <f t="array" ref="AJ311">IFERROR(_xlfn.XLOOKUP(TRUE,COUNTIF(Tabla[[#This Row],[Etiquetas]:[Etiquetas17]],Versiones!$G$2:$G$36)&gt;0,Versiones!$B$2:$B$36), "")</f>
        <v>17</v>
      </c>
      <c r="AK311" s="87" t="str" cm="1">
        <f t="array" ref="AK311">IFERROR(_xlfn.XLOOKUP(TRUE,COUNTIF(Tabla[[#This Row],[Etiquetas]:[Etiquetas17]],Versiones!$G$2:$G$36)&gt;0,Versiones!$A$2:$A$36), "")</f>
        <v>V0.5</v>
      </c>
      <c r="AL31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V0.8</v>
      </c>
      <c r="AM311" s="78">
        <f>IFERROR(_xlfn.XLOOKUP(Tabla[[#This Row],[¿En qué versión fue corregido?]],Versiones!$A$2:$A$34,Versiones!$B$2:$B$34),"No encontrado")</f>
        <v>20</v>
      </c>
      <c r="AN311" s="87" t="str" cm="1">
        <f t="array" ref="AN311">IFERROR(_xlfn.XLOOKUP(TRUE,COUNTIF(Tabla[[#This Row],[Etiquetas]:[Etiquetas17]],Categorías!$A$2:$A$12)&gt;0,Categorías!$A$2:$A$12),"No encontrado")</f>
        <v>Funcional</v>
      </c>
      <c r="AO311" s="87" t="str" cm="1">
        <f t="array" ref="AO311">IFERROR(INDEX(Funcionalidades!$A$2:$A$80,MATCH(TRUE, COUNTIF(Reporte_Gral!R311:Z311,Funcionalidades!$A$2:$A$80)&gt;0,0)),"No encontrado")</f>
        <v>Registrar-Merma</v>
      </c>
      <c r="AP311" s="87" t="str">
        <f>IF(AND(COUNTIF(Tabla[[#This Row],[Etiquetas]:[Etiquetas17]],"*UAT_V*")&gt;0,COUNTIF(Tabla[[#This Row],[Etiquetas]:[Etiquetas17]],"*QA-Integración*")=0),"SI","")</f>
        <v/>
      </c>
      <c r="AQ311" s="88" t="str" cm="1">
        <f t="array" ref="AQ311">IF(Tabla[[#This Row],[Fue encontrado durante UAT?]]="SI",IFERROR(_xlfn.XLOOKUP(TRUE,ISNUMBER(SEARCH("UAT_V",Tabla[[#This Row],[Etiquetas]:[Etiquetas17]])),Tabla[[#This Row],[Etiquetas]:[Etiquetas17]]),""),"")</f>
        <v/>
      </c>
      <c r="AR311" s="87" t="str">
        <f>IF(COUNTIF(Tabla[[#This Row],[Etiquetas]:[Etiquetas17]],"*Devuelto*")&gt;0,"SI","")</f>
        <v/>
      </c>
      <c r="AS311" s="167">
        <f>COUNTIF(Tabla[[#This Row],[Etiquetas]:[Etiquetas17]],"*Devuelto*")</f>
        <v>0</v>
      </c>
    </row>
    <row r="312" spans="1:45" ht="15" customHeight="1">
      <c r="A312" s="40" t="s">
        <v>128</v>
      </c>
      <c r="B312" s="40" t="s">
        <v>899</v>
      </c>
      <c r="C312" s="40">
        <v>89184</v>
      </c>
      <c r="D312" s="40" t="s">
        <v>900</v>
      </c>
      <c r="E312" s="40" t="s">
        <v>37</v>
      </c>
      <c r="F312" s="40" t="s">
        <v>24</v>
      </c>
      <c r="G312" s="40" t="s">
        <v>866</v>
      </c>
      <c r="H312" s="40" t="s">
        <v>802</v>
      </c>
      <c r="I312" s="40" t="s">
        <v>753</v>
      </c>
      <c r="J312" s="40" t="s">
        <v>721</v>
      </c>
      <c r="K312" s="40" t="s">
        <v>637</v>
      </c>
      <c r="L312" s="40" t="s">
        <v>561</v>
      </c>
      <c r="M312" s="40" t="s">
        <v>429</v>
      </c>
      <c r="N312" s="40" t="s">
        <v>307</v>
      </c>
      <c r="O312" s="40" t="s">
        <v>224</v>
      </c>
      <c r="P312" s="40" t="s">
        <v>151</v>
      </c>
      <c r="Q312" s="40"/>
      <c r="R312" s="40" t="s">
        <v>158</v>
      </c>
      <c r="S312" s="40" t="s">
        <v>139</v>
      </c>
      <c r="T312" s="40" t="s">
        <v>898</v>
      </c>
      <c r="U312" s="40"/>
      <c r="V312" s="40"/>
      <c r="W312" s="40"/>
      <c r="X312" s="40"/>
      <c r="Y312" s="40"/>
      <c r="Z312" s="40"/>
      <c r="AA312" s="40" t="s">
        <v>261</v>
      </c>
      <c r="AB312" s="53">
        <v>45890.659722222219</v>
      </c>
      <c r="AC312" s="40" t="s">
        <v>806</v>
      </c>
      <c r="AD312" s="40"/>
      <c r="AE312" s="40"/>
      <c r="AF312" s="40"/>
      <c r="AG312" s="40" t="s">
        <v>135</v>
      </c>
      <c r="AH312" s="10"/>
      <c r="AI312" s="87"/>
      <c r="AJ312" s="87" cm="1">
        <f t="array" ref="AJ312">IFERROR(_xlfn.XLOOKUP(TRUE,COUNTIF(Tabla[[#This Row],[Etiquetas]:[Etiquetas17]],Versiones!$G$2:$G$36)&gt;0,Versiones!$B$2:$B$36), "")</f>
        <v>17</v>
      </c>
      <c r="AK312" s="87" t="str" cm="1">
        <f t="array" ref="AK312">IFERROR(_xlfn.XLOOKUP(TRUE,COUNTIF(Tabla[[#This Row],[Etiquetas]:[Etiquetas17]],Versiones!$G$2:$G$36)&gt;0,Versiones!$A$2:$A$36), "")</f>
        <v>V0.5</v>
      </c>
      <c r="AL31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2" s="78">
        <f>IFERROR(_xlfn.XLOOKUP(Tabla[[#This Row],[¿En qué versión fue corregido?]],Versiones!$A$2:$A$34,Versiones!$B$2:$B$34),"No encontrado")</f>
        <v>18</v>
      </c>
      <c r="AN312" s="87" t="str" cm="1">
        <f t="array" ref="AN312">IFERROR(_xlfn.XLOOKUP(TRUE,COUNTIF(Tabla[[#This Row],[Etiquetas]:[Etiquetas17]],Categorías!$A$2:$A$12)&gt;0,Categorías!$A$2:$A$12),"No encontrado")</f>
        <v>Funcional</v>
      </c>
      <c r="AO312" s="87" t="str" cm="1">
        <f t="array" ref="AO312">IFERROR(INDEX(Funcionalidades!$A$2:$A$80,MATCH(TRUE, COUNTIF(Reporte_Gral!R312:Z312,Funcionalidades!$A$2:$A$80)&gt;0,0)),"No encontrado")</f>
        <v>Alivios</v>
      </c>
      <c r="AP312" s="87" t="str">
        <f>IF(AND(COUNTIF(Tabla[[#This Row],[Etiquetas]:[Etiquetas17]],"*UAT_V*")&gt;0,COUNTIF(Tabla[[#This Row],[Etiquetas]:[Etiquetas17]],"*QA-Integración*")=0),"SI","")</f>
        <v/>
      </c>
      <c r="AQ312" s="88" t="str" cm="1">
        <f t="array" ref="AQ312">IF(Tabla[[#This Row],[Fue encontrado durante UAT?]]="SI",IFERROR(_xlfn.XLOOKUP(TRUE,ISNUMBER(SEARCH("UAT_V",Tabla[[#This Row],[Etiquetas]:[Etiquetas17]])),Tabla[[#This Row],[Etiquetas]:[Etiquetas17]]),""),"")</f>
        <v/>
      </c>
      <c r="AR312" s="87" t="str">
        <f>IF(COUNTIF(Tabla[[#This Row],[Etiquetas]:[Etiquetas17]],"*Devuelto*")&gt;0,"SI","")</f>
        <v/>
      </c>
      <c r="AS312" s="167">
        <f>COUNTIF(Tabla[[#This Row],[Etiquetas]:[Etiquetas17]],"*Devuelto*")</f>
        <v>0</v>
      </c>
    </row>
    <row r="313" spans="1:45" ht="15" customHeight="1">
      <c r="A313" s="40" t="s">
        <v>128</v>
      </c>
      <c r="B313" s="40" t="s">
        <v>901</v>
      </c>
      <c r="C313" s="40">
        <v>89157</v>
      </c>
      <c r="D313" s="40" t="s">
        <v>902</v>
      </c>
      <c r="E313" s="40" t="s">
        <v>36</v>
      </c>
      <c r="F313" s="40" t="s">
        <v>24</v>
      </c>
      <c r="G313" s="40" t="s">
        <v>866</v>
      </c>
      <c r="H313" s="40" t="s">
        <v>802</v>
      </c>
      <c r="I313" s="40"/>
      <c r="J313" s="40"/>
      <c r="K313" s="40"/>
      <c r="L313" s="40"/>
      <c r="M313" s="40"/>
      <c r="N313" s="40"/>
      <c r="O313" s="40"/>
      <c r="P313" s="40"/>
      <c r="Q313" s="40"/>
      <c r="R313" s="40" t="s">
        <v>139</v>
      </c>
      <c r="S313" s="40" t="s">
        <v>371</v>
      </c>
      <c r="T313" s="40" t="s">
        <v>598</v>
      </c>
      <c r="U313" s="40" t="s">
        <v>889</v>
      </c>
      <c r="V313" s="40" t="s">
        <v>580</v>
      </c>
      <c r="W313" s="40" t="s">
        <v>226</v>
      </c>
      <c r="X313" s="40" t="s">
        <v>154</v>
      </c>
      <c r="Y313" s="40" t="s">
        <v>188</v>
      </c>
      <c r="Z313" s="40" t="s">
        <v>536</v>
      </c>
      <c r="AA313" s="40" t="s">
        <v>217</v>
      </c>
      <c r="AB313" s="53">
        <v>45890.584027777775</v>
      </c>
      <c r="AC313" s="40" t="s">
        <v>806</v>
      </c>
      <c r="AD313" s="40"/>
      <c r="AE313" s="40"/>
      <c r="AF313" s="40"/>
      <c r="AG313" s="40" t="s">
        <v>135</v>
      </c>
      <c r="AH313" s="10"/>
      <c r="AI313" s="87"/>
      <c r="AJ313" s="87" cm="1">
        <f t="array" ref="AJ313">IFERROR(_xlfn.XLOOKUP(TRUE,COUNTIF(Tabla[[#This Row],[Etiquetas]:[Etiquetas17]],Versiones!$G$2:$G$36)&gt;0,Versiones!$B$2:$B$36), "")</f>
        <v>17</v>
      </c>
      <c r="AK313" s="87" t="str" cm="1">
        <f t="array" ref="AK313">IFERROR(_xlfn.XLOOKUP(TRUE,COUNTIF(Tabla[[#This Row],[Etiquetas]:[Etiquetas17]],Versiones!$G$2:$G$36)&gt;0,Versiones!$A$2:$A$36), "")</f>
        <v>V0.5</v>
      </c>
      <c r="AL31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3" s="78">
        <f>IFERROR(_xlfn.XLOOKUP(Tabla[[#This Row],[¿En qué versión fue corregido?]],Versiones!$A$2:$A$34,Versiones!$B$2:$B$34),"No encontrado")</f>
        <v>18</v>
      </c>
      <c r="AN313" s="87" t="str" cm="1">
        <f t="array" ref="AN313">IFERROR(_xlfn.XLOOKUP(TRUE,COUNTIF(Tabla[[#This Row],[Etiquetas]:[Etiquetas17]],Categorías!$A$2:$A$12)&gt;0,Categorías!$A$2:$A$12),"No encontrado")</f>
        <v>Funcional</v>
      </c>
      <c r="AO313" s="87" t="str" cm="1">
        <f t="array" ref="AO313">IFERROR(INDEX(Funcionalidades!$A$2:$A$80,MATCH(TRUE, COUNTIF(Reporte_Gral!R313:Z313,Funcionalidades!$A$2:$A$80)&gt;0,0)),"No encontrado")</f>
        <v>Logout</v>
      </c>
      <c r="AP313" s="87" t="str">
        <f>IF(AND(COUNTIF(Tabla[[#This Row],[Etiquetas]:[Etiquetas17]],"*UAT_V*")&gt;0,COUNTIF(Tabla[[#This Row],[Etiquetas]:[Etiquetas17]],"*QA-Integración*")=0),"SI","")</f>
        <v/>
      </c>
      <c r="AQ313" s="88" t="str" cm="1">
        <f t="array" ref="AQ313">IF(Tabla[[#This Row],[Fue encontrado durante UAT?]]="SI",IFERROR(_xlfn.XLOOKUP(TRUE,ISNUMBER(SEARCH("UAT_V",Tabla[[#This Row],[Etiquetas]:[Etiquetas17]])),Tabla[[#This Row],[Etiquetas]:[Etiquetas17]]),""),"")</f>
        <v/>
      </c>
      <c r="AR313" s="87" t="str">
        <f>IF(COUNTIF(Tabla[[#This Row],[Etiquetas]:[Etiquetas17]],"*Devuelto*")&gt;0,"SI","")</f>
        <v/>
      </c>
      <c r="AS313" s="167">
        <f>COUNTIF(Tabla[[#This Row],[Etiquetas]:[Etiquetas17]],"*Devuelto*")</f>
        <v>0</v>
      </c>
    </row>
    <row r="314" spans="1:45" ht="15" customHeight="1">
      <c r="A314" s="40" t="s">
        <v>128</v>
      </c>
      <c r="B314" s="40" t="s">
        <v>903</v>
      </c>
      <c r="C314" s="40">
        <v>88654</v>
      </c>
      <c r="D314" s="40" t="s">
        <v>904</v>
      </c>
      <c r="E314" s="40" t="s">
        <v>37</v>
      </c>
      <c r="F314" s="40" t="s">
        <v>26</v>
      </c>
      <c r="G314" s="40" t="s">
        <v>866</v>
      </c>
      <c r="H314" s="40" t="s">
        <v>802</v>
      </c>
      <c r="I314" s="40" t="s">
        <v>307</v>
      </c>
      <c r="J314" s="40" t="s">
        <v>224</v>
      </c>
      <c r="K314" s="40" t="s">
        <v>151</v>
      </c>
      <c r="L314" s="40"/>
      <c r="M314" s="40"/>
      <c r="N314" s="40"/>
      <c r="O314" s="40"/>
      <c r="P314" s="40"/>
      <c r="Q314" s="40"/>
      <c r="R314" s="40" t="s">
        <v>620</v>
      </c>
      <c r="S314" s="40" t="s">
        <v>139</v>
      </c>
      <c r="T314" s="40" t="s">
        <v>835</v>
      </c>
      <c r="U314" s="40" t="s">
        <v>898</v>
      </c>
      <c r="V314" s="40" t="s">
        <v>204</v>
      </c>
      <c r="W314" s="40" t="s">
        <v>153</v>
      </c>
      <c r="X314" s="40" t="s">
        <v>226</v>
      </c>
      <c r="Y314" s="40" t="s">
        <v>154</v>
      </c>
      <c r="Z314" s="40" t="s">
        <v>536</v>
      </c>
      <c r="AA314" s="40" t="s">
        <v>261</v>
      </c>
      <c r="AB314" s="53">
        <v>45889.6875</v>
      </c>
      <c r="AC314" s="40" t="s">
        <v>806</v>
      </c>
      <c r="AD314" s="40"/>
      <c r="AE314" s="40"/>
      <c r="AF314" s="40"/>
      <c r="AG314" s="40" t="s">
        <v>141</v>
      </c>
      <c r="AH314" s="10"/>
      <c r="AI314" s="87"/>
      <c r="AJ314" s="87" cm="1">
        <f t="array" ref="AJ314">IFERROR(_xlfn.XLOOKUP(TRUE,COUNTIF(Tabla[[#This Row],[Etiquetas]:[Etiquetas17]],Versiones!$G$2:$G$36)&gt;0,Versiones!$B$2:$B$36), "")</f>
        <v>17</v>
      </c>
      <c r="AK314" s="87" t="str" cm="1">
        <f t="array" ref="AK314">IFERROR(_xlfn.XLOOKUP(TRUE,COUNTIF(Tabla[[#This Row],[Etiquetas]:[Etiquetas17]],Versiones!$G$2:$G$36)&gt;0,Versiones!$A$2:$A$36), "")</f>
        <v>V0.5</v>
      </c>
      <c r="AL31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4" s="78">
        <f>IFERROR(_xlfn.XLOOKUP(Tabla[[#This Row],[¿En qué versión fue corregido?]],Versiones!$A$2:$A$34,Versiones!$B$2:$B$34),"No encontrado")</f>
        <v>18</v>
      </c>
      <c r="AN314" s="87" t="str" cm="1">
        <f t="array" ref="AN314">IFERROR(_xlfn.XLOOKUP(TRUE,COUNTIF(Tabla[[#This Row],[Etiquetas]:[Etiquetas17]],Categorías!$A$2:$A$12)&gt;0,Categorías!$A$2:$A$12),"No encontrado")</f>
        <v>Funcional</v>
      </c>
      <c r="AO314" s="87" t="str" cm="1">
        <f t="array" ref="AO314">IFERROR(INDEX(Funcionalidades!$A$2:$A$80,MATCH(TRUE, COUNTIF(Reporte_Gral!R314:Z314,Funcionalidades!$A$2:$A$80)&gt;0,0)),"No encontrado")</f>
        <v>Cierre-De-Día</v>
      </c>
      <c r="AP314" s="87" t="str">
        <f>IF(AND(COUNTIF(Tabla[[#This Row],[Etiquetas]:[Etiquetas17]],"*UAT_V*")&gt;0,COUNTIF(Tabla[[#This Row],[Etiquetas]:[Etiquetas17]],"*QA-Integración*")=0),"SI","")</f>
        <v/>
      </c>
      <c r="AQ314" s="88" t="str" cm="1">
        <f t="array" ref="AQ314">IF(Tabla[[#This Row],[Fue encontrado durante UAT?]]="SI",IFERROR(_xlfn.XLOOKUP(TRUE,ISNUMBER(SEARCH("UAT_V",Tabla[[#This Row],[Etiquetas]:[Etiquetas17]])),Tabla[[#This Row],[Etiquetas]:[Etiquetas17]]),""),"")</f>
        <v/>
      </c>
      <c r="AR314" s="87" t="str">
        <f>IF(COUNTIF(Tabla[[#This Row],[Etiquetas]:[Etiquetas17]],"*Devuelto*")&gt;0,"SI","")</f>
        <v/>
      </c>
      <c r="AS314" s="167">
        <f>COUNTIF(Tabla[[#This Row],[Etiquetas]:[Etiquetas17]],"*Devuelto*")</f>
        <v>0</v>
      </c>
    </row>
    <row r="315" spans="1:45" ht="15" customHeight="1">
      <c r="A315" s="40" t="s">
        <v>128</v>
      </c>
      <c r="B315" s="40" t="s">
        <v>905</v>
      </c>
      <c r="C315" s="40">
        <v>88521</v>
      </c>
      <c r="D315" s="40" t="s">
        <v>906</v>
      </c>
      <c r="E315" s="40" t="s">
        <v>37</v>
      </c>
      <c r="F315" s="40" t="s">
        <v>26</v>
      </c>
      <c r="G315" s="40" t="s">
        <v>866</v>
      </c>
      <c r="H315" s="40" t="s">
        <v>802</v>
      </c>
      <c r="I315" s="40"/>
      <c r="J315" s="40"/>
      <c r="K315" s="40"/>
      <c r="L315" s="40"/>
      <c r="M315" s="40"/>
      <c r="N315" s="40"/>
      <c r="O315" s="40"/>
      <c r="P315" s="40"/>
      <c r="Q315" s="40"/>
      <c r="R315" s="40" t="s">
        <v>435</v>
      </c>
      <c r="S315" s="40" t="s">
        <v>132</v>
      </c>
      <c r="T315" s="40" t="s">
        <v>889</v>
      </c>
      <c r="U315" s="40"/>
      <c r="V315" s="40"/>
      <c r="W315" s="40"/>
      <c r="X315" s="40"/>
      <c r="Y315" s="40"/>
      <c r="Z315" s="40"/>
      <c r="AA315" s="40" t="s">
        <v>217</v>
      </c>
      <c r="AB315" s="53">
        <v>45889.436805555553</v>
      </c>
      <c r="AC315" s="40" t="s">
        <v>806</v>
      </c>
      <c r="AD315" s="40"/>
      <c r="AE315" s="40"/>
      <c r="AF315" s="40"/>
      <c r="AG315" s="40" t="s">
        <v>135</v>
      </c>
      <c r="AH315" s="10"/>
      <c r="AI315" s="87"/>
      <c r="AJ315" s="87" cm="1">
        <f t="array" ref="AJ315">IFERROR(_xlfn.XLOOKUP(TRUE,COUNTIF(Tabla[[#This Row],[Etiquetas]:[Etiquetas17]],Versiones!$G$2:$G$36)&gt;0,Versiones!$B$2:$B$36), "")</f>
        <v>17</v>
      </c>
      <c r="AK315" s="87" t="str" cm="1">
        <f t="array" ref="AK315">IFERROR(_xlfn.XLOOKUP(TRUE,COUNTIF(Tabla[[#This Row],[Etiquetas]:[Etiquetas17]],Versiones!$G$2:$G$36)&gt;0,Versiones!$A$2:$A$36), "")</f>
        <v>V0.5</v>
      </c>
      <c r="AL31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5" s="78">
        <f>IFERROR(_xlfn.XLOOKUP(Tabla[[#This Row],[¿En qué versión fue corregido?]],Versiones!$A$2:$A$34,Versiones!$B$2:$B$34),"No encontrado")</f>
        <v>18</v>
      </c>
      <c r="AN315" s="87" t="str" cm="1">
        <f t="array" ref="AN315">IFERROR(_xlfn.XLOOKUP(TRUE,COUNTIF(Tabla[[#This Row],[Etiquetas]:[Etiquetas17]],Categorías!$A$2:$A$12)&gt;0,Categorías!$A$2:$A$12),"No encontrado")</f>
        <v>Look&amp;Feel</v>
      </c>
      <c r="AO315" s="87" t="str" cm="1">
        <f t="array" ref="AO315">IFERROR(INDEX(Funcionalidades!$A$2:$A$80,MATCH(TRUE, COUNTIF(Reporte_Gral!R315:Z315,Funcionalidades!$A$2:$A$80)&gt;0,0)),"No encontrado")</f>
        <v>Bloqueo-De-Sesión</v>
      </c>
      <c r="AP315" s="87" t="str">
        <f>IF(AND(COUNTIF(Tabla[[#This Row],[Etiquetas]:[Etiquetas17]],"*UAT_V*")&gt;0,COUNTIF(Tabla[[#This Row],[Etiquetas]:[Etiquetas17]],"*QA-Integración*")=0),"SI","")</f>
        <v/>
      </c>
      <c r="AQ315" s="88" t="str" cm="1">
        <f t="array" ref="AQ315">IF(Tabla[[#This Row],[Fue encontrado durante UAT?]]="SI",IFERROR(_xlfn.XLOOKUP(TRUE,ISNUMBER(SEARCH("UAT_V",Tabla[[#This Row],[Etiquetas]:[Etiquetas17]])),Tabla[[#This Row],[Etiquetas]:[Etiquetas17]]),""),"")</f>
        <v/>
      </c>
      <c r="AR315" s="87" t="str">
        <f>IF(COUNTIF(Tabla[[#This Row],[Etiquetas]:[Etiquetas17]],"*Devuelto*")&gt;0,"SI","")</f>
        <v/>
      </c>
      <c r="AS315" s="167">
        <f>COUNTIF(Tabla[[#This Row],[Etiquetas]:[Etiquetas17]],"*Devuelto*")</f>
        <v>0</v>
      </c>
    </row>
    <row r="316" spans="1:45" ht="15" customHeight="1">
      <c r="A316" s="40" t="s">
        <v>128</v>
      </c>
      <c r="B316" s="40" t="s">
        <v>907</v>
      </c>
      <c r="C316" s="40">
        <v>88313</v>
      </c>
      <c r="D316" s="40" t="s">
        <v>908</v>
      </c>
      <c r="E316" s="40" t="s">
        <v>37</v>
      </c>
      <c r="F316" s="40" t="s">
        <v>26</v>
      </c>
      <c r="G316" s="40" t="s">
        <v>866</v>
      </c>
      <c r="H316" s="40" t="s">
        <v>802</v>
      </c>
      <c r="I316" s="40"/>
      <c r="J316" s="40"/>
      <c r="K316" s="40"/>
      <c r="L316" s="40"/>
      <c r="M316" s="40"/>
      <c r="N316" s="40"/>
      <c r="O316" s="40"/>
      <c r="P316" s="40"/>
      <c r="Q316" s="40"/>
      <c r="R316" s="40" t="s">
        <v>481</v>
      </c>
      <c r="S316" s="40" t="s">
        <v>132</v>
      </c>
      <c r="T316" s="40" t="s">
        <v>889</v>
      </c>
      <c r="U316" s="40" t="s">
        <v>154</v>
      </c>
      <c r="V316" s="40"/>
      <c r="W316" s="40"/>
      <c r="X316" s="40"/>
      <c r="Y316" s="40"/>
      <c r="Z316" s="40"/>
      <c r="AA316" s="40" t="s">
        <v>217</v>
      </c>
      <c r="AB316" s="53">
        <v>45888.539583333331</v>
      </c>
      <c r="AC316" s="40" t="s">
        <v>806</v>
      </c>
      <c r="AD316" s="40"/>
      <c r="AE316" s="40"/>
      <c r="AF316" s="40"/>
      <c r="AG316" s="40" t="s">
        <v>135</v>
      </c>
      <c r="AH316" s="10"/>
      <c r="AI316" s="87"/>
      <c r="AJ316" s="87" cm="1">
        <f t="array" ref="AJ316">IFERROR(_xlfn.XLOOKUP(TRUE,COUNTIF(Tabla[[#This Row],[Etiquetas]:[Etiquetas17]],Versiones!$G$2:$G$36)&gt;0,Versiones!$B$2:$B$36), "")</f>
        <v>17</v>
      </c>
      <c r="AK316" s="87" t="str" cm="1">
        <f t="array" ref="AK316">IFERROR(_xlfn.XLOOKUP(TRUE,COUNTIF(Tabla[[#This Row],[Etiquetas]:[Etiquetas17]],Versiones!$G$2:$G$36)&gt;0,Versiones!$A$2:$A$36), "")</f>
        <v>V0.5</v>
      </c>
      <c r="AL31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6" s="78">
        <f>IFERROR(_xlfn.XLOOKUP(Tabla[[#This Row],[¿En qué versión fue corregido?]],Versiones!$A$2:$A$34,Versiones!$B$2:$B$34),"No encontrado")</f>
        <v>18</v>
      </c>
      <c r="AN316" s="87" t="str" cm="1">
        <f t="array" ref="AN316">IFERROR(_xlfn.XLOOKUP(TRUE,COUNTIF(Tabla[[#This Row],[Etiquetas]:[Etiquetas17]],Categorías!$A$2:$A$12)&gt;0,Categorías!$A$2:$A$12),"No encontrado")</f>
        <v>Look&amp;Feel</v>
      </c>
      <c r="AO316" s="87" t="str" cm="1">
        <f t="array" ref="AO316">IFERROR(INDEX(Funcionalidades!$A$2:$A$80,MATCH(TRUE, COUNTIF(Reporte_Gral!R316:Z316,Funcionalidades!$A$2:$A$80)&gt;0,0)),"No encontrado")</f>
        <v>Iniciar_Venta</v>
      </c>
      <c r="AP316" s="87" t="str">
        <f>IF(AND(COUNTIF(Tabla[[#This Row],[Etiquetas]:[Etiquetas17]],"*UAT_V*")&gt;0,COUNTIF(Tabla[[#This Row],[Etiquetas]:[Etiquetas17]],"*QA-Integración*")=0),"SI","")</f>
        <v/>
      </c>
      <c r="AQ316" s="88" t="str" cm="1">
        <f t="array" ref="AQ316">IF(Tabla[[#This Row],[Fue encontrado durante UAT?]]="SI",IFERROR(_xlfn.XLOOKUP(TRUE,ISNUMBER(SEARCH("UAT_V",Tabla[[#This Row],[Etiquetas]:[Etiquetas17]])),Tabla[[#This Row],[Etiquetas]:[Etiquetas17]]),""),"")</f>
        <v/>
      </c>
      <c r="AR316" s="87" t="str">
        <f>IF(COUNTIF(Tabla[[#This Row],[Etiquetas]:[Etiquetas17]],"*Devuelto*")&gt;0,"SI","")</f>
        <v/>
      </c>
      <c r="AS316" s="167">
        <f>COUNTIF(Tabla[[#This Row],[Etiquetas]:[Etiquetas17]],"*Devuelto*")</f>
        <v>0</v>
      </c>
    </row>
    <row r="317" spans="1:45" ht="15" customHeight="1">
      <c r="A317" s="40" t="s">
        <v>128</v>
      </c>
      <c r="B317" s="40" t="s">
        <v>909</v>
      </c>
      <c r="C317" s="40">
        <v>86768</v>
      </c>
      <c r="D317" s="40" t="s">
        <v>910</v>
      </c>
      <c r="E317" s="40" t="s">
        <v>37</v>
      </c>
      <c r="F317" s="40" t="s">
        <v>26</v>
      </c>
      <c r="G317" s="40" t="s">
        <v>866</v>
      </c>
      <c r="H317" s="40" t="s">
        <v>802</v>
      </c>
      <c r="I317" s="40"/>
      <c r="J317" s="40"/>
      <c r="K317" s="40"/>
      <c r="L317" s="40"/>
      <c r="M317" s="40"/>
      <c r="N317" s="40"/>
      <c r="O317" s="40"/>
      <c r="P317" s="40"/>
      <c r="Q317" s="40"/>
      <c r="R317" s="40" t="s">
        <v>490</v>
      </c>
      <c r="S317" s="40" t="s">
        <v>803</v>
      </c>
      <c r="T317" s="40" t="s">
        <v>535</v>
      </c>
      <c r="U317" s="40" t="s">
        <v>911</v>
      </c>
      <c r="V317" s="40" t="s">
        <v>226</v>
      </c>
      <c r="W317" s="40" t="s">
        <v>912</v>
      </c>
      <c r="X317" s="40" t="s">
        <v>154</v>
      </c>
      <c r="Y317" s="40"/>
      <c r="Z317" s="40"/>
      <c r="AA317" s="40" t="s">
        <v>217</v>
      </c>
      <c r="AB317" s="53">
        <v>45883.369444444441</v>
      </c>
      <c r="AC317" s="40" t="s">
        <v>806</v>
      </c>
      <c r="AD317" s="40"/>
      <c r="AE317" s="40"/>
      <c r="AF317" s="40"/>
      <c r="AG317" s="40" t="s">
        <v>135</v>
      </c>
      <c r="AH317" s="10"/>
      <c r="AI317" s="87"/>
      <c r="AJ317" s="87" cm="1">
        <f t="array" ref="AJ317">IFERROR(_xlfn.XLOOKUP(TRUE,COUNTIF(Tabla[[#This Row],[Etiquetas]:[Etiquetas17]],Versiones!$G$2:$G$36)&gt;0,Versiones!$B$2:$B$36), "")</f>
        <v>16</v>
      </c>
      <c r="AK317" s="87" t="str" cm="1">
        <f t="array" ref="AK317">IFERROR(_xlfn.XLOOKUP(TRUE,COUNTIF(Tabla[[#This Row],[Etiquetas]:[Etiquetas17]],Versiones!$G$2:$G$36)&gt;0,Versiones!$A$2:$A$36), "")</f>
        <v>V0.5.1</v>
      </c>
      <c r="AL31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7" s="78">
        <f>IFERROR(_xlfn.XLOOKUP(Tabla[[#This Row],[¿En qué versión fue corregido?]],Versiones!$A$2:$A$34,Versiones!$B$2:$B$34),"No encontrado")</f>
        <v>18</v>
      </c>
      <c r="AN317" s="87" t="str" cm="1">
        <f t="array" ref="AN317">IFERROR(_xlfn.XLOOKUP(TRUE,COUNTIF(Tabla[[#This Row],[Etiquetas]:[Etiquetas17]],Categorías!$A$2:$A$12)&gt;0,Categorías!$A$2:$A$12),"No encontrado")</f>
        <v>Contenido/Datos</v>
      </c>
      <c r="AO317" s="87" t="str" cm="1">
        <f t="array" ref="AO317">IFERROR(INDEX(Funcionalidades!$A$2:$A$80,MATCH(TRUE, COUNTIF(Reporte_Gral!R317:Z317,Funcionalidades!$A$2:$A$80)&gt;0,0)),"No encontrado")</f>
        <v>Pago-En-Efectivo</v>
      </c>
      <c r="AP317" s="87" t="str">
        <f>IF(AND(COUNTIF(Tabla[[#This Row],[Etiquetas]:[Etiquetas17]],"*UAT_V*")&gt;0,COUNTIF(Tabla[[#This Row],[Etiquetas]:[Etiquetas17]],"*QA-Integración*")=0),"SI","")</f>
        <v/>
      </c>
      <c r="AQ317" s="88" t="str" cm="1">
        <f t="array" ref="AQ317">IF(Tabla[[#This Row],[Fue encontrado durante UAT?]]="SI",IFERROR(_xlfn.XLOOKUP(TRUE,ISNUMBER(SEARCH("UAT_V",Tabla[[#This Row],[Etiquetas]:[Etiquetas17]])),Tabla[[#This Row],[Etiquetas]:[Etiquetas17]]),""),"")</f>
        <v/>
      </c>
      <c r="AR317" s="87" t="str">
        <f>IF(COUNTIF(Tabla[[#This Row],[Etiquetas]:[Etiquetas17]],"*Devuelto*")&gt;0,"SI","")</f>
        <v/>
      </c>
      <c r="AS317" s="167">
        <f>COUNTIF(Tabla[[#This Row],[Etiquetas]:[Etiquetas17]],"*Devuelto*")</f>
        <v>0</v>
      </c>
    </row>
    <row r="318" spans="1:45" ht="15" customHeight="1">
      <c r="A318" s="40" t="s">
        <v>128</v>
      </c>
      <c r="B318" s="40" t="s">
        <v>913</v>
      </c>
      <c r="C318" s="40">
        <v>86764</v>
      </c>
      <c r="D318" s="40" t="s">
        <v>914</v>
      </c>
      <c r="E318" s="40" t="s">
        <v>37</v>
      </c>
      <c r="F318" s="40" t="s">
        <v>26</v>
      </c>
      <c r="G318" s="40" t="s">
        <v>866</v>
      </c>
      <c r="H318" s="40" t="s">
        <v>802</v>
      </c>
      <c r="I318" s="40"/>
      <c r="J318" s="40"/>
      <c r="K318" s="40"/>
      <c r="L318" s="40"/>
      <c r="M318" s="40"/>
      <c r="N318" s="40"/>
      <c r="O318" s="40"/>
      <c r="P318" s="40"/>
      <c r="Q318" s="40"/>
      <c r="R318" s="40" t="s">
        <v>490</v>
      </c>
      <c r="S318" s="40" t="s">
        <v>225</v>
      </c>
      <c r="T318" s="40" t="s">
        <v>911</v>
      </c>
      <c r="U318" s="40" t="s">
        <v>226</v>
      </c>
      <c r="V318" s="40" t="s">
        <v>912</v>
      </c>
      <c r="W318" s="40" t="s">
        <v>154</v>
      </c>
      <c r="X318" s="40"/>
      <c r="Y318" s="40"/>
      <c r="Z318" s="40"/>
      <c r="AA318" s="40" t="s">
        <v>217</v>
      </c>
      <c r="AB318" s="53">
        <v>45883.339583333334</v>
      </c>
      <c r="AC318" s="40" t="s">
        <v>806</v>
      </c>
      <c r="AD318" s="40"/>
      <c r="AE318" s="40"/>
      <c r="AF318" s="40"/>
      <c r="AG318" s="40" t="s">
        <v>135</v>
      </c>
      <c r="AH318" s="10"/>
      <c r="AI318" s="87"/>
      <c r="AJ318" s="87" cm="1">
        <f t="array" ref="AJ318">IFERROR(_xlfn.XLOOKUP(TRUE,COUNTIF(Tabla[[#This Row],[Etiquetas]:[Etiquetas17]],Versiones!$G$2:$G$36)&gt;0,Versiones!$B$2:$B$36), "")</f>
        <v>16</v>
      </c>
      <c r="AK318" s="87" t="str" cm="1">
        <f t="array" ref="AK318">IFERROR(_xlfn.XLOOKUP(TRUE,COUNTIF(Tabla[[#This Row],[Etiquetas]:[Etiquetas17]],Versiones!$G$2:$G$36)&gt;0,Versiones!$A$2:$A$36), "")</f>
        <v>V0.5.1</v>
      </c>
      <c r="AL31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18" s="78">
        <f>IFERROR(_xlfn.XLOOKUP(Tabla[[#This Row],[¿En qué versión fue corregido?]],Versiones!$A$2:$A$34,Versiones!$B$2:$B$34),"No encontrado")</f>
        <v>18</v>
      </c>
      <c r="AN318" s="87" t="str" cm="1">
        <f t="array" ref="AN318">IFERROR(_xlfn.XLOOKUP(TRUE,COUNTIF(Tabla[[#This Row],[Etiquetas]:[Etiquetas17]],Categorías!$A$2:$A$12)&gt;0,Categorías!$A$2:$A$12),"No encontrado")</f>
        <v>Contenido/Datos</v>
      </c>
      <c r="AO318" s="87" t="str" cm="1">
        <f t="array" ref="AO318">IFERROR(INDEX(Funcionalidades!$A$2:$A$80,MATCH(TRUE, COUNTIF(Reporte_Gral!R318:Z318,Funcionalidades!$A$2:$A$80)&gt;0,0)),"No encontrado")</f>
        <v>Pago-Con-Tarjeta</v>
      </c>
      <c r="AP318" s="87" t="str">
        <f>IF(AND(COUNTIF(Tabla[[#This Row],[Etiquetas]:[Etiquetas17]],"*UAT_V*")&gt;0,COUNTIF(Tabla[[#This Row],[Etiquetas]:[Etiquetas17]],"*QA-Integración*")=0),"SI","")</f>
        <v/>
      </c>
      <c r="AQ318" s="88" t="str" cm="1">
        <f t="array" ref="AQ318">IF(Tabla[[#This Row],[Fue encontrado durante UAT?]]="SI",IFERROR(_xlfn.XLOOKUP(TRUE,ISNUMBER(SEARCH("UAT_V",Tabla[[#This Row],[Etiquetas]:[Etiquetas17]])),Tabla[[#This Row],[Etiquetas]:[Etiquetas17]]),""),"")</f>
        <v/>
      </c>
      <c r="AR318" s="87" t="str">
        <f>IF(COUNTIF(Tabla[[#This Row],[Etiquetas]:[Etiquetas17]],"*Devuelto*")&gt;0,"SI","")</f>
        <v/>
      </c>
      <c r="AS318" s="167">
        <f>COUNTIF(Tabla[[#This Row],[Etiquetas]:[Etiquetas17]],"*Devuelto*")</f>
        <v>0</v>
      </c>
    </row>
    <row r="319" spans="1:45" ht="15" customHeight="1">
      <c r="A319" s="40" t="s">
        <v>128</v>
      </c>
      <c r="B319" s="40" t="s">
        <v>915</v>
      </c>
      <c r="C319" s="40">
        <v>86759</v>
      </c>
      <c r="D319" s="40" t="s">
        <v>916</v>
      </c>
      <c r="E319" s="40" t="s">
        <v>37</v>
      </c>
      <c r="F319" s="40" t="s">
        <v>26</v>
      </c>
      <c r="G319" s="40" t="s">
        <v>917</v>
      </c>
      <c r="H319" s="40" t="s">
        <v>866</v>
      </c>
      <c r="I319" s="40" t="s">
        <v>802</v>
      </c>
      <c r="J319" s="40"/>
      <c r="K319" s="40"/>
      <c r="L319" s="40"/>
      <c r="M319" s="40"/>
      <c r="N319" s="40"/>
      <c r="O319" s="40"/>
      <c r="P319" s="40"/>
      <c r="Q319" s="40"/>
      <c r="R319" s="40" t="s">
        <v>460</v>
      </c>
      <c r="S319" s="40" t="s">
        <v>139</v>
      </c>
      <c r="T319" s="40" t="s">
        <v>911</v>
      </c>
      <c r="U319" s="40" t="s">
        <v>226</v>
      </c>
      <c r="V319" s="40" t="s">
        <v>154</v>
      </c>
      <c r="W319" s="40"/>
      <c r="X319" s="40"/>
      <c r="Y319" s="40"/>
      <c r="Z319" s="40"/>
      <c r="AA319" s="40" t="s">
        <v>217</v>
      </c>
      <c r="AB319" s="53">
        <v>45883.322916666664</v>
      </c>
      <c r="AC319" s="40" t="s">
        <v>805</v>
      </c>
      <c r="AD319" s="40"/>
      <c r="AE319" s="40"/>
      <c r="AF319" s="40"/>
      <c r="AG319" s="40" t="s">
        <v>135</v>
      </c>
      <c r="AH319" s="10"/>
      <c r="AI319" s="87"/>
      <c r="AJ319" s="87" cm="1">
        <f t="array" ref="AJ319">IFERROR(_xlfn.XLOOKUP(TRUE,COUNTIF(Tabla[[#This Row],[Etiquetas]:[Etiquetas17]],Versiones!$G$2:$G$36)&gt;0,Versiones!$B$2:$B$36), "")</f>
        <v>16</v>
      </c>
      <c r="AK319" s="87" t="str" cm="1">
        <f t="array" ref="AK319">IFERROR(_xlfn.XLOOKUP(TRUE,COUNTIF(Tabla[[#This Row],[Etiquetas]:[Etiquetas17]],Versiones!$G$2:$G$36)&gt;0,Versiones!$A$2:$A$36), "")</f>
        <v>V0.5.1</v>
      </c>
      <c r="AL31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19" s="78">
        <f>IFERROR(_xlfn.XLOOKUP(Tabla[[#This Row],[¿En qué versión fue corregido?]],Versiones!$A$2:$A$34,Versiones!$B$2:$B$34),"No encontrado")</f>
        <v>17</v>
      </c>
      <c r="AN319" s="87" t="str" cm="1">
        <f t="array" ref="AN319">IFERROR(_xlfn.XLOOKUP(TRUE,COUNTIF(Tabla[[#This Row],[Etiquetas]:[Etiquetas17]],Categorías!$A$2:$A$12)&gt;0,Categorías!$A$2:$A$12),"No encontrado")</f>
        <v>Funcional</v>
      </c>
      <c r="AO319" s="87" t="str" cm="1">
        <f t="array" ref="AO319">IFERROR(INDEX(Funcionalidades!$A$2:$A$80,MATCH(TRUE, COUNTIF(Reporte_Gral!R319:Z319,Funcionalidades!$A$2:$A$80)&gt;0,0)),"No encontrado")</f>
        <v>Cancelar-Venta</v>
      </c>
      <c r="AP319" s="87" t="str">
        <f>IF(AND(COUNTIF(Tabla[[#This Row],[Etiquetas]:[Etiquetas17]],"*UAT_V*")&gt;0,COUNTIF(Tabla[[#This Row],[Etiquetas]:[Etiquetas17]],"*QA-Integración*")=0),"SI","")</f>
        <v/>
      </c>
      <c r="AQ319" s="88" t="str" cm="1">
        <f t="array" ref="AQ319">IF(Tabla[[#This Row],[Fue encontrado durante UAT?]]="SI",IFERROR(_xlfn.XLOOKUP(TRUE,ISNUMBER(SEARCH("UAT_V",Tabla[[#This Row],[Etiquetas]:[Etiquetas17]])),Tabla[[#This Row],[Etiquetas]:[Etiquetas17]]),""),"")</f>
        <v/>
      </c>
      <c r="AR319" s="87" t="str">
        <f>IF(COUNTIF(Tabla[[#This Row],[Etiquetas]:[Etiquetas17]],"*Devuelto*")&gt;0,"SI","")</f>
        <v/>
      </c>
      <c r="AS319" s="167">
        <f>COUNTIF(Tabla[[#This Row],[Etiquetas]:[Etiquetas17]],"*Devuelto*")</f>
        <v>0</v>
      </c>
    </row>
    <row r="320" spans="1:45" ht="15" customHeight="1">
      <c r="A320" s="40" t="s">
        <v>128</v>
      </c>
      <c r="B320" s="40" t="s">
        <v>918</v>
      </c>
      <c r="C320" s="40">
        <v>86756</v>
      </c>
      <c r="D320" s="40" t="s">
        <v>919</v>
      </c>
      <c r="E320" s="40" t="s">
        <v>37</v>
      </c>
      <c r="F320" s="40" t="s">
        <v>26</v>
      </c>
      <c r="G320" s="40" t="s">
        <v>866</v>
      </c>
      <c r="H320" s="40" t="s">
        <v>802</v>
      </c>
      <c r="I320" s="40"/>
      <c r="J320" s="40"/>
      <c r="K320" s="40"/>
      <c r="L320" s="40"/>
      <c r="M320" s="40"/>
      <c r="N320" s="40"/>
      <c r="O320" s="40"/>
      <c r="P320" s="40"/>
      <c r="Q320" s="40"/>
      <c r="R320" s="40" t="s">
        <v>460</v>
      </c>
      <c r="S320" s="40" t="s">
        <v>139</v>
      </c>
      <c r="T320" s="40" t="s">
        <v>911</v>
      </c>
      <c r="U320" s="40" t="s">
        <v>226</v>
      </c>
      <c r="V320" s="40" t="s">
        <v>912</v>
      </c>
      <c r="W320" s="40" t="s">
        <v>154</v>
      </c>
      <c r="X320" s="40"/>
      <c r="Y320" s="40"/>
      <c r="Z320" s="40"/>
      <c r="AA320" s="40" t="s">
        <v>217</v>
      </c>
      <c r="AB320" s="53">
        <v>45883.3125</v>
      </c>
      <c r="AC320" s="40" t="s">
        <v>806</v>
      </c>
      <c r="AD320" s="40"/>
      <c r="AE320" s="40"/>
      <c r="AF320" s="40"/>
      <c r="AG320" s="40" t="s">
        <v>135</v>
      </c>
      <c r="AH320" s="10"/>
      <c r="AI320" s="87"/>
      <c r="AJ320" s="87" cm="1">
        <f t="array" ref="AJ320">IFERROR(_xlfn.XLOOKUP(TRUE,COUNTIF(Tabla[[#This Row],[Etiquetas]:[Etiquetas17]],Versiones!$G$2:$G$36)&gt;0,Versiones!$B$2:$B$36), "")</f>
        <v>16</v>
      </c>
      <c r="AK320" s="87" t="str" cm="1">
        <f t="array" ref="AK320">IFERROR(_xlfn.XLOOKUP(TRUE,COUNTIF(Tabla[[#This Row],[Etiquetas]:[Etiquetas17]],Versiones!$G$2:$G$36)&gt;0,Versiones!$A$2:$A$36), "")</f>
        <v>V0.5.1</v>
      </c>
      <c r="AL32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20" s="78">
        <f>IFERROR(_xlfn.XLOOKUP(Tabla[[#This Row],[¿En qué versión fue corregido?]],Versiones!$A$2:$A$34,Versiones!$B$2:$B$34),"No encontrado")</f>
        <v>18</v>
      </c>
      <c r="AN320" s="87" t="str" cm="1">
        <f t="array" ref="AN320">IFERROR(_xlfn.XLOOKUP(TRUE,COUNTIF(Tabla[[#This Row],[Etiquetas]:[Etiquetas17]],Categorías!$A$2:$A$12)&gt;0,Categorías!$A$2:$A$12),"No encontrado")</f>
        <v>Funcional</v>
      </c>
      <c r="AO320" s="87" t="str" cm="1">
        <f t="array" ref="AO320">IFERROR(INDEX(Funcionalidades!$A$2:$A$80,MATCH(TRUE, COUNTIF(Reporte_Gral!R320:Z320,Funcionalidades!$A$2:$A$80)&gt;0,0)),"No encontrado")</f>
        <v>Cancelar-Venta</v>
      </c>
      <c r="AP320" s="87" t="str">
        <f>IF(AND(COUNTIF(Tabla[[#This Row],[Etiquetas]:[Etiquetas17]],"*UAT_V*")&gt;0,COUNTIF(Tabla[[#This Row],[Etiquetas]:[Etiquetas17]],"*QA-Integración*")=0),"SI","")</f>
        <v/>
      </c>
      <c r="AQ320" s="88" t="str" cm="1">
        <f t="array" ref="AQ320">IF(Tabla[[#This Row],[Fue encontrado durante UAT?]]="SI",IFERROR(_xlfn.XLOOKUP(TRUE,ISNUMBER(SEARCH("UAT_V",Tabla[[#This Row],[Etiquetas]:[Etiquetas17]])),Tabla[[#This Row],[Etiquetas]:[Etiquetas17]]),""),"")</f>
        <v/>
      </c>
      <c r="AR320" s="87" t="str">
        <f>IF(COUNTIF(Tabla[[#This Row],[Etiquetas]:[Etiquetas17]],"*Devuelto*")&gt;0,"SI","")</f>
        <v/>
      </c>
      <c r="AS320" s="167">
        <f>COUNTIF(Tabla[[#This Row],[Etiquetas]:[Etiquetas17]],"*Devuelto*")</f>
        <v>0</v>
      </c>
    </row>
    <row r="321" spans="1:45" ht="15" customHeight="1">
      <c r="A321" s="40" t="s">
        <v>128</v>
      </c>
      <c r="B321" s="40" t="s">
        <v>920</v>
      </c>
      <c r="C321" s="40">
        <v>86496</v>
      </c>
      <c r="D321" s="40" t="s">
        <v>921</v>
      </c>
      <c r="E321" s="40" t="s">
        <v>37</v>
      </c>
      <c r="F321" s="40" t="s">
        <v>27</v>
      </c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 t="s">
        <v>292</v>
      </c>
      <c r="S321" s="40" t="s">
        <v>139</v>
      </c>
      <c r="T321" s="40" t="s">
        <v>922</v>
      </c>
      <c r="U321" s="40" t="s">
        <v>536</v>
      </c>
      <c r="V321" s="40"/>
      <c r="W321" s="40"/>
      <c r="X321" s="40"/>
      <c r="Y321" s="40"/>
      <c r="Z321" s="40"/>
      <c r="AA321" s="40" t="s">
        <v>261</v>
      </c>
      <c r="AB321" s="53">
        <v>45882.668055555558</v>
      </c>
      <c r="AC321" s="40"/>
      <c r="AD321" s="40"/>
      <c r="AE321" s="40"/>
      <c r="AF321" s="40"/>
      <c r="AG321" s="40" t="s">
        <v>135</v>
      </c>
      <c r="AH321" s="10"/>
      <c r="AI321" s="87"/>
      <c r="AJ321" s="87" cm="1">
        <f t="array" ref="AJ321">IFERROR(_xlfn.XLOOKUP(TRUE,COUNTIF(Tabla[[#This Row],[Etiquetas]:[Etiquetas17]],Versiones!$G$2:$G$36)&gt;0,Versiones!$B$2:$B$36), "")</f>
        <v>16</v>
      </c>
      <c r="AK321" s="87" t="str" cm="1">
        <f t="array" ref="AK321">IFERROR(_xlfn.XLOOKUP(TRUE,COUNTIF(Tabla[[#This Row],[Etiquetas]:[Etiquetas17]],Versiones!$G$2:$G$36)&gt;0,Versiones!$A$2:$A$36), "")</f>
        <v>V0.5.1</v>
      </c>
      <c r="AL32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21" s="78" t="str">
        <f>IFERROR(_xlfn.XLOOKUP(Tabla[[#This Row],[¿En qué versión fue corregido?]],Versiones!$A$2:$A$34,Versiones!$B$2:$B$34),"No encontrado")</f>
        <v>No encontrado</v>
      </c>
      <c r="AN321" s="87" t="str" cm="1">
        <f t="array" ref="AN321">IFERROR(_xlfn.XLOOKUP(TRUE,COUNTIF(Tabla[[#This Row],[Etiquetas]:[Etiquetas17]],Categorías!$A$2:$A$12)&gt;0,Categorías!$A$2:$A$12),"No encontrado")</f>
        <v>Funcional</v>
      </c>
      <c r="AO321" s="87" t="str" cm="1">
        <f t="array" ref="AO321">IFERROR(INDEX(Funcionalidades!$A$2:$A$80,MATCH(TRUE, COUNTIF(Reporte_Gral!R321:Z321,Funcionalidades!$A$2:$A$80)&gt;0,0)),"No encontrado")</f>
        <v>Atajos-Teclado</v>
      </c>
      <c r="AP321" s="87" t="str">
        <f>IF(AND(COUNTIF(Tabla[[#This Row],[Etiquetas]:[Etiquetas17]],"*UAT_V*")&gt;0,COUNTIF(Tabla[[#This Row],[Etiquetas]:[Etiquetas17]],"*QA-Integración*")=0),"SI","")</f>
        <v/>
      </c>
      <c r="AQ321" s="88" t="str" cm="1">
        <f t="array" ref="AQ321">IF(Tabla[[#This Row],[Fue encontrado durante UAT?]]="SI",IFERROR(_xlfn.XLOOKUP(TRUE,ISNUMBER(SEARCH("UAT_V",Tabla[[#This Row],[Etiquetas]:[Etiquetas17]])),Tabla[[#This Row],[Etiquetas]:[Etiquetas17]]),""),"")</f>
        <v/>
      </c>
      <c r="AR321" s="87" t="str">
        <f>IF(COUNTIF(Tabla[[#This Row],[Etiquetas]:[Etiquetas17]],"*Devuelto*")&gt;0,"SI","")</f>
        <v/>
      </c>
      <c r="AS321" s="167">
        <f>COUNTIF(Tabla[[#This Row],[Etiquetas]:[Etiquetas17]],"*Devuelto*")</f>
        <v>0</v>
      </c>
    </row>
    <row r="322" spans="1:45" ht="15" customHeight="1">
      <c r="A322" s="40" t="s">
        <v>128</v>
      </c>
      <c r="B322" s="40" t="s">
        <v>923</v>
      </c>
      <c r="C322" s="40">
        <v>86493</v>
      </c>
      <c r="D322" s="40" t="s">
        <v>924</v>
      </c>
      <c r="E322" s="40" t="s">
        <v>37</v>
      </c>
      <c r="F322" s="40" t="s">
        <v>24</v>
      </c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 t="s">
        <v>638</v>
      </c>
      <c r="S322" s="40" t="s">
        <v>139</v>
      </c>
      <c r="T322" s="40" t="s">
        <v>922</v>
      </c>
      <c r="U322" s="40"/>
      <c r="V322" s="40"/>
      <c r="W322" s="40"/>
      <c r="X322" s="40"/>
      <c r="Y322" s="40"/>
      <c r="Z322" s="40"/>
      <c r="AA322" s="40" t="s">
        <v>261</v>
      </c>
      <c r="AB322" s="53">
        <v>45882.664583333331</v>
      </c>
      <c r="AC322" s="40"/>
      <c r="AD322" s="40"/>
      <c r="AE322" s="40"/>
      <c r="AF322" s="40"/>
      <c r="AG322" s="40" t="s">
        <v>135</v>
      </c>
      <c r="AH322" s="10"/>
      <c r="AI322" s="87"/>
      <c r="AJ322" s="87" cm="1">
        <f t="array" ref="AJ322">IFERROR(_xlfn.XLOOKUP(TRUE,COUNTIF(Tabla[[#This Row],[Etiquetas]:[Etiquetas17]],Versiones!$G$2:$G$36)&gt;0,Versiones!$B$2:$B$36), "")</f>
        <v>16</v>
      </c>
      <c r="AK322" s="87" t="str" cm="1">
        <f t="array" ref="AK322">IFERROR(_xlfn.XLOOKUP(TRUE,COUNTIF(Tabla[[#This Row],[Etiquetas]:[Etiquetas17]],Versiones!$G$2:$G$36)&gt;0,Versiones!$A$2:$A$36), "")</f>
        <v>V0.5.1</v>
      </c>
      <c r="AL32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22" s="78" t="str">
        <f>IFERROR(_xlfn.XLOOKUP(Tabla[[#This Row],[¿En qué versión fue corregido?]],Versiones!$A$2:$A$34,Versiones!$B$2:$B$34),"No encontrado")</f>
        <v>No encontrado</v>
      </c>
      <c r="AN322" s="87" t="str" cm="1">
        <f t="array" ref="AN322">IFERROR(_xlfn.XLOOKUP(TRUE,COUNTIF(Tabla[[#This Row],[Etiquetas]:[Etiquetas17]],Categorías!$A$2:$A$12)&gt;0,Categorías!$A$2:$A$12),"No encontrado")</f>
        <v>Funcional</v>
      </c>
      <c r="AO322" s="87" t="str" cm="1">
        <f t="array" ref="AO322">IFERROR(INDEX(Funcionalidades!$A$2:$A$80,MATCH(TRUE, COUNTIF(Reporte_Gral!R322:Z322,Funcionalidades!$A$2:$A$80)&gt;0,0)),"No encontrado")</f>
        <v>Buscar-Artículo</v>
      </c>
      <c r="AP322" s="87" t="str">
        <f>IF(AND(COUNTIF(Tabla[[#This Row],[Etiquetas]:[Etiquetas17]],"*UAT_V*")&gt;0,COUNTIF(Tabla[[#This Row],[Etiquetas]:[Etiquetas17]],"*QA-Integración*")=0),"SI","")</f>
        <v/>
      </c>
      <c r="AQ322" s="88" t="str" cm="1">
        <f t="array" ref="AQ322">IF(Tabla[[#This Row],[Fue encontrado durante UAT?]]="SI",IFERROR(_xlfn.XLOOKUP(TRUE,ISNUMBER(SEARCH("UAT_V",Tabla[[#This Row],[Etiquetas]:[Etiquetas17]])),Tabla[[#This Row],[Etiquetas]:[Etiquetas17]]),""),"")</f>
        <v/>
      </c>
      <c r="AR322" s="87" t="str">
        <f>IF(COUNTIF(Tabla[[#This Row],[Etiquetas]:[Etiquetas17]],"*Devuelto*")&gt;0,"SI","")</f>
        <v/>
      </c>
      <c r="AS322" s="167">
        <f>COUNTIF(Tabla[[#This Row],[Etiquetas]:[Etiquetas17]],"*Devuelto*")</f>
        <v>0</v>
      </c>
    </row>
    <row r="323" spans="1:45" ht="15" customHeight="1">
      <c r="A323" s="40" t="s">
        <v>128</v>
      </c>
      <c r="B323" s="40" t="s">
        <v>925</v>
      </c>
      <c r="C323" s="40">
        <v>86368</v>
      </c>
      <c r="D323" s="40" t="s">
        <v>926</v>
      </c>
      <c r="E323" s="40" t="s">
        <v>37</v>
      </c>
      <c r="F323" s="40" t="s">
        <v>26</v>
      </c>
      <c r="G323" s="40" t="s">
        <v>917</v>
      </c>
      <c r="H323" s="40" t="s">
        <v>866</v>
      </c>
      <c r="I323" s="40" t="s">
        <v>802</v>
      </c>
      <c r="J323" s="40"/>
      <c r="K323" s="40"/>
      <c r="L323" s="40"/>
      <c r="M323" s="40"/>
      <c r="N323" s="40"/>
      <c r="O323" s="40"/>
      <c r="P323" s="40"/>
      <c r="Q323" s="40"/>
      <c r="R323" s="40" t="s">
        <v>490</v>
      </c>
      <c r="S323" s="40" t="s">
        <v>598</v>
      </c>
      <c r="T323" s="40" t="s">
        <v>922</v>
      </c>
      <c r="U323" s="40" t="s">
        <v>226</v>
      </c>
      <c r="V323" s="40" t="s">
        <v>154</v>
      </c>
      <c r="W323" s="40"/>
      <c r="X323" s="40"/>
      <c r="Y323" s="40"/>
      <c r="Z323" s="40"/>
      <c r="AA323" s="40" t="s">
        <v>261</v>
      </c>
      <c r="AB323" s="53">
        <v>45882.5625</v>
      </c>
      <c r="AC323" s="40" t="s">
        <v>805</v>
      </c>
      <c r="AD323" s="40"/>
      <c r="AE323" s="40"/>
      <c r="AF323" s="40"/>
      <c r="AG323" s="40" t="s">
        <v>135</v>
      </c>
      <c r="AH323" s="10"/>
      <c r="AI323" s="87"/>
      <c r="AJ323" s="87" cm="1">
        <f t="array" ref="AJ323">IFERROR(_xlfn.XLOOKUP(TRUE,COUNTIF(Tabla[[#This Row],[Etiquetas]:[Etiquetas17]],Versiones!$G$2:$G$36)&gt;0,Versiones!$B$2:$B$36), "")</f>
        <v>16</v>
      </c>
      <c r="AK323" s="87" t="str" cm="1">
        <f t="array" ref="AK323">IFERROR(_xlfn.XLOOKUP(TRUE,COUNTIF(Tabla[[#This Row],[Etiquetas]:[Etiquetas17]],Versiones!$G$2:$G$36)&gt;0,Versiones!$A$2:$A$36), "")</f>
        <v>V0.5.1</v>
      </c>
      <c r="AL32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23" s="78">
        <f>IFERROR(_xlfn.XLOOKUP(Tabla[[#This Row],[¿En qué versión fue corregido?]],Versiones!$A$2:$A$34,Versiones!$B$2:$B$34),"No encontrado")</f>
        <v>17</v>
      </c>
      <c r="AN323" s="87" t="str" cm="1">
        <f t="array" ref="AN323">IFERROR(_xlfn.XLOOKUP(TRUE,COUNTIF(Tabla[[#This Row],[Etiquetas]:[Etiquetas17]],Categorías!$A$2:$A$12)&gt;0,Categorías!$A$2:$A$12),"No encontrado")</f>
        <v>Contenido/Datos</v>
      </c>
      <c r="AO323" s="87" t="str" cm="1">
        <f t="array" ref="AO323">IFERROR(INDEX(Funcionalidades!$A$2:$A$80,MATCH(TRUE, COUNTIF(Reporte_Gral!R323:Z323,Funcionalidades!$A$2:$A$80)&gt;0,0)),"No encontrado")</f>
        <v>Logout</v>
      </c>
      <c r="AP323" s="87" t="str">
        <f>IF(AND(COUNTIF(Tabla[[#This Row],[Etiquetas]:[Etiquetas17]],"*UAT_V*")&gt;0,COUNTIF(Tabla[[#This Row],[Etiquetas]:[Etiquetas17]],"*QA-Integración*")=0),"SI","")</f>
        <v/>
      </c>
      <c r="AQ323" s="88" t="str" cm="1">
        <f t="array" ref="AQ323">IF(Tabla[[#This Row],[Fue encontrado durante UAT?]]="SI",IFERROR(_xlfn.XLOOKUP(TRUE,ISNUMBER(SEARCH("UAT_V",Tabla[[#This Row],[Etiquetas]:[Etiquetas17]])),Tabla[[#This Row],[Etiquetas]:[Etiquetas17]]),""),"")</f>
        <v/>
      </c>
      <c r="AR323" s="87" t="str">
        <f>IF(COUNTIF(Tabla[[#This Row],[Etiquetas]:[Etiquetas17]],"*Devuelto*")&gt;0,"SI","")</f>
        <v/>
      </c>
      <c r="AS323" s="167">
        <f>COUNTIF(Tabla[[#This Row],[Etiquetas]:[Etiquetas17]],"*Devuelto*")</f>
        <v>0</v>
      </c>
    </row>
    <row r="324" spans="1:45" ht="15" customHeight="1">
      <c r="A324" s="40" t="s">
        <v>128</v>
      </c>
      <c r="B324" s="40" t="s">
        <v>927</v>
      </c>
      <c r="C324" s="40">
        <v>86077</v>
      </c>
      <c r="D324" s="40" t="s">
        <v>928</v>
      </c>
      <c r="E324" s="40" t="s">
        <v>37</v>
      </c>
      <c r="F324" s="40" t="s">
        <v>24</v>
      </c>
      <c r="G324" s="40" t="s">
        <v>917</v>
      </c>
      <c r="H324" s="40" t="s">
        <v>866</v>
      </c>
      <c r="I324" s="40" t="s">
        <v>802</v>
      </c>
      <c r="J324" s="40" t="s">
        <v>753</v>
      </c>
      <c r="K324" s="40" t="s">
        <v>721</v>
      </c>
      <c r="L324" s="40" t="s">
        <v>637</v>
      </c>
      <c r="M324" s="40" t="s">
        <v>561</v>
      </c>
      <c r="N324" s="40" t="s">
        <v>429</v>
      </c>
      <c r="O324" s="40" t="s">
        <v>307</v>
      </c>
      <c r="P324" s="40" t="s">
        <v>224</v>
      </c>
      <c r="Q324" s="40" t="s">
        <v>151</v>
      </c>
      <c r="R324" s="40" t="s">
        <v>139</v>
      </c>
      <c r="S324" s="40" t="s">
        <v>481</v>
      </c>
      <c r="T324" s="40" t="s">
        <v>922</v>
      </c>
      <c r="U324" s="40" t="s">
        <v>226</v>
      </c>
      <c r="V324" s="40" t="s">
        <v>154</v>
      </c>
      <c r="W324" s="40"/>
      <c r="X324" s="40"/>
      <c r="Y324" s="40"/>
      <c r="Z324" s="40"/>
      <c r="AA324" s="40" t="s">
        <v>261</v>
      </c>
      <c r="AB324" s="53">
        <v>45881.670138888891</v>
      </c>
      <c r="AC324" s="40" t="s">
        <v>805</v>
      </c>
      <c r="AD324" s="40"/>
      <c r="AE324" s="40"/>
      <c r="AF324" s="40"/>
      <c r="AG324" s="40" t="s">
        <v>135</v>
      </c>
      <c r="AH324" s="10"/>
      <c r="AI324" s="87"/>
      <c r="AJ324" s="87" cm="1">
        <f t="array" ref="AJ324">IFERROR(_xlfn.XLOOKUP(TRUE,COUNTIF(Tabla[[#This Row],[Etiquetas]:[Etiquetas17]],Versiones!$G$2:$G$36)&gt;0,Versiones!$B$2:$B$36), "")</f>
        <v>16</v>
      </c>
      <c r="AK324" s="87" t="str" cm="1">
        <f t="array" ref="AK324">IFERROR(_xlfn.XLOOKUP(TRUE,COUNTIF(Tabla[[#This Row],[Etiquetas]:[Etiquetas17]],Versiones!$G$2:$G$36)&gt;0,Versiones!$A$2:$A$36), "")</f>
        <v>V0.5.1</v>
      </c>
      <c r="AL32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24" s="78">
        <f>IFERROR(_xlfn.XLOOKUP(Tabla[[#This Row],[¿En qué versión fue corregido?]],Versiones!$A$2:$A$34,Versiones!$B$2:$B$34),"No encontrado")</f>
        <v>17</v>
      </c>
      <c r="AN324" s="87" t="str" cm="1">
        <f t="array" ref="AN324">IFERROR(_xlfn.XLOOKUP(TRUE,COUNTIF(Tabla[[#This Row],[Etiquetas]:[Etiquetas17]],Categorías!$A$2:$A$12)&gt;0,Categorías!$A$2:$A$12),"No encontrado")</f>
        <v>Funcional</v>
      </c>
      <c r="AO324" s="87" t="str" cm="1">
        <f t="array" ref="AO324">IFERROR(INDEX(Funcionalidades!$A$2:$A$80,MATCH(TRUE, COUNTIF(Reporte_Gral!R324:Z324,Funcionalidades!$A$2:$A$80)&gt;0,0)),"No encontrado")</f>
        <v>Iniciar_Venta</v>
      </c>
      <c r="AP324" s="87" t="str">
        <f>IF(AND(COUNTIF(Tabla[[#This Row],[Etiquetas]:[Etiquetas17]],"*UAT_V*")&gt;0,COUNTIF(Tabla[[#This Row],[Etiquetas]:[Etiquetas17]],"*QA-Integración*")=0),"SI","")</f>
        <v/>
      </c>
      <c r="AQ324" s="88" t="str" cm="1">
        <f t="array" ref="AQ324">IF(Tabla[[#This Row],[Fue encontrado durante UAT?]]="SI",IFERROR(_xlfn.XLOOKUP(TRUE,ISNUMBER(SEARCH("UAT_V",Tabla[[#This Row],[Etiquetas]:[Etiquetas17]])),Tabla[[#This Row],[Etiquetas]:[Etiquetas17]]),""),"")</f>
        <v/>
      </c>
      <c r="AR324" s="87" t="str">
        <f>IF(COUNTIF(Tabla[[#This Row],[Etiquetas]:[Etiquetas17]],"*Devuelto*")&gt;0,"SI","")</f>
        <v/>
      </c>
      <c r="AS324" s="167">
        <f>COUNTIF(Tabla[[#This Row],[Etiquetas]:[Etiquetas17]],"*Devuelto*")</f>
        <v>0</v>
      </c>
    </row>
    <row r="325" spans="1:45" ht="15" customHeight="1">
      <c r="A325" s="40" t="s">
        <v>128</v>
      </c>
      <c r="B325" s="40" t="s">
        <v>929</v>
      </c>
      <c r="C325" s="40">
        <v>86040</v>
      </c>
      <c r="D325" s="40" t="s">
        <v>930</v>
      </c>
      <c r="E325" s="40" t="s">
        <v>40</v>
      </c>
      <c r="F325" s="40" t="s">
        <v>26</v>
      </c>
      <c r="G325" s="40" t="s">
        <v>224</v>
      </c>
      <c r="H325" s="40" t="s">
        <v>151</v>
      </c>
      <c r="I325" s="40"/>
      <c r="J325" s="40"/>
      <c r="K325" s="40"/>
      <c r="L325" s="40"/>
      <c r="M325" s="40"/>
      <c r="N325" s="40"/>
      <c r="O325" s="40"/>
      <c r="P325" s="40"/>
      <c r="Q325" s="40"/>
      <c r="R325" s="40" t="s">
        <v>877</v>
      </c>
      <c r="S325" s="40" t="s">
        <v>139</v>
      </c>
      <c r="T325" s="40" t="s">
        <v>922</v>
      </c>
      <c r="U325" s="40" t="s">
        <v>536</v>
      </c>
      <c r="V325" s="40"/>
      <c r="W325" s="40"/>
      <c r="X325" s="40"/>
      <c r="Y325" s="40"/>
      <c r="Z325" s="40"/>
      <c r="AA325" s="40" t="s">
        <v>261</v>
      </c>
      <c r="AB325" s="53">
        <v>45881.660416666666</v>
      </c>
      <c r="AC325" s="40" t="s">
        <v>174</v>
      </c>
      <c r="AD325" s="40"/>
      <c r="AE325" s="40"/>
      <c r="AF325" s="40"/>
      <c r="AG325" s="40" t="s">
        <v>135</v>
      </c>
      <c r="AH325" s="10"/>
      <c r="AI325" s="87"/>
      <c r="AJ325" s="87" cm="1">
        <f t="array" ref="AJ325">IFERROR(_xlfn.XLOOKUP(TRUE,COUNTIF(Tabla[[#This Row],[Etiquetas]:[Etiquetas17]],Versiones!$G$2:$G$36)&gt;0,Versiones!$B$2:$B$36), "")</f>
        <v>16</v>
      </c>
      <c r="AK325" s="87" t="str" cm="1">
        <f t="array" ref="AK325">IFERROR(_xlfn.XLOOKUP(TRUE,COUNTIF(Tabla[[#This Row],[Etiquetas]:[Etiquetas17]],Versiones!$G$2:$G$36)&gt;0,Versiones!$A$2:$A$36), "")</f>
        <v>V0.5.1</v>
      </c>
      <c r="AL32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V0.15</v>
      </c>
      <c r="AM325" s="78">
        <f>IFERROR(_xlfn.XLOOKUP(Tabla[[#This Row],[¿En qué versión fue corregido?]],Versiones!$A$2:$A$34,Versiones!$B$2:$B$34),"No encontrado")</f>
        <v>25</v>
      </c>
      <c r="AN325" s="87" t="str" cm="1">
        <f t="array" ref="AN325">IFERROR(_xlfn.XLOOKUP(TRUE,COUNTIF(Tabla[[#This Row],[Etiquetas]:[Etiquetas17]],Categorías!$A$2:$A$12)&gt;0,Categorías!$A$2:$A$12),"No encontrado")</f>
        <v>Funcional</v>
      </c>
      <c r="AO325" s="87" t="str" cm="1">
        <f t="array" ref="AO325">IFERROR(INDEX(Funcionalidades!$A$2:$A$80,MATCH(TRUE, COUNTIF(Reporte_Gral!R325:Z325,Funcionalidades!$A$2:$A$80)&gt;0,0)),"No encontrado")</f>
        <v>Checar-Precio</v>
      </c>
      <c r="AP325" s="87" t="str">
        <f>IF(AND(COUNTIF(Tabla[[#This Row],[Etiquetas]:[Etiquetas17]],"*UAT_V*")&gt;0,COUNTIF(Tabla[[#This Row],[Etiquetas]:[Etiquetas17]],"*QA-Integración*")=0),"SI","")</f>
        <v/>
      </c>
      <c r="AQ325" s="88" t="str" cm="1">
        <f t="array" ref="AQ325">IF(Tabla[[#This Row],[Fue encontrado durante UAT?]]="SI",IFERROR(_xlfn.XLOOKUP(TRUE,ISNUMBER(SEARCH("UAT_V",Tabla[[#This Row],[Etiquetas]:[Etiquetas17]])),Tabla[[#This Row],[Etiquetas]:[Etiquetas17]]),""),"")</f>
        <v/>
      </c>
      <c r="AR325" s="87" t="str">
        <f>IF(COUNTIF(Tabla[[#This Row],[Etiquetas]:[Etiquetas17]],"*Devuelto*")&gt;0,"SI","")</f>
        <v/>
      </c>
      <c r="AS325" s="167">
        <f>COUNTIF(Tabla[[#This Row],[Etiquetas]:[Etiquetas17]],"*Devuelto*")</f>
        <v>0</v>
      </c>
    </row>
    <row r="326" spans="1:45" ht="15" customHeight="1">
      <c r="A326" s="40" t="s">
        <v>128</v>
      </c>
      <c r="B326" s="40" t="s">
        <v>931</v>
      </c>
      <c r="C326" s="40">
        <v>86036</v>
      </c>
      <c r="D326" s="40" t="s">
        <v>932</v>
      </c>
      <c r="E326" s="40" t="s">
        <v>37</v>
      </c>
      <c r="F326" s="40" t="s">
        <v>24</v>
      </c>
      <c r="G326" s="40" t="s">
        <v>917</v>
      </c>
      <c r="H326" s="40" t="s">
        <v>866</v>
      </c>
      <c r="I326" s="40" t="s">
        <v>802</v>
      </c>
      <c r="J326" s="40" t="s">
        <v>753</v>
      </c>
      <c r="K326" s="40" t="s">
        <v>721</v>
      </c>
      <c r="L326" s="40" t="s">
        <v>637</v>
      </c>
      <c r="M326" s="40" t="s">
        <v>561</v>
      </c>
      <c r="N326" s="40" t="s">
        <v>429</v>
      </c>
      <c r="O326" s="40" t="s">
        <v>307</v>
      </c>
      <c r="P326" s="40" t="s">
        <v>224</v>
      </c>
      <c r="Q326" s="40" t="s">
        <v>151</v>
      </c>
      <c r="R326" s="40" t="s">
        <v>490</v>
      </c>
      <c r="S326" s="40" t="s">
        <v>237</v>
      </c>
      <c r="T326" s="40" t="s">
        <v>922</v>
      </c>
      <c r="U326" s="40" t="s">
        <v>226</v>
      </c>
      <c r="V326" s="40" t="s">
        <v>154</v>
      </c>
      <c r="W326" s="40"/>
      <c r="X326" s="40"/>
      <c r="Y326" s="40"/>
      <c r="Z326" s="40"/>
      <c r="AA326" s="40" t="s">
        <v>261</v>
      </c>
      <c r="AB326" s="53">
        <v>45881.646527777775</v>
      </c>
      <c r="AC326" s="40" t="s">
        <v>805</v>
      </c>
      <c r="AD326" s="40"/>
      <c r="AE326" s="40"/>
      <c r="AF326" s="40"/>
      <c r="AG326" s="40" t="s">
        <v>135</v>
      </c>
      <c r="AH326" s="10"/>
      <c r="AI326" s="87"/>
      <c r="AJ326" s="87" cm="1">
        <f t="array" ref="AJ326">IFERROR(_xlfn.XLOOKUP(TRUE,COUNTIF(Tabla[[#This Row],[Etiquetas]:[Etiquetas17]],Versiones!$G$2:$G$36)&gt;0,Versiones!$B$2:$B$36), "")</f>
        <v>16</v>
      </c>
      <c r="AK326" s="87" t="str" cm="1">
        <f t="array" ref="AK326">IFERROR(_xlfn.XLOOKUP(TRUE,COUNTIF(Tabla[[#This Row],[Etiquetas]:[Etiquetas17]],Versiones!$G$2:$G$36)&gt;0,Versiones!$A$2:$A$36), "")</f>
        <v>V0.5.1</v>
      </c>
      <c r="AL32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26" s="78">
        <f>IFERROR(_xlfn.XLOOKUP(Tabla[[#This Row],[¿En qué versión fue corregido?]],Versiones!$A$2:$A$34,Versiones!$B$2:$B$34),"No encontrado")</f>
        <v>17</v>
      </c>
      <c r="AN326" s="87" t="str" cm="1">
        <f t="array" ref="AN326">IFERROR(_xlfn.XLOOKUP(TRUE,COUNTIF(Tabla[[#This Row],[Etiquetas]:[Etiquetas17]],Categorías!$A$2:$A$12)&gt;0,Categorías!$A$2:$A$12),"No encontrado")</f>
        <v>Contenido/Datos</v>
      </c>
      <c r="AO326" s="87" t="str" cm="1">
        <f t="array" ref="AO326">IFERROR(INDEX(Funcionalidades!$A$2:$A$80,MATCH(TRUE, COUNTIF(Reporte_Gral!R326:Z326,Funcionalidades!$A$2:$A$80)&gt;0,0)),"No encontrado")</f>
        <v>Main-Dashboard</v>
      </c>
      <c r="AP326" s="87" t="str">
        <f>IF(AND(COUNTIF(Tabla[[#This Row],[Etiquetas]:[Etiquetas17]],"*UAT_V*")&gt;0,COUNTIF(Tabla[[#This Row],[Etiquetas]:[Etiquetas17]],"*QA-Integración*")=0),"SI","")</f>
        <v/>
      </c>
      <c r="AQ326" s="88" t="str" cm="1">
        <f t="array" ref="AQ326">IF(Tabla[[#This Row],[Fue encontrado durante UAT?]]="SI",IFERROR(_xlfn.XLOOKUP(TRUE,ISNUMBER(SEARCH("UAT_V",Tabla[[#This Row],[Etiquetas]:[Etiquetas17]])),Tabla[[#This Row],[Etiquetas]:[Etiquetas17]]),""),"")</f>
        <v/>
      </c>
      <c r="AR326" s="87" t="str">
        <f>IF(COUNTIF(Tabla[[#This Row],[Etiquetas]:[Etiquetas17]],"*Devuelto*")&gt;0,"SI","")</f>
        <v/>
      </c>
      <c r="AS326" s="167">
        <f>COUNTIF(Tabla[[#This Row],[Etiquetas]:[Etiquetas17]],"*Devuelto*")</f>
        <v>0</v>
      </c>
    </row>
    <row r="327" spans="1:45" ht="15" customHeight="1">
      <c r="A327" s="40" t="s">
        <v>128</v>
      </c>
      <c r="B327" s="40" t="s">
        <v>933</v>
      </c>
      <c r="C327" s="40">
        <v>85607</v>
      </c>
      <c r="D327" s="40" t="s">
        <v>934</v>
      </c>
      <c r="E327" s="40" t="s">
        <v>37</v>
      </c>
      <c r="F327" s="40" t="s">
        <v>24</v>
      </c>
      <c r="G327" s="40" t="s">
        <v>866</v>
      </c>
      <c r="H327" s="40" t="s">
        <v>802</v>
      </c>
      <c r="I327" s="40" t="s">
        <v>753</v>
      </c>
      <c r="J327" s="40" t="s">
        <v>721</v>
      </c>
      <c r="K327" s="40" t="s">
        <v>637</v>
      </c>
      <c r="L327" s="40" t="s">
        <v>561</v>
      </c>
      <c r="M327" s="40" t="s">
        <v>429</v>
      </c>
      <c r="N327" s="40" t="s">
        <v>307</v>
      </c>
      <c r="O327" s="40" t="s">
        <v>224</v>
      </c>
      <c r="P327" s="40" t="s">
        <v>151</v>
      </c>
      <c r="Q327" s="40"/>
      <c r="R327" s="40" t="s">
        <v>139</v>
      </c>
      <c r="S327" s="40" t="s">
        <v>935</v>
      </c>
      <c r="T327" s="40" t="s">
        <v>366</v>
      </c>
      <c r="U327" s="40"/>
      <c r="V327" s="40"/>
      <c r="W327" s="40"/>
      <c r="X327" s="40"/>
      <c r="Y327" s="40"/>
      <c r="Z327" s="40"/>
      <c r="AA327" s="40" t="s">
        <v>217</v>
      </c>
      <c r="AB327" s="53">
        <v>45880.621527777781</v>
      </c>
      <c r="AC327" s="40"/>
      <c r="AD327" s="40"/>
      <c r="AE327" s="40"/>
      <c r="AF327" s="40"/>
      <c r="AG327" s="40" t="s">
        <v>141</v>
      </c>
      <c r="AH327" s="10"/>
      <c r="AI327" s="87"/>
      <c r="AJ327" s="87" cm="1">
        <f t="array" ref="AJ327">IFERROR(_xlfn.XLOOKUP(TRUE,COUNTIF(Tabla[[#This Row],[Etiquetas]:[Etiquetas17]],Versiones!$G$2:$G$36)&gt;0,Versiones!$B$2:$B$36), "")</f>
        <v>16</v>
      </c>
      <c r="AK327" s="87" t="str" cm="1">
        <f t="array" ref="AK327">IFERROR(_xlfn.XLOOKUP(TRUE,COUNTIF(Tabla[[#This Row],[Etiquetas]:[Etiquetas17]],Versiones!$G$2:$G$36)&gt;0,Versiones!$A$2:$A$36), "")</f>
        <v>V0.4</v>
      </c>
      <c r="AL32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27" s="78" t="str">
        <f>IFERROR(_xlfn.XLOOKUP(Tabla[[#This Row],[¿En qué versión fue corregido?]],Versiones!$A$2:$A$34,Versiones!$B$2:$B$34),"No encontrado")</f>
        <v>No encontrado</v>
      </c>
      <c r="AN327" s="87" t="str" cm="1">
        <f t="array" ref="AN327">IFERROR(_xlfn.XLOOKUP(TRUE,COUNTIF(Tabla[[#This Row],[Etiquetas]:[Etiquetas17]],Categorías!$A$2:$A$12)&gt;0,Categorías!$A$2:$A$12),"No encontrado")</f>
        <v>Funcional</v>
      </c>
      <c r="AO327" s="87" t="str" cm="1">
        <f t="array" ref="AO327">IFERROR(INDEX(Funcionalidades!$A$2:$A$80,MATCH(TRUE, COUNTIF(Reporte_Gral!R327:Z327,Funcionalidades!$A$2:$A$80)&gt;0,0)),"No encontrado")</f>
        <v>Recibir-Mercancía-Pie-De-Camión</v>
      </c>
      <c r="AP327" s="87" t="str">
        <f>IF(AND(COUNTIF(Tabla[[#This Row],[Etiquetas]:[Etiquetas17]],"*UAT_V*")&gt;0,COUNTIF(Tabla[[#This Row],[Etiquetas]:[Etiquetas17]],"*QA-Integración*")=0),"SI","")</f>
        <v/>
      </c>
      <c r="AQ327" s="88" t="str" cm="1">
        <f t="array" ref="AQ327">IF(Tabla[[#This Row],[Fue encontrado durante UAT?]]="SI",IFERROR(_xlfn.XLOOKUP(TRUE,ISNUMBER(SEARCH("UAT_V",Tabla[[#This Row],[Etiquetas]:[Etiquetas17]])),Tabla[[#This Row],[Etiquetas]:[Etiquetas17]]),""),"")</f>
        <v/>
      </c>
      <c r="AR327" s="87" t="str">
        <f>IF(COUNTIF(Tabla[[#This Row],[Etiquetas]:[Etiquetas17]],"*Devuelto*")&gt;0,"SI","")</f>
        <v/>
      </c>
      <c r="AS327" s="167">
        <f>COUNTIF(Tabla[[#This Row],[Etiquetas]:[Etiquetas17]],"*Devuelto*")</f>
        <v>0</v>
      </c>
    </row>
    <row r="328" spans="1:45" ht="15" customHeight="1">
      <c r="A328" s="40" t="s">
        <v>128</v>
      </c>
      <c r="B328" s="40" t="s">
        <v>936</v>
      </c>
      <c r="C328" s="40">
        <v>85515</v>
      </c>
      <c r="D328" s="40" t="s">
        <v>937</v>
      </c>
      <c r="E328" s="40" t="s">
        <v>37</v>
      </c>
      <c r="F328" s="40" t="s">
        <v>24</v>
      </c>
      <c r="G328" s="40" t="s">
        <v>866</v>
      </c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 t="s">
        <v>158</v>
      </c>
      <c r="S328" s="40" t="s">
        <v>132</v>
      </c>
      <c r="T328" s="40" t="s">
        <v>935</v>
      </c>
      <c r="U328" s="40" t="s">
        <v>204</v>
      </c>
      <c r="V328" s="40" t="s">
        <v>912</v>
      </c>
      <c r="W328" s="40" t="s">
        <v>154</v>
      </c>
      <c r="X328" s="40"/>
      <c r="Y328" s="40"/>
      <c r="Z328" s="40"/>
      <c r="AA328" s="40" t="s">
        <v>217</v>
      </c>
      <c r="AB328" s="53">
        <v>45880.470833333333</v>
      </c>
      <c r="AC328" s="40" t="s">
        <v>806</v>
      </c>
      <c r="AD328" s="40"/>
      <c r="AE328" s="40"/>
      <c r="AF328" s="40"/>
      <c r="AG328" s="40" t="s">
        <v>141</v>
      </c>
      <c r="AH328" s="10"/>
      <c r="AI328" s="87"/>
      <c r="AJ328" s="87" cm="1">
        <f t="array" ref="AJ328">IFERROR(_xlfn.XLOOKUP(TRUE,COUNTIF(Tabla[[#This Row],[Etiquetas]:[Etiquetas17]],Versiones!$G$2:$G$36)&gt;0,Versiones!$B$2:$B$36), "")</f>
        <v>16</v>
      </c>
      <c r="AK328" s="87" t="str" cm="1">
        <f t="array" ref="AK328">IFERROR(_xlfn.XLOOKUP(TRUE,COUNTIF(Tabla[[#This Row],[Etiquetas]:[Etiquetas17]],Versiones!$G$2:$G$36)&gt;0,Versiones!$A$2:$A$36), "")</f>
        <v>V0.4</v>
      </c>
      <c r="AL32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28" s="78">
        <f>IFERROR(_xlfn.XLOOKUP(Tabla[[#This Row],[¿En qué versión fue corregido?]],Versiones!$A$2:$A$34,Versiones!$B$2:$B$34),"No encontrado")</f>
        <v>18</v>
      </c>
      <c r="AN328" s="87" t="str" cm="1">
        <f t="array" ref="AN328">IFERROR(_xlfn.XLOOKUP(TRUE,COUNTIF(Tabla[[#This Row],[Etiquetas]:[Etiquetas17]],Categorías!$A$2:$A$12)&gt;0,Categorías!$A$2:$A$12),"No encontrado")</f>
        <v>Look&amp;Feel</v>
      </c>
      <c r="AO328" s="87" t="str" cm="1">
        <f t="array" ref="AO328">IFERROR(INDEX(Funcionalidades!$A$2:$A$80,MATCH(TRUE, COUNTIF(Reporte_Gral!R328:Z328,Funcionalidades!$A$2:$A$80)&gt;0,0)),"No encontrado")</f>
        <v>Alivios</v>
      </c>
      <c r="AP328" s="87" t="str">
        <f>IF(AND(COUNTIF(Tabla[[#This Row],[Etiquetas]:[Etiquetas17]],"*UAT_V*")&gt;0,COUNTIF(Tabla[[#This Row],[Etiquetas]:[Etiquetas17]],"*QA-Integración*")=0),"SI","")</f>
        <v/>
      </c>
      <c r="AQ328" s="88" t="str" cm="1">
        <f t="array" ref="AQ328">IF(Tabla[[#This Row],[Fue encontrado durante UAT?]]="SI",IFERROR(_xlfn.XLOOKUP(TRUE,ISNUMBER(SEARCH("UAT_V",Tabla[[#This Row],[Etiquetas]:[Etiquetas17]])),Tabla[[#This Row],[Etiquetas]:[Etiquetas17]]),""),"")</f>
        <v/>
      </c>
      <c r="AR328" s="87" t="str">
        <f>IF(COUNTIF(Tabla[[#This Row],[Etiquetas]:[Etiquetas17]],"*Devuelto*")&gt;0,"SI","")</f>
        <v/>
      </c>
      <c r="AS328" s="167">
        <f>COUNTIF(Tabla[[#This Row],[Etiquetas]:[Etiquetas17]],"*Devuelto*")</f>
        <v>0</v>
      </c>
    </row>
    <row r="329" spans="1:45" ht="15" customHeight="1">
      <c r="A329" s="40" t="s">
        <v>128</v>
      </c>
      <c r="B329" s="40" t="s">
        <v>938</v>
      </c>
      <c r="C329" s="40">
        <v>84751</v>
      </c>
      <c r="D329" s="40" t="s">
        <v>939</v>
      </c>
      <c r="E329" s="40" t="s">
        <v>37</v>
      </c>
      <c r="F329" s="40" t="s">
        <v>26</v>
      </c>
      <c r="G329" s="40" t="s">
        <v>866</v>
      </c>
      <c r="H329" s="40" t="s">
        <v>802</v>
      </c>
      <c r="I329" s="40"/>
      <c r="J329" s="40"/>
      <c r="K329" s="40"/>
      <c r="L329" s="40"/>
      <c r="M329" s="40"/>
      <c r="N329" s="40"/>
      <c r="O329" s="40"/>
      <c r="P329" s="40"/>
      <c r="Q329" s="40"/>
      <c r="R329" s="40" t="s">
        <v>663</v>
      </c>
      <c r="S329" s="40" t="s">
        <v>490</v>
      </c>
      <c r="T329" s="40" t="s">
        <v>935</v>
      </c>
      <c r="U329" s="40" t="s">
        <v>226</v>
      </c>
      <c r="V329" s="40" t="s">
        <v>912</v>
      </c>
      <c r="W329" s="40" t="s">
        <v>154</v>
      </c>
      <c r="X329" s="40"/>
      <c r="Y329" s="40"/>
      <c r="Z329" s="40"/>
      <c r="AA329" s="40" t="s">
        <v>217</v>
      </c>
      <c r="AB329" s="53">
        <v>45877.421527777777</v>
      </c>
      <c r="AC329" s="40" t="s">
        <v>806</v>
      </c>
      <c r="AD329" s="40"/>
      <c r="AE329" s="40"/>
      <c r="AF329" s="40"/>
      <c r="AG329" s="40" t="s">
        <v>135</v>
      </c>
      <c r="AH329" s="10"/>
      <c r="AI329" s="87"/>
      <c r="AJ329" s="87" cm="1">
        <f t="array" ref="AJ329">IFERROR(_xlfn.XLOOKUP(TRUE,COUNTIF(Tabla[[#This Row],[Etiquetas]:[Etiquetas17]],Versiones!$G$2:$G$36)&gt;0,Versiones!$B$2:$B$36), "")</f>
        <v>16</v>
      </c>
      <c r="AK329" s="87" t="str" cm="1">
        <f t="array" ref="AK329">IFERROR(_xlfn.XLOOKUP(TRUE,COUNTIF(Tabla[[#This Row],[Etiquetas]:[Etiquetas17]],Versiones!$G$2:$G$36)&gt;0,Versiones!$A$2:$A$36), "")</f>
        <v>V0.4</v>
      </c>
      <c r="AL32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29" s="78">
        <f>IFERROR(_xlfn.XLOOKUP(Tabla[[#This Row],[¿En qué versión fue corregido?]],Versiones!$A$2:$A$34,Versiones!$B$2:$B$34),"No encontrado")</f>
        <v>18</v>
      </c>
      <c r="AN329" s="87" t="str" cm="1">
        <f t="array" ref="AN329">IFERROR(_xlfn.XLOOKUP(TRUE,COUNTIF(Tabla[[#This Row],[Etiquetas]:[Etiquetas17]],Categorías!$A$2:$A$12)&gt;0,Categorías!$A$2:$A$12),"No encontrado")</f>
        <v>Contenido/Datos</v>
      </c>
      <c r="AO329" s="87" t="str" cm="1">
        <f t="array" ref="AO329">IFERROR(INDEX(Funcionalidades!$A$2:$A$80,MATCH(TRUE, COUNTIF(Reporte_Gral!R329:Z329,Funcionalidades!$A$2:$A$80)&gt;0,0)),"No encontrado")</f>
        <v>Confirmar-Inicio-De-Turno</v>
      </c>
      <c r="AP329" s="87" t="str">
        <f>IF(AND(COUNTIF(Tabla[[#This Row],[Etiquetas]:[Etiquetas17]],"*UAT_V*")&gt;0,COUNTIF(Tabla[[#This Row],[Etiquetas]:[Etiquetas17]],"*QA-Integración*")=0),"SI","")</f>
        <v/>
      </c>
      <c r="AQ329" s="88" t="str" cm="1">
        <f t="array" ref="AQ329">IF(Tabla[[#This Row],[Fue encontrado durante UAT?]]="SI",IFERROR(_xlfn.XLOOKUP(TRUE,ISNUMBER(SEARCH("UAT_V",Tabla[[#This Row],[Etiquetas]:[Etiquetas17]])),Tabla[[#This Row],[Etiquetas]:[Etiquetas17]]),""),"")</f>
        <v/>
      </c>
      <c r="AR329" s="87" t="str">
        <f>IF(COUNTIF(Tabla[[#This Row],[Etiquetas]:[Etiquetas17]],"*Devuelto*")&gt;0,"SI","")</f>
        <v/>
      </c>
      <c r="AS329" s="167">
        <f>COUNTIF(Tabla[[#This Row],[Etiquetas]:[Etiquetas17]],"*Devuelto*")</f>
        <v>0</v>
      </c>
    </row>
    <row r="330" spans="1:45" ht="15" customHeight="1">
      <c r="A330" s="40" t="s">
        <v>128</v>
      </c>
      <c r="B330" s="40" t="s">
        <v>940</v>
      </c>
      <c r="C330" s="40">
        <v>84623</v>
      </c>
      <c r="D330" s="40" t="s">
        <v>941</v>
      </c>
      <c r="E330" s="40" t="s">
        <v>37</v>
      </c>
      <c r="F330" s="40" t="s">
        <v>24</v>
      </c>
      <c r="G330" s="40" t="s">
        <v>866</v>
      </c>
      <c r="H330" s="40" t="s">
        <v>802</v>
      </c>
      <c r="I330" s="40"/>
      <c r="J330" s="40"/>
      <c r="K330" s="40"/>
      <c r="L330" s="40"/>
      <c r="M330" s="40"/>
      <c r="N330" s="40"/>
      <c r="O330" s="40"/>
      <c r="P330" s="40"/>
      <c r="Q330" s="40"/>
      <c r="R330" s="40" t="s">
        <v>663</v>
      </c>
      <c r="S330" s="40" t="s">
        <v>490</v>
      </c>
      <c r="T330" s="40" t="s">
        <v>935</v>
      </c>
      <c r="U330" s="40" t="s">
        <v>204</v>
      </c>
      <c r="V330" s="40" t="s">
        <v>912</v>
      </c>
      <c r="W330" s="40" t="s">
        <v>154</v>
      </c>
      <c r="X330" s="40" t="s">
        <v>536</v>
      </c>
      <c r="Y330" s="40"/>
      <c r="Z330" s="40"/>
      <c r="AA330" s="40" t="s">
        <v>217</v>
      </c>
      <c r="AB330" s="53">
        <v>45877.323611111111</v>
      </c>
      <c r="AC330" s="40" t="s">
        <v>806</v>
      </c>
      <c r="AD330" s="40"/>
      <c r="AE330" s="40"/>
      <c r="AF330" s="40"/>
      <c r="AG330" s="40" t="s">
        <v>141</v>
      </c>
      <c r="AH330" s="10"/>
      <c r="AI330" s="87"/>
      <c r="AJ330" s="87" cm="1">
        <f t="array" ref="AJ330">IFERROR(_xlfn.XLOOKUP(TRUE,COUNTIF(Tabla[[#This Row],[Etiquetas]:[Etiquetas17]],Versiones!$G$2:$G$36)&gt;0,Versiones!$B$2:$B$36), "")</f>
        <v>16</v>
      </c>
      <c r="AK330" s="87" t="str" cm="1">
        <f t="array" ref="AK330">IFERROR(_xlfn.XLOOKUP(TRUE,COUNTIF(Tabla[[#This Row],[Etiquetas]:[Etiquetas17]],Versiones!$G$2:$G$36)&gt;0,Versiones!$A$2:$A$36), "")</f>
        <v>V0.4</v>
      </c>
      <c r="AL33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30" s="78">
        <f>IFERROR(_xlfn.XLOOKUP(Tabla[[#This Row],[¿En qué versión fue corregido?]],Versiones!$A$2:$A$34,Versiones!$B$2:$B$34),"No encontrado")</f>
        <v>18</v>
      </c>
      <c r="AN330" s="87" t="str" cm="1">
        <f t="array" ref="AN330">IFERROR(_xlfn.XLOOKUP(TRUE,COUNTIF(Tabla[[#This Row],[Etiquetas]:[Etiquetas17]],Categorías!$A$2:$A$12)&gt;0,Categorías!$A$2:$A$12),"No encontrado")</f>
        <v>Contenido/Datos</v>
      </c>
      <c r="AO330" s="87" t="str" cm="1">
        <f t="array" ref="AO330">IFERROR(INDEX(Funcionalidades!$A$2:$A$80,MATCH(TRUE, COUNTIF(Reporte_Gral!R330:Z330,Funcionalidades!$A$2:$A$80)&gt;0,0)),"No encontrado")</f>
        <v>Confirmar-Inicio-De-Turno</v>
      </c>
      <c r="AP330" s="87" t="str">
        <f>IF(AND(COUNTIF(Tabla[[#This Row],[Etiquetas]:[Etiquetas17]],"*UAT_V*")&gt;0,COUNTIF(Tabla[[#This Row],[Etiquetas]:[Etiquetas17]],"*QA-Integración*")=0),"SI","")</f>
        <v/>
      </c>
      <c r="AQ330" s="88" t="str" cm="1">
        <f t="array" ref="AQ330">IF(Tabla[[#This Row],[Fue encontrado durante UAT?]]="SI",IFERROR(_xlfn.XLOOKUP(TRUE,ISNUMBER(SEARCH("UAT_V",Tabla[[#This Row],[Etiquetas]:[Etiquetas17]])),Tabla[[#This Row],[Etiquetas]:[Etiquetas17]]),""),"")</f>
        <v/>
      </c>
      <c r="AR330" s="87" t="str">
        <f>IF(COUNTIF(Tabla[[#This Row],[Etiquetas]:[Etiquetas17]],"*Devuelto*")&gt;0,"SI","")</f>
        <v/>
      </c>
      <c r="AS330" s="167">
        <f>COUNTIF(Tabla[[#This Row],[Etiquetas]:[Etiquetas17]],"*Devuelto*")</f>
        <v>0</v>
      </c>
    </row>
    <row r="331" spans="1:45" ht="15" customHeight="1">
      <c r="A331" s="40" t="s">
        <v>128</v>
      </c>
      <c r="B331" s="40" t="s">
        <v>942</v>
      </c>
      <c r="C331" s="40">
        <v>84620</v>
      </c>
      <c r="D331" s="40" t="s">
        <v>943</v>
      </c>
      <c r="E331" s="40" t="s">
        <v>37</v>
      </c>
      <c r="F331" s="40" t="s">
        <v>26</v>
      </c>
      <c r="G331" s="40" t="s">
        <v>866</v>
      </c>
      <c r="H331" s="40" t="s">
        <v>802</v>
      </c>
      <c r="I331" s="40"/>
      <c r="J331" s="40"/>
      <c r="K331" s="40"/>
      <c r="L331" s="40"/>
      <c r="M331" s="40"/>
      <c r="N331" s="40"/>
      <c r="O331" s="40"/>
      <c r="P331" s="40"/>
      <c r="Q331" s="40"/>
      <c r="R331" s="40" t="s">
        <v>145</v>
      </c>
      <c r="S331" s="40" t="s">
        <v>139</v>
      </c>
      <c r="T331" s="40" t="s">
        <v>935</v>
      </c>
      <c r="U331" s="40" t="s">
        <v>226</v>
      </c>
      <c r="V331" s="40" t="s">
        <v>912</v>
      </c>
      <c r="W331" s="40" t="s">
        <v>154</v>
      </c>
      <c r="X331" s="40"/>
      <c r="Y331" s="40"/>
      <c r="Z331" s="40"/>
      <c r="AA331" s="40" t="s">
        <v>217</v>
      </c>
      <c r="AB331" s="53">
        <v>45877.289583333331</v>
      </c>
      <c r="AC331" s="40" t="s">
        <v>806</v>
      </c>
      <c r="AD331" s="40"/>
      <c r="AE331" s="40"/>
      <c r="AF331" s="40"/>
      <c r="AG331" s="40" t="s">
        <v>135</v>
      </c>
      <c r="AH331" s="10"/>
      <c r="AI331" s="87"/>
      <c r="AJ331" s="87" cm="1">
        <f t="array" ref="AJ331">IFERROR(_xlfn.XLOOKUP(TRUE,COUNTIF(Tabla[[#This Row],[Etiquetas]:[Etiquetas17]],Versiones!$G$2:$G$36)&gt;0,Versiones!$B$2:$B$36), "")</f>
        <v>16</v>
      </c>
      <c r="AK331" s="87" t="str" cm="1">
        <f t="array" ref="AK331">IFERROR(_xlfn.XLOOKUP(TRUE,COUNTIF(Tabla[[#This Row],[Etiquetas]:[Etiquetas17]],Versiones!$G$2:$G$36)&gt;0,Versiones!$A$2:$A$36), "")</f>
        <v>V0.4</v>
      </c>
      <c r="AL33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31" s="78">
        <f>IFERROR(_xlfn.XLOOKUP(Tabla[[#This Row],[¿En qué versión fue corregido?]],Versiones!$A$2:$A$34,Versiones!$B$2:$B$34),"No encontrado")</f>
        <v>18</v>
      </c>
      <c r="AN331" s="87" t="str" cm="1">
        <f t="array" ref="AN331">IFERROR(_xlfn.XLOOKUP(TRUE,COUNTIF(Tabla[[#This Row],[Etiquetas]:[Etiquetas17]],Categorías!$A$2:$A$12)&gt;0,Categorías!$A$2:$A$12),"No encontrado")</f>
        <v>Funcional</v>
      </c>
      <c r="AO331" s="87" t="str" cm="1">
        <f t="array" ref="AO331">IFERROR(INDEX(Funcionalidades!$A$2:$A$80,MATCH(TRUE, COUNTIF(Reporte_Gral!R331:Z331,Funcionalidades!$A$2:$A$80)&gt;0,0)),"No encontrado")</f>
        <v>Cierre-De-Turno</v>
      </c>
      <c r="AP331" s="87" t="str">
        <f>IF(AND(COUNTIF(Tabla[[#This Row],[Etiquetas]:[Etiquetas17]],"*UAT_V*")&gt;0,COUNTIF(Tabla[[#This Row],[Etiquetas]:[Etiquetas17]],"*QA-Integración*")=0),"SI","")</f>
        <v/>
      </c>
      <c r="AQ331" s="88" t="str" cm="1">
        <f t="array" ref="AQ331">IF(Tabla[[#This Row],[Fue encontrado durante UAT?]]="SI",IFERROR(_xlfn.XLOOKUP(TRUE,ISNUMBER(SEARCH("UAT_V",Tabla[[#This Row],[Etiquetas]:[Etiquetas17]])),Tabla[[#This Row],[Etiquetas]:[Etiquetas17]]),""),"")</f>
        <v/>
      </c>
      <c r="AR331" s="87" t="str">
        <f>IF(COUNTIF(Tabla[[#This Row],[Etiquetas]:[Etiquetas17]],"*Devuelto*")&gt;0,"SI","")</f>
        <v/>
      </c>
      <c r="AS331" s="167">
        <f>COUNTIF(Tabla[[#This Row],[Etiquetas]:[Etiquetas17]],"*Devuelto*")</f>
        <v>0</v>
      </c>
    </row>
    <row r="332" spans="1:45" ht="15" customHeight="1">
      <c r="A332" s="40" t="s">
        <v>128</v>
      </c>
      <c r="B332" s="40" t="s">
        <v>944</v>
      </c>
      <c r="C332" s="40">
        <v>84449</v>
      </c>
      <c r="D332" s="40" t="s">
        <v>945</v>
      </c>
      <c r="E332" s="40" t="s">
        <v>37</v>
      </c>
      <c r="F332" s="40" t="s">
        <v>24</v>
      </c>
      <c r="G332" s="40" t="s">
        <v>866</v>
      </c>
      <c r="H332" s="40" t="s">
        <v>802</v>
      </c>
      <c r="I332" s="40" t="s">
        <v>753</v>
      </c>
      <c r="J332" s="40" t="s">
        <v>721</v>
      </c>
      <c r="K332" s="40" t="s">
        <v>637</v>
      </c>
      <c r="L332" s="40" t="s">
        <v>561</v>
      </c>
      <c r="M332" s="40" t="s">
        <v>429</v>
      </c>
      <c r="N332" s="40" t="s">
        <v>307</v>
      </c>
      <c r="O332" s="40" t="s">
        <v>224</v>
      </c>
      <c r="P332" s="40" t="s">
        <v>151</v>
      </c>
      <c r="Q332" s="40"/>
      <c r="R332" s="40" t="s">
        <v>139</v>
      </c>
      <c r="S332" s="40" t="s">
        <v>481</v>
      </c>
      <c r="T332" s="40" t="s">
        <v>935</v>
      </c>
      <c r="U332" s="40" t="s">
        <v>226</v>
      </c>
      <c r="V332" s="40" t="s">
        <v>154</v>
      </c>
      <c r="W332" s="40"/>
      <c r="X332" s="40"/>
      <c r="Y332" s="40"/>
      <c r="Z332" s="40"/>
      <c r="AA332" s="40" t="s">
        <v>217</v>
      </c>
      <c r="AB332" s="53">
        <v>45876.560416666667</v>
      </c>
      <c r="AC332" s="40" t="s">
        <v>806</v>
      </c>
      <c r="AD332" s="40"/>
      <c r="AE332" s="40"/>
      <c r="AF332" s="40"/>
      <c r="AG332" s="40" t="s">
        <v>135</v>
      </c>
      <c r="AH332" s="10"/>
      <c r="AI332" s="87"/>
      <c r="AJ332" s="87" cm="1">
        <f t="array" ref="AJ332">IFERROR(_xlfn.XLOOKUP(TRUE,COUNTIF(Tabla[[#This Row],[Etiquetas]:[Etiquetas17]],Versiones!$G$2:$G$36)&gt;0,Versiones!$B$2:$B$36), "")</f>
        <v>16</v>
      </c>
      <c r="AK332" s="87" t="str" cm="1">
        <f t="array" ref="AK332">IFERROR(_xlfn.XLOOKUP(TRUE,COUNTIF(Tabla[[#This Row],[Etiquetas]:[Etiquetas17]],Versiones!$G$2:$G$36)&gt;0,Versiones!$A$2:$A$36), "")</f>
        <v>V0.4</v>
      </c>
      <c r="AL33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32" s="78">
        <f>IFERROR(_xlfn.XLOOKUP(Tabla[[#This Row],[¿En qué versión fue corregido?]],Versiones!$A$2:$A$34,Versiones!$B$2:$B$34),"No encontrado")</f>
        <v>18</v>
      </c>
      <c r="AN332" s="87" t="str" cm="1">
        <f t="array" ref="AN332">IFERROR(_xlfn.XLOOKUP(TRUE,COUNTIF(Tabla[[#This Row],[Etiquetas]:[Etiquetas17]],Categorías!$A$2:$A$12)&gt;0,Categorías!$A$2:$A$12),"No encontrado")</f>
        <v>Funcional</v>
      </c>
      <c r="AO332" s="87" t="str" cm="1">
        <f t="array" ref="AO332">IFERROR(INDEX(Funcionalidades!$A$2:$A$80,MATCH(TRUE, COUNTIF(Reporte_Gral!R332:Z332,Funcionalidades!$A$2:$A$80)&gt;0,0)),"No encontrado")</f>
        <v>Iniciar_Venta</v>
      </c>
      <c r="AP332" s="87" t="str">
        <f>IF(AND(COUNTIF(Tabla[[#This Row],[Etiquetas]:[Etiquetas17]],"*UAT_V*")&gt;0,COUNTIF(Tabla[[#This Row],[Etiquetas]:[Etiquetas17]],"*QA-Integración*")=0),"SI","")</f>
        <v/>
      </c>
      <c r="AQ332" s="88" t="str" cm="1">
        <f t="array" ref="AQ332">IF(Tabla[[#This Row],[Fue encontrado durante UAT?]]="SI",IFERROR(_xlfn.XLOOKUP(TRUE,ISNUMBER(SEARCH("UAT_V",Tabla[[#This Row],[Etiquetas]:[Etiquetas17]])),Tabla[[#This Row],[Etiquetas]:[Etiquetas17]]),""),"")</f>
        <v/>
      </c>
      <c r="AR332" s="87" t="str">
        <f>IF(COUNTIF(Tabla[[#This Row],[Etiquetas]:[Etiquetas17]],"*Devuelto*")&gt;0,"SI","")</f>
        <v/>
      </c>
      <c r="AS332" s="167">
        <f>COUNTIF(Tabla[[#This Row],[Etiquetas]:[Etiquetas17]],"*Devuelto*")</f>
        <v>0</v>
      </c>
    </row>
    <row r="333" spans="1:45" ht="15" customHeight="1">
      <c r="A333" s="40" t="s">
        <v>128</v>
      </c>
      <c r="B333" s="40" t="s">
        <v>946</v>
      </c>
      <c r="C333" s="40">
        <v>84277</v>
      </c>
      <c r="D333" s="40" t="s">
        <v>947</v>
      </c>
      <c r="E333" s="40" t="s">
        <v>37</v>
      </c>
      <c r="F333" s="40" t="s">
        <v>26</v>
      </c>
      <c r="G333" s="40" t="s">
        <v>866</v>
      </c>
      <c r="H333" s="40" t="s">
        <v>802</v>
      </c>
      <c r="I333" s="40"/>
      <c r="J333" s="40"/>
      <c r="K333" s="40"/>
      <c r="L333" s="40"/>
      <c r="M333" s="40"/>
      <c r="N333" s="40"/>
      <c r="O333" s="40"/>
      <c r="P333" s="40"/>
      <c r="Q333" s="40"/>
      <c r="R333" s="40" t="s">
        <v>460</v>
      </c>
      <c r="S333" s="40" t="s">
        <v>490</v>
      </c>
      <c r="T333" s="40" t="s">
        <v>935</v>
      </c>
      <c r="U333" s="40" t="s">
        <v>226</v>
      </c>
      <c r="V333" s="40" t="s">
        <v>154</v>
      </c>
      <c r="W333" s="40"/>
      <c r="X333" s="40"/>
      <c r="Y333" s="40"/>
      <c r="Z333" s="40"/>
      <c r="AA333" s="40" t="s">
        <v>217</v>
      </c>
      <c r="AB333" s="53">
        <v>45876.388194444444</v>
      </c>
      <c r="AC333" s="40" t="s">
        <v>805</v>
      </c>
      <c r="AD333" s="40"/>
      <c r="AE333" s="40"/>
      <c r="AF333" s="40"/>
      <c r="AG333" s="40" t="s">
        <v>135</v>
      </c>
      <c r="AH333" s="10"/>
      <c r="AI333" s="87"/>
      <c r="AJ333" s="87" cm="1">
        <f t="array" ref="AJ333">IFERROR(_xlfn.XLOOKUP(TRUE,COUNTIF(Tabla[[#This Row],[Etiquetas]:[Etiquetas17]],Versiones!$G$2:$G$36)&gt;0,Versiones!$B$2:$B$36), "")</f>
        <v>16</v>
      </c>
      <c r="AK333" s="87" t="str" cm="1">
        <f t="array" ref="AK333">IFERROR(_xlfn.XLOOKUP(TRUE,COUNTIF(Tabla[[#This Row],[Etiquetas]:[Etiquetas17]],Versiones!$G$2:$G$36)&gt;0,Versiones!$A$2:$A$36), "")</f>
        <v>V0.4</v>
      </c>
      <c r="AL33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33" s="78">
        <f>IFERROR(_xlfn.XLOOKUP(Tabla[[#This Row],[¿En qué versión fue corregido?]],Versiones!$A$2:$A$34,Versiones!$B$2:$B$34),"No encontrado")</f>
        <v>17</v>
      </c>
      <c r="AN333" s="87" t="str" cm="1">
        <f t="array" ref="AN333">IFERROR(_xlfn.XLOOKUP(TRUE,COUNTIF(Tabla[[#This Row],[Etiquetas]:[Etiquetas17]],Categorías!$A$2:$A$12)&gt;0,Categorías!$A$2:$A$12),"No encontrado")</f>
        <v>Contenido/Datos</v>
      </c>
      <c r="AO333" s="87" t="str" cm="1">
        <f t="array" ref="AO333">IFERROR(INDEX(Funcionalidades!$A$2:$A$80,MATCH(TRUE, COUNTIF(Reporte_Gral!R333:Z333,Funcionalidades!$A$2:$A$80)&gt;0,0)),"No encontrado")</f>
        <v>Cancelar-Venta</v>
      </c>
      <c r="AP333" s="87" t="str">
        <f>IF(AND(COUNTIF(Tabla[[#This Row],[Etiquetas]:[Etiquetas17]],"*UAT_V*")&gt;0,COUNTIF(Tabla[[#This Row],[Etiquetas]:[Etiquetas17]],"*QA-Integración*")=0),"SI","")</f>
        <v/>
      </c>
      <c r="AQ333" s="88" t="str" cm="1">
        <f t="array" ref="AQ333">IF(Tabla[[#This Row],[Fue encontrado durante UAT?]]="SI",IFERROR(_xlfn.XLOOKUP(TRUE,ISNUMBER(SEARCH("UAT_V",Tabla[[#This Row],[Etiquetas]:[Etiquetas17]])),Tabla[[#This Row],[Etiquetas]:[Etiquetas17]]),""),"")</f>
        <v/>
      </c>
      <c r="AR333" s="87" t="str">
        <f>IF(COUNTIF(Tabla[[#This Row],[Etiquetas]:[Etiquetas17]],"*Devuelto*")&gt;0,"SI","")</f>
        <v/>
      </c>
      <c r="AS333" s="167">
        <f>COUNTIF(Tabla[[#This Row],[Etiquetas]:[Etiquetas17]],"*Devuelto*")</f>
        <v>0</v>
      </c>
    </row>
    <row r="334" spans="1:45" ht="15" customHeight="1">
      <c r="A334" s="40" t="s">
        <v>128</v>
      </c>
      <c r="B334" s="40" t="s">
        <v>948</v>
      </c>
      <c r="C334" s="40">
        <v>83062</v>
      </c>
      <c r="D334" s="40" t="s">
        <v>949</v>
      </c>
      <c r="E334" s="40" t="s">
        <v>37</v>
      </c>
      <c r="F334" s="40" t="s">
        <v>26</v>
      </c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 t="s">
        <v>803</v>
      </c>
      <c r="S334" s="40" t="s">
        <v>139</v>
      </c>
      <c r="T334" s="40" t="s">
        <v>442</v>
      </c>
      <c r="U334" s="40" t="s">
        <v>950</v>
      </c>
      <c r="V334" s="40" t="s">
        <v>204</v>
      </c>
      <c r="W334" s="40" t="s">
        <v>226</v>
      </c>
      <c r="X334" s="40" t="s">
        <v>912</v>
      </c>
      <c r="Y334" s="40" t="s">
        <v>154</v>
      </c>
      <c r="Z334" s="40"/>
      <c r="AA334" s="40" t="s">
        <v>348</v>
      </c>
      <c r="AB334" s="53">
        <v>45873.227777777778</v>
      </c>
      <c r="AC334" s="40" t="s">
        <v>805</v>
      </c>
      <c r="AD334" s="40"/>
      <c r="AE334" s="40"/>
      <c r="AF334" s="40"/>
      <c r="AG334" s="40" t="s">
        <v>141</v>
      </c>
      <c r="AH334" s="10"/>
      <c r="AI334" s="87"/>
      <c r="AJ334" s="87" cm="1">
        <f t="array" ref="AJ334">IFERROR(_xlfn.XLOOKUP(TRUE,COUNTIF(Tabla[[#This Row],[Etiquetas]:[Etiquetas17]],Versiones!$G$2:$G$36)&gt;0,Versiones!$B$2:$B$36), "")</f>
        <v>16</v>
      </c>
      <c r="AK334" s="87" t="str" cm="1">
        <f t="array" ref="AK334">IFERROR(_xlfn.XLOOKUP(TRUE,COUNTIF(Tabla[[#This Row],[Etiquetas]:[Etiquetas17]],Versiones!$G$2:$G$36)&gt;0,Versiones!$A$2:$A$36), "")</f>
        <v>V0.4</v>
      </c>
      <c r="AL33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34" s="78">
        <f>IFERROR(_xlfn.XLOOKUP(Tabla[[#This Row],[¿En qué versión fue corregido?]],Versiones!$A$2:$A$34,Versiones!$B$2:$B$34),"No encontrado")</f>
        <v>17</v>
      </c>
      <c r="AN334" s="87" t="str" cm="1">
        <f t="array" ref="AN334">IFERROR(_xlfn.XLOOKUP(TRUE,COUNTIF(Tabla[[#This Row],[Etiquetas]:[Etiquetas17]],Categorías!$A$2:$A$12)&gt;0,Categorías!$A$2:$A$12),"No encontrado")</f>
        <v>Funcional</v>
      </c>
      <c r="AO334" s="87" t="str" cm="1">
        <f t="array" ref="AO334">IFERROR(INDEX(Funcionalidades!$A$2:$A$80,MATCH(TRUE, COUNTIF(Reporte_Gral!R334:Z334,Funcionalidades!$A$2:$A$80)&gt;0,0)),"No encontrado")</f>
        <v>Login</v>
      </c>
      <c r="AP334" s="87" t="str">
        <f>IF(AND(COUNTIF(Tabla[[#This Row],[Etiquetas]:[Etiquetas17]],"*UAT_V*")&gt;0,COUNTIF(Tabla[[#This Row],[Etiquetas]:[Etiquetas17]],"*QA-Integración*")=0),"SI","")</f>
        <v/>
      </c>
      <c r="AQ334" s="88" t="str" cm="1">
        <f t="array" ref="AQ334">IF(Tabla[[#This Row],[Fue encontrado durante UAT?]]="SI",IFERROR(_xlfn.XLOOKUP(TRUE,ISNUMBER(SEARCH("UAT_V",Tabla[[#This Row],[Etiquetas]:[Etiquetas17]])),Tabla[[#This Row],[Etiquetas]:[Etiquetas17]]),""),"")</f>
        <v/>
      </c>
      <c r="AR334" s="87" t="str">
        <f>IF(COUNTIF(Tabla[[#This Row],[Etiquetas]:[Etiquetas17]],"*Devuelto*")&gt;0,"SI","")</f>
        <v/>
      </c>
      <c r="AS334" s="167">
        <f>COUNTIF(Tabla[[#This Row],[Etiquetas]:[Etiquetas17]],"*Devuelto*")</f>
        <v>0</v>
      </c>
    </row>
    <row r="335" spans="1:45" ht="15" customHeight="1">
      <c r="A335" s="40" t="s">
        <v>128</v>
      </c>
      <c r="B335" s="40" t="s">
        <v>951</v>
      </c>
      <c r="C335" s="40">
        <v>83060</v>
      </c>
      <c r="D335" s="40" t="s">
        <v>952</v>
      </c>
      <c r="E335" s="40" t="s">
        <v>37</v>
      </c>
      <c r="F335" s="40" t="s">
        <v>26</v>
      </c>
      <c r="G335" s="40" t="s">
        <v>753</v>
      </c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 t="s">
        <v>803</v>
      </c>
      <c r="S335" s="40" t="s">
        <v>345</v>
      </c>
      <c r="T335" s="40" t="s">
        <v>132</v>
      </c>
      <c r="U335" s="40" t="s">
        <v>950</v>
      </c>
      <c r="V335" s="40" t="s">
        <v>226</v>
      </c>
      <c r="W335" s="40" t="s">
        <v>154</v>
      </c>
      <c r="X335" s="40"/>
      <c r="Y335" s="40"/>
      <c r="Z335" s="40"/>
      <c r="AA335" s="40" t="s">
        <v>348</v>
      </c>
      <c r="AB335" s="53">
        <v>45873.219444444447</v>
      </c>
      <c r="AC335" s="40" t="s">
        <v>760</v>
      </c>
      <c r="AD335" s="40"/>
      <c r="AE335" s="40"/>
      <c r="AF335" s="40"/>
      <c r="AG335" s="40" t="s">
        <v>135</v>
      </c>
      <c r="AH335" s="10"/>
      <c r="AI335" s="87"/>
      <c r="AJ335" s="87" cm="1">
        <f t="array" ref="AJ335">IFERROR(_xlfn.XLOOKUP(TRUE,COUNTIF(Tabla[[#This Row],[Etiquetas]:[Etiquetas17]],Versiones!$G$2:$G$36)&gt;0,Versiones!$B$2:$B$36), "")</f>
        <v>16</v>
      </c>
      <c r="AK335" s="87" t="str" cm="1">
        <f t="array" ref="AK335">IFERROR(_xlfn.XLOOKUP(TRUE,COUNTIF(Tabla[[#This Row],[Etiquetas]:[Etiquetas17]],Versiones!$G$2:$G$36)&gt;0,Versiones!$A$2:$A$36), "")</f>
        <v>V0.4</v>
      </c>
      <c r="AL33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35" s="78">
        <f>IFERROR(_xlfn.XLOOKUP(Tabla[[#This Row],[¿En qué versión fue corregido?]],Versiones!$A$2:$A$34,Versiones!$B$2:$B$34),"No encontrado")</f>
        <v>19</v>
      </c>
      <c r="AN335" s="87" t="str" cm="1">
        <f t="array" ref="AN335">IFERROR(_xlfn.XLOOKUP(TRUE,COUNTIF(Tabla[[#This Row],[Etiquetas]:[Etiquetas17]],Categorías!$A$2:$A$12)&gt;0,Categorías!$A$2:$A$12),"No encontrado")</f>
        <v>Look&amp;Feel</v>
      </c>
      <c r="AO335" s="87" t="str" cm="1">
        <f t="array" ref="AO335">IFERROR(INDEX(Funcionalidades!$A$2:$A$80,MATCH(TRUE, COUNTIF(Reporte_Gral!R335:Z335,Funcionalidades!$A$2:$A$80)&gt;0,0)),"No encontrado")</f>
        <v>Inicio-De-Turno</v>
      </c>
      <c r="AP335" s="87" t="str">
        <f>IF(AND(COUNTIF(Tabla[[#This Row],[Etiquetas]:[Etiquetas17]],"*UAT_V*")&gt;0,COUNTIF(Tabla[[#This Row],[Etiquetas]:[Etiquetas17]],"*QA-Integración*")=0),"SI","")</f>
        <v/>
      </c>
      <c r="AQ335" s="88" t="str" cm="1">
        <f t="array" ref="AQ335">IF(Tabla[[#This Row],[Fue encontrado durante UAT?]]="SI",IFERROR(_xlfn.XLOOKUP(TRUE,ISNUMBER(SEARCH("UAT_V",Tabla[[#This Row],[Etiquetas]:[Etiquetas17]])),Tabla[[#This Row],[Etiquetas]:[Etiquetas17]]),""),"")</f>
        <v/>
      </c>
      <c r="AR335" s="87" t="str">
        <f>IF(COUNTIF(Tabla[[#This Row],[Etiquetas]:[Etiquetas17]],"*Devuelto*")&gt;0,"SI","")</f>
        <v/>
      </c>
      <c r="AS335" s="167">
        <f>COUNTIF(Tabla[[#This Row],[Etiquetas]:[Etiquetas17]],"*Devuelto*")</f>
        <v>0</v>
      </c>
    </row>
    <row r="336" spans="1:45" ht="15" customHeight="1">
      <c r="A336" s="40" t="s">
        <v>128</v>
      </c>
      <c r="B336" s="40" t="s">
        <v>953</v>
      </c>
      <c r="C336" s="40">
        <v>83058</v>
      </c>
      <c r="D336" s="40" t="s">
        <v>954</v>
      </c>
      <c r="E336" s="40" t="s">
        <v>37</v>
      </c>
      <c r="F336" s="40" t="s">
        <v>246</v>
      </c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 t="s">
        <v>145</v>
      </c>
      <c r="S336" s="40" t="s">
        <v>803</v>
      </c>
      <c r="T336" s="40" t="s">
        <v>139</v>
      </c>
      <c r="U336" s="40" t="s">
        <v>950</v>
      </c>
      <c r="V336" s="40" t="s">
        <v>226</v>
      </c>
      <c r="W336" s="40" t="s">
        <v>154</v>
      </c>
      <c r="X336" s="40" t="s">
        <v>536</v>
      </c>
      <c r="Y336" s="40"/>
      <c r="Z336" s="40"/>
      <c r="AA336" s="40" t="s">
        <v>348</v>
      </c>
      <c r="AB336" s="53">
        <v>45873.196527777778</v>
      </c>
      <c r="AC336" s="40"/>
      <c r="AD336" s="40"/>
      <c r="AE336" s="40"/>
      <c r="AF336" s="40"/>
      <c r="AG336" s="40" t="s">
        <v>135</v>
      </c>
      <c r="AH336" s="10"/>
      <c r="AI336" s="87"/>
      <c r="AJ336" s="87" cm="1">
        <f t="array" ref="AJ336">IFERROR(_xlfn.XLOOKUP(TRUE,COUNTIF(Tabla[[#This Row],[Etiquetas]:[Etiquetas17]],Versiones!$G$2:$G$36)&gt;0,Versiones!$B$2:$B$36), "")</f>
        <v>16</v>
      </c>
      <c r="AK336" s="87" t="str" cm="1">
        <f t="array" ref="AK336">IFERROR(_xlfn.XLOOKUP(TRUE,COUNTIF(Tabla[[#This Row],[Etiquetas]:[Etiquetas17]],Versiones!$G$2:$G$36)&gt;0,Versiones!$A$2:$A$36), "")</f>
        <v>V0.4</v>
      </c>
      <c r="AL33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36" s="78" t="str">
        <f>IFERROR(_xlfn.XLOOKUP(Tabla[[#This Row],[¿En qué versión fue corregido?]],Versiones!$A$2:$A$34,Versiones!$B$2:$B$34),"No encontrado")</f>
        <v>No encontrado</v>
      </c>
      <c r="AN336" s="87" t="str" cm="1">
        <f t="array" ref="AN336">IFERROR(_xlfn.XLOOKUP(TRUE,COUNTIF(Tabla[[#This Row],[Etiquetas]:[Etiquetas17]],Categorías!$A$2:$A$12)&gt;0,Categorías!$A$2:$A$12),"No encontrado")</f>
        <v>Funcional</v>
      </c>
      <c r="AO336" s="87" t="str" cm="1">
        <f t="array" ref="AO336">IFERROR(INDEX(Funcionalidades!$A$2:$A$80,MATCH(TRUE, COUNTIF(Reporte_Gral!R336:Z336,Funcionalidades!$A$2:$A$80)&gt;0,0)),"No encontrado")</f>
        <v>Cierre-De-Turno</v>
      </c>
      <c r="AP336" s="87" t="str">
        <f>IF(AND(COUNTIF(Tabla[[#This Row],[Etiquetas]:[Etiquetas17]],"*UAT_V*")&gt;0,COUNTIF(Tabla[[#This Row],[Etiquetas]:[Etiquetas17]],"*QA-Integración*")=0),"SI","")</f>
        <v/>
      </c>
      <c r="AQ336" s="88" t="str" cm="1">
        <f t="array" ref="AQ336">IF(Tabla[[#This Row],[Fue encontrado durante UAT?]]="SI",IFERROR(_xlfn.XLOOKUP(TRUE,ISNUMBER(SEARCH("UAT_V",Tabla[[#This Row],[Etiquetas]:[Etiquetas17]])),Tabla[[#This Row],[Etiquetas]:[Etiquetas17]]),""),"")</f>
        <v/>
      </c>
      <c r="AR336" s="87" t="str">
        <f>IF(COUNTIF(Tabla[[#This Row],[Etiquetas]:[Etiquetas17]],"*Devuelto*")&gt;0,"SI","")</f>
        <v/>
      </c>
      <c r="AS336" s="167">
        <f>COUNTIF(Tabla[[#This Row],[Etiquetas]:[Etiquetas17]],"*Devuelto*")</f>
        <v>0</v>
      </c>
    </row>
    <row r="337" spans="1:45" ht="15" customHeight="1">
      <c r="A337" s="40" t="s">
        <v>128</v>
      </c>
      <c r="B337" s="40" t="s">
        <v>955</v>
      </c>
      <c r="C337" s="40">
        <v>83056</v>
      </c>
      <c r="D337" s="40" t="s">
        <v>956</v>
      </c>
      <c r="E337" s="40" t="s">
        <v>37</v>
      </c>
      <c r="F337" s="40" t="s">
        <v>246</v>
      </c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 t="s">
        <v>145</v>
      </c>
      <c r="S337" s="40" t="s">
        <v>803</v>
      </c>
      <c r="T337" s="40" t="s">
        <v>139</v>
      </c>
      <c r="U337" s="40" t="s">
        <v>950</v>
      </c>
      <c r="V337" s="40" t="s">
        <v>226</v>
      </c>
      <c r="W337" s="40" t="s">
        <v>154</v>
      </c>
      <c r="X337" s="40" t="s">
        <v>536</v>
      </c>
      <c r="Y337" s="40"/>
      <c r="Z337" s="40"/>
      <c r="AA337" s="40" t="s">
        <v>348</v>
      </c>
      <c r="AB337" s="53">
        <v>45873.193749999999</v>
      </c>
      <c r="AC337" s="40"/>
      <c r="AD337" s="40"/>
      <c r="AE337" s="40"/>
      <c r="AF337" s="40"/>
      <c r="AG337" s="40" t="s">
        <v>135</v>
      </c>
      <c r="AH337" s="10"/>
      <c r="AI337" s="87"/>
      <c r="AJ337" s="87" cm="1">
        <f t="array" ref="AJ337">IFERROR(_xlfn.XLOOKUP(TRUE,COUNTIF(Tabla[[#This Row],[Etiquetas]:[Etiquetas17]],Versiones!$G$2:$G$36)&gt;0,Versiones!$B$2:$B$36), "")</f>
        <v>16</v>
      </c>
      <c r="AK337" s="87" t="str" cm="1">
        <f t="array" ref="AK337">IFERROR(_xlfn.XLOOKUP(TRUE,COUNTIF(Tabla[[#This Row],[Etiquetas]:[Etiquetas17]],Versiones!$G$2:$G$36)&gt;0,Versiones!$A$2:$A$36), "")</f>
        <v>V0.4</v>
      </c>
      <c r="AL33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37" s="78" t="str">
        <f>IFERROR(_xlfn.XLOOKUP(Tabla[[#This Row],[¿En qué versión fue corregido?]],Versiones!$A$2:$A$34,Versiones!$B$2:$B$34),"No encontrado")</f>
        <v>No encontrado</v>
      </c>
      <c r="AN337" s="87" t="str" cm="1">
        <f t="array" ref="AN337">IFERROR(_xlfn.XLOOKUP(TRUE,COUNTIF(Tabla[[#This Row],[Etiquetas]:[Etiquetas17]],Categorías!$A$2:$A$12)&gt;0,Categorías!$A$2:$A$12),"No encontrado")</f>
        <v>Funcional</v>
      </c>
      <c r="AO337" s="87" t="str" cm="1">
        <f t="array" ref="AO337">IFERROR(INDEX(Funcionalidades!$A$2:$A$80,MATCH(TRUE, COUNTIF(Reporte_Gral!R337:Z337,Funcionalidades!$A$2:$A$80)&gt;0,0)),"No encontrado")</f>
        <v>Cierre-De-Turno</v>
      </c>
      <c r="AP337" s="87" t="str">
        <f>IF(AND(COUNTIF(Tabla[[#This Row],[Etiquetas]:[Etiquetas17]],"*UAT_V*")&gt;0,COUNTIF(Tabla[[#This Row],[Etiquetas]:[Etiquetas17]],"*QA-Integración*")=0),"SI","")</f>
        <v/>
      </c>
      <c r="AQ337" s="88" t="str" cm="1">
        <f t="array" ref="AQ337">IF(Tabla[[#This Row],[Fue encontrado durante UAT?]]="SI",IFERROR(_xlfn.XLOOKUP(TRUE,ISNUMBER(SEARCH("UAT_V",Tabla[[#This Row],[Etiquetas]:[Etiquetas17]])),Tabla[[#This Row],[Etiquetas]:[Etiquetas17]]),""),"")</f>
        <v/>
      </c>
      <c r="AR337" s="87" t="str">
        <f>IF(COUNTIF(Tabla[[#This Row],[Etiquetas]:[Etiquetas17]],"*Devuelto*")&gt;0,"SI","")</f>
        <v/>
      </c>
      <c r="AS337" s="167">
        <f>COUNTIF(Tabla[[#This Row],[Etiquetas]:[Etiquetas17]],"*Devuelto*")</f>
        <v>0</v>
      </c>
    </row>
    <row r="338" spans="1:45" ht="15" customHeight="1">
      <c r="A338" s="40" t="s">
        <v>128</v>
      </c>
      <c r="B338" s="40" t="s">
        <v>957</v>
      </c>
      <c r="C338" s="40">
        <v>83054</v>
      </c>
      <c r="D338" s="40" t="s">
        <v>958</v>
      </c>
      <c r="E338" s="40" t="s">
        <v>36</v>
      </c>
      <c r="F338" s="40" t="s">
        <v>27</v>
      </c>
      <c r="G338" s="40" t="s">
        <v>866</v>
      </c>
      <c r="H338" s="40" t="s">
        <v>802</v>
      </c>
      <c r="I338" s="40" t="s">
        <v>637</v>
      </c>
      <c r="J338" s="40" t="s">
        <v>561</v>
      </c>
      <c r="K338" s="40" t="s">
        <v>429</v>
      </c>
      <c r="L338" s="40" t="s">
        <v>151</v>
      </c>
      <c r="M338" s="40"/>
      <c r="N338" s="40"/>
      <c r="O338" s="40"/>
      <c r="P338" s="40"/>
      <c r="Q338" s="40"/>
      <c r="R338" s="40" t="s">
        <v>579</v>
      </c>
      <c r="S338" s="40" t="s">
        <v>620</v>
      </c>
      <c r="T338" s="40" t="s">
        <v>803</v>
      </c>
      <c r="U338" s="40" t="s">
        <v>371</v>
      </c>
      <c r="V338" s="40" t="s">
        <v>132</v>
      </c>
      <c r="W338" s="40" t="s">
        <v>950</v>
      </c>
      <c r="X338" s="40" t="s">
        <v>204</v>
      </c>
      <c r="Y338" s="40" t="s">
        <v>154</v>
      </c>
      <c r="Z338" s="40"/>
      <c r="AA338" s="40" t="s">
        <v>324</v>
      </c>
      <c r="AB338" s="53">
        <v>45873.171527777777</v>
      </c>
      <c r="AC338" s="40" t="s">
        <v>155</v>
      </c>
      <c r="AD338" s="40" t="s">
        <v>805</v>
      </c>
      <c r="AE338" s="40" t="s">
        <v>806</v>
      </c>
      <c r="AF338" s="40" t="s">
        <v>760</v>
      </c>
      <c r="AG338" s="40" t="s">
        <v>141</v>
      </c>
      <c r="AH338" s="10"/>
      <c r="AI338" s="87"/>
      <c r="AJ338" s="87" cm="1">
        <f t="array" ref="AJ338">IFERROR(_xlfn.XLOOKUP(TRUE,COUNTIF(Tabla[[#This Row],[Etiquetas]:[Etiquetas17]],Versiones!$G$2:$G$36)&gt;0,Versiones!$B$2:$B$36), "")</f>
        <v>16</v>
      </c>
      <c r="AK338" s="87" t="str" cm="1">
        <f t="array" ref="AK338">IFERROR(_xlfn.XLOOKUP(TRUE,COUNTIF(Tabla[[#This Row],[Etiquetas]:[Etiquetas17]],Versiones!$G$2:$G$36)&gt;0,Versiones!$A$2:$A$36), "")</f>
        <v>V0.4</v>
      </c>
      <c r="AL33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38" s="78">
        <f>IFERROR(_xlfn.XLOOKUP(Tabla[[#This Row],[¿En qué versión fue corregido?]],Versiones!$A$2:$A$34,Versiones!$B$2:$B$34),"No encontrado")</f>
        <v>19</v>
      </c>
      <c r="AN338" s="87" t="str" cm="1">
        <f t="array" ref="AN338">IFERROR(_xlfn.XLOOKUP(TRUE,COUNTIF(Tabla[[#This Row],[Etiquetas]:[Etiquetas17]],Categorías!$A$2:$A$12)&gt;0,Categorías!$A$2:$A$12),"No encontrado")</f>
        <v>Look&amp;Feel</v>
      </c>
      <c r="AO338" s="87" t="str" cm="1">
        <f t="array" ref="AO338">IFERROR(INDEX(Funcionalidades!$A$2:$A$80,MATCH(TRUE, COUNTIF(Reporte_Gral!R338:Z338,Funcionalidades!$A$2:$A$80)&gt;0,0)),"No encontrado")</f>
        <v>Cierre-De-Día</v>
      </c>
      <c r="AP338" s="87" t="str">
        <f>IF(AND(COUNTIF(Tabla[[#This Row],[Etiquetas]:[Etiquetas17]],"*UAT_V*")&gt;0,COUNTIF(Tabla[[#This Row],[Etiquetas]:[Etiquetas17]],"*QA-Integración*")=0),"SI","")</f>
        <v/>
      </c>
      <c r="AQ338" s="88" t="str" cm="1">
        <f t="array" ref="AQ338">IF(Tabla[[#This Row],[Fue encontrado durante UAT?]]="SI",IFERROR(_xlfn.XLOOKUP(TRUE,ISNUMBER(SEARCH("UAT_V",Tabla[[#This Row],[Etiquetas]:[Etiquetas17]])),Tabla[[#This Row],[Etiquetas]:[Etiquetas17]]),""),"")</f>
        <v/>
      </c>
      <c r="AR338" s="87" t="str">
        <f>IF(COUNTIF(Tabla[[#This Row],[Etiquetas]:[Etiquetas17]],"*Devuelto*")&gt;0,"SI","")</f>
        <v>SI</v>
      </c>
      <c r="AS338" s="167">
        <f>COUNTIF(Tabla[[#This Row],[Etiquetas]:[Etiquetas17]],"*Devuelto*")</f>
        <v>1</v>
      </c>
    </row>
    <row r="339" spans="1:45" ht="15" customHeight="1">
      <c r="A339" s="40" t="s">
        <v>128</v>
      </c>
      <c r="B339" s="40" t="s">
        <v>959</v>
      </c>
      <c r="C339" s="40">
        <v>83049</v>
      </c>
      <c r="D339" s="40" t="s">
        <v>960</v>
      </c>
      <c r="E339" s="40" t="s">
        <v>37</v>
      </c>
      <c r="F339" s="40" t="s">
        <v>26</v>
      </c>
      <c r="G339" s="40" t="s">
        <v>802</v>
      </c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 t="s">
        <v>302</v>
      </c>
      <c r="S339" s="40" t="s">
        <v>287</v>
      </c>
      <c r="T339" s="40" t="s">
        <v>961</v>
      </c>
      <c r="U339" s="40" t="s">
        <v>835</v>
      </c>
      <c r="V339" s="40" t="s">
        <v>950</v>
      </c>
      <c r="W339" s="40" t="s">
        <v>226</v>
      </c>
      <c r="X339" s="40" t="s">
        <v>154</v>
      </c>
      <c r="Y339" s="40"/>
      <c r="Z339" s="40"/>
      <c r="AA339" s="40" t="s">
        <v>348</v>
      </c>
      <c r="AB339" s="53">
        <v>45873.148611111108</v>
      </c>
      <c r="AC339" s="40" t="s">
        <v>760</v>
      </c>
      <c r="AD339" s="40"/>
      <c r="AE339" s="40"/>
      <c r="AF339" s="40"/>
      <c r="AG339" s="40" t="s">
        <v>135</v>
      </c>
      <c r="AH339" s="10"/>
      <c r="AI339" s="87"/>
      <c r="AJ339" s="87" cm="1">
        <f t="array" ref="AJ339">IFERROR(_xlfn.XLOOKUP(TRUE,COUNTIF(Tabla[[#This Row],[Etiquetas]:[Etiquetas17]],Versiones!$G$2:$G$36)&gt;0,Versiones!$B$2:$B$36), "")</f>
        <v>16</v>
      </c>
      <c r="AK339" s="87" t="str" cm="1">
        <f t="array" ref="AK339">IFERROR(_xlfn.XLOOKUP(TRUE,COUNTIF(Tabla[[#This Row],[Etiquetas]:[Etiquetas17]],Versiones!$G$2:$G$36)&gt;0,Versiones!$A$2:$A$36), "")</f>
        <v>V0.4</v>
      </c>
      <c r="AL33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39" s="78">
        <f>IFERROR(_xlfn.XLOOKUP(Tabla[[#This Row],[¿En qué versión fue corregido?]],Versiones!$A$2:$A$34,Versiones!$B$2:$B$34),"No encontrado")</f>
        <v>19</v>
      </c>
      <c r="AN339" s="87" t="str" cm="1">
        <f t="array" ref="AN339">IFERROR(_xlfn.XLOOKUP(TRUE,COUNTIF(Tabla[[#This Row],[Etiquetas]:[Etiquetas17]],Categorías!$A$2:$A$12)&gt;0,Categorías!$A$2:$A$12),"No encontrado")</f>
        <v>Integración</v>
      </c>
      <c r="AO339" s="87" t="str" cm="1">
        <f t="array" ref="AO339">IFERROR(INDEX(Funcionalidades!$A$2:$A$80,MATCH(TRUE, COUNTIF(Reporte_Gral!R339:Z339,Funcionalidades!$A$2:$A$80)&gt;0,0)),"No encontrado")</f>
        <v>Devoluciones</v>
      </c>
      <c r="AP339" s="87" t="str">
        <f>IF(AND(COUNTIF(Tabla[[#This Row],[Etiquetas]:[Etiquetas17]],"*UAT_V*")&gt;0,COUNTIF(Tabla[[#This Row],[Etiquetas]:[Etiquetas17]],"*QA-Integración*")=0),"SI","")</f>
        <v/>
      </c>
      <c r="AQ339" s="88" t="str" cm="1">
        <f t="array" ref="AQ339">IF(Tabla[[#This Row],[Fue encontrado durante UAT?]]="SI",IFERROR(_xlfn.XLOOKUP(TRUE,ISNUMBER(SEARCH("UAT_V",Tabla[[#This Row],[Etiquetas]:[Etiquetas17]])),Tabla[[#This Row],[Etiquetas]:[Etiquetas17]]),""),"")</f>
        <v/>
      </c>
      <c r="AR339" s="87" t="str">
        <f>IF(COUNTIF(Tabla[[#This Row],[Etiquetas]:[Etiquetas17]],"*Devuelto*")&gt;0,"SI","")</f>
        <v/>
      </c>
      <c r="AS339" s="167">
        <f>COUNTIF(Tabla[[#This Row],[Etiquetas]:[Etiquetas17]],"*Devuelto*")</f>
        <v>0</v>
      </c>
    </row>
    <row r="340" spans="1:45" ht="15" customHeight="1">
      <c r="A340" s="40" t="s">
        <v>128</v>
      </c>
      <c r="B340" s="40" t="s">
        <v>962</v>
      </c>
      <c r="C340" s="40">
        <v>83046</v>
      </c>
      <c r="D340" s="40" t="s">
        <v>963</v>
      </c>
      <c r="E340" s="40" t="s">
        <v>37</v>
      </c>
      <c r="F340" s="40" t="s">
        <v>26</v>
      </c>
      <c r="G340" s="40" t="s">
        <v>307</v>
      </c>
      <c r="H340" s="40" t="s">
        <v>224</v>
      </c>
      <c r="I340" s="40" t="s">
        <v>151</v>
      </c>
      <c r="J340" s="40"/>
      <c r="K340" s="40"/>
      <c r="L340" s="40"/>
      <c r="M340" s="40"/>
      <c r="N340" s="40"/>
      <c r="O340" s="40"/>
      <c r="P340" s="40"/>
      <c r="Q340" s="40"/>
      <c r="R340" s="40" t="s">
        <v>803</v>
      </c>
      <c r="S340" s="40" t="s">
        <v>139</v>
      </c>
      <c r="T340" s="40" t="s">
        <v>950</v>
      </c>
      <c r="U340" s="40" t="s">
        <v>152</v>
      </c>
      <c r="V340" s="40" t="s">
        <v>204</v>
      </c>
      <c r="W340" s="40" t="s">
        <v>154</v>
      </c>
      <c r="X340" s="40" t="s">
        <v>536</v>
      </c>
      <c r="Y340" s="40"/>
      <c r="Z340" s="40"/>
      <c r="AA340" s="40" t="s">
        <v>348</v>
      </c>
      <c r="AB340" s="53">
        <v>45873.130555555559</v>
      </c>
      <c r="AC340" s="40" t="s">
        <v>329</v>
      </c>
      <c r="AD340" s="40" t="s">
        <v>805</v>
      </c>
      <c r="AE340" s="40"/>
      <c r="AF340" s="40"/>
      <c r="AG340" s="40" t="s">
        <v>141</v>
      </c>
      <c r="AH340" s="10"/>
      <c r="AI340" s="87"/>
      <c r="AJ340" s="87" cm="1">
        <f t="array" ref="AJ340">IFERROR(_xlfn.XLOOKUP(TRUE,COUNTIF(Tabla[[#This Row],[Etiquetas]:[Etiquetas17]],Versiones!$G$2:$G$36)&gt;0,Versiones!$B$2:$B$36), "")</f>
        <v>16</v>
      </c>
      <c r="AK340" s="87" t="str" cm="1">
        <f t="array" ref="AK340">IFERROR(_xlfn.XLOOKUP(TRUE,COUNTIF(Tabla[[#This Row],[Etiquetas]:[Etiquetas17]],Versiones!$G$2:$G$36)&gt;0,Versiones!$A$2:$A$36), "")</f>
        <v>V0.4</v>
      </c>
      <c r="AL34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0" s="78">
        <f>IFERROR(_xlfn.XLOOKUP(Tabla[[#This Row],[¿En qué versión fue corregido?]],Versiones!$A$2:$A$34,Versiones!$B$2:$B$34),"No encontrado")</f>
        <v>17</v>
      </c>
      <c r="AN340" s="87" t="str" cm="1">
        <f t="array" ref="AN340">IFERROR(_xlfn.XLOOKUP(TRUE,COUNTIF(Tabla[[#This Row],[Etiquetas]:[Etiquetas17]],Categorías!$A$2:$A$12)&gt;0,Categorías!$A$2:$A$12),"No encontrado")</f>
        <v>Funcional</v>
      </c>
      <c r="AO340" s="87" t="str" cm="1">
        <f t="array" ref="AO340">IFERROR(INDEX(Funcionalidades!$A$2:$A$80,MATCH(TRUE, COUNTIF(Reporte_Gral!R340:Z340,Funcionalidades!$A$2:$A$80)&gt;0,0)),"No encontrado")</f>
        <v>Registrar-Merma</v>
      </c>
      <c r="AP340" s="87" t="str">
        <f>IF(AND(COUNTIF(Tabla[[#This Row],[Etiquetas]:[Etiquetas17]],"*UAT_V*")&gt;0,COUNTIF(Tabla[[#This Row],[Etiquetas]:[Etiquetas17]],"*QA-Integración*")=0),"SI","")</f>
        <v/>
      </c>
      <c r="AQ340" s="87" t="str" cm="1">
        <f t="array" ref="AQ340">IF(Tabla[[#This Row],[Fue encontrado durante UAT?]]="SI",IFERROR(_xlfn.XLOOKUP(TRUE,ISNUMBER(SEARCH("UAT_V",Tabla[[#This Row],[Etiquetas]:[Etiquetas17]])),Tabla[[#This Row],[Etiquetas]:[Etiquetas17]]),""),"")</f>
        <v/>
      </c>
      <c r="AR340" s="87" t="str">
        <f>IF(COUNTIF(Tabla[[#This Row],[Etiquetas]:[Etiquetas17]],"*Devuelto*")&gt;0,"SI","")</f>
        <v/>
      </c>
      <c r="AS340" s="167">
        <f>COUNTIF(Tabla[[#This Row],[Etiquetas]:[Etiquetas17]],"*Devuelto*")</f>
        <v>0</v>
      </c>
    </row>
    <row r="341" spans="1:45" ht="15" customHeight="1">
      <c r="A341" s="40" t="s">
        <v>128</v>
      </c>
      <c r="B341" s="40" t="s">
        <v>964</v>
      </c>
      <c r="C341" s="40">
        <v>83044</v>
      </c>
      <c r="D341" s="40" t="s">
        <v>965</v>
      </c>
      <c r="E341" s="40" t="s">
        <v>37</v>
      </c>
      <c r="F341" s="40" t="s">
        <v>26</v>
      </c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 t="s">
        <v>803</v>
      </c>
      <c r="S341" s="40" t="s">
        <v>139</v>
      </c>
      <c r="T341" s="40" t="s">
        <v>950</v>
      </c>
      <c r="U341" s="40" t="s">
        <v>152</v>
      </c>
      <c r="V341" s="40" t="s">
        <v>204</v>
      </c>
      <c r="W341" s="40" t="s">
        <v>154</v>
      </c>
      <c r="X341" s="40"/>
      <c r="Y341" s="40"/>
      <c r="Z341" s="40"/>
      <c r="AA341" s="40" t="s">
        <v>348</v>
      </c>
      <c r="AB341" s="53">
        <v>45873.129166666666</v>
      </c>
      <c r="AC341" s="40" t="s">
        <v>805</v>
      </c>
      <c r="AD341" s="40"/>
      <c r="AE341" s="40"/>
      <c r="AF341" s="40"/>
      <c r="AG341" s="40" t="s">
        <v>141</v>
      </c>
      <c r="AH341" s="10"/>
      <c r="AI341" s="87"/>
      <c r="AJ341" s="87" cm="1">
        <f t="array" ref="AJ341">IFERROR(_xlfn.XLOOKUP(TRUE,COUNTIF(Tabla[[#This Row],[Etiquetas]:[Etiquetas17]],Versiones!$G$2:$G$36)&gt;0,Versiones!$B$2:$B$36), "")</f>
        <v>16</v>
      </c>
      <c r="AK341" s="87" t="str" cm="1">
        <f t="array" ref="AK341">IFERROR(_xlfn.XLOOKUP(TRUE,COUNTIF(Tabla[[#This Row],[Etiquetas]:[Etiquetas17]],Versiones!$G$2:$G$36)&gt;0,Versiones!$A$2:$A$36), "")</f>
        <v>V0.4</v>
      </c>
      <c r="AL34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1" s="78">
        <f>IFERROR(_xlfn.XLOOKUP(Tabla[[#This Row],[¿En qué versión fue corregido?]],Versiones!$A$2:$A$34,Versiones!$B$2:$B$34),"No encontrado")</f>
        <v>17</v>
      </c>
      <c r="AN341" s="87" t="str" cm="1">
        <f t="array" ref="AN341">IFERROR(_xlfn.XLOOKUP(TRUE,COUNTIF(Tabla[[#This Row],[Etiquetas]:[Etiquetas17]],Categorías!$A$2:$A$12)&gt;0,Categorías!$A$2:$A$12),"No encontrado")</f>
        <v>Funcional</v>
      </c>
      <c r="AO341" s="87" t="str" cm="1">
        <f t="array" ref="AO341">IFERROR(INDEX(Funcionalidades!$A$2:$A$80,MATCH(TRUE, COUNTIF(Reporte_Gral!R341:Z341,Funcionalidades!$A$2:$A$80)&gt;0,0)),"No encontrado")</f>
        <v>Registrar-Merma</v>
      </c>
      <c r="AP341" s="87" t="str">
        <f>IF(AND(COUNTIF(Tabla[[#This Row],[Etiquetas]:[Etiquetas17]],"*UAT_V*")&gt;0,COUNTIF(Tabla[[#This Row],[Etiquetas]:[Etiquetas17]],"*QA-Integración*")=0),"SI","")</f>
        <v/>
      </c>
      <c r="AQ341" s="87" t="str" cm="1">
        <f t="array" ref="AQ341">IF(Tabla[[#This Row],[Fue encontrado durante UAT?]]="SI",IFERROR(_xlfn.XLOOKUP(TRUE,ISNUMBER(SEARCH("UAT_V",Tabla[[#This Row],[Etiquetas]:[Etiquetas17]])),Tabla[[#This Row],[Etiquetas]:[Etiquetas17]]),""),"")</f>
        <v/>
      </c>
      <c r="AR341" s="87" t="str">
        <f>IF(COUNTIF(Tabla[[#This Row],[Etiquetas]:[Etiquetas17]],"*Devuelto*")&gt;0,"SI","")</f>
        <v/>
      </c>
      <c r="AS341" s="167">
        <f>COUNTIF(Tabla[[#This Row],[Etiquetas]:[Etiquetas17]],"*Devuelto*")</f>
        <v>0</v>
      </c>
    </row>
    <row r="342" spans="1:45" ht="15" customHeight="1">
      <c r="A342" s="40" t="s">
        <v>128</v>
      </c>
      <c r="B342" s="40" t="s">
        <v>966</v>
      </c>
      <c r="C342" s="40">
        <v>83042</v>
      </c>
      <c r="D342" s="40" t="s">
        <v>967</v>
      </c>
      <c r="E342" s="40" t="s">
        <v>37</v>
      </c>
      <c r="F342" s="40" t="s">
        <v>246</v>
      </c>
      <c r="G342" s="40" t="s">
        <v>307</v>
      </c>
      <c r="H342" s="40" t="s">
        <v>151</v>
      </c>
      <c r="I342" s="40"/>
      <c r="J342" s="40"/>
      <c r="K342" s="40"/>
      <c r="L342" s="40"/>
      <c r="M342" s="40"/>
      <c r="N342" s="40"/>
      <c r="O342" s="40"/>
      <c r="P342" s="40"/>
      <c r="Q342" s="40"/>
      <c r="R342" s="40" t="s">
        <v>420</v>
      </c>
      <c r="S342" s="40" t="s">
        <v>803</v>
      </c>
      <c r="T342" s="40" t="s">
        <v>139</v>
      </c>
      <c r="U342" s="40" t="s">
        <v>950</v>
      </c>
      <c r="V342" s="40" t="s">
        <v>152</v>
      </c>
      <c r="W342" s="40" t="s">
        <v>204</v>
      </c>
      <c r="X342" s="40" t="s">
        <v>154</v>
      </c>
      <c r="Y342" s="40" t="s">
        <v>536</v>
      </c>
      <c r="Z342" s="40"/>
      <c r="AA342" s="40" t="s">
        <v>348</v>
      </c>
      <c r="AB342" s="53">
        <v>45873.128472222219</v>
      </c>
      <c r="AC342" s="40" t="s">
        <v>155</v>
      </c>
      <c r="AD342" s="40"/>
      <c r="AE342" s="40"/>
      <c r="AF342" s="40"/>
      <c r="AG342" s="40" t="s">
        <v>141</v>
      </c>
      <c r="AH342" s="10"/>
      <c r="AI342" s="87"/>
      <c r="AJ342" s="87" cm="1">
        <f t="array" ref="AJ342">IFERROR(_xlfn.XLOOKUP(TRUE,COUNTIF(Tabla[[#This Row],[Etiquetas]:[Etiquetas17]],Versiones!$G$2:$G$36)&gt;0,Versiones!$B$2:$B$36), "")</f>
        <v>16</v>
      </c>
      <c r="AK342" s="87" t="str" cm="1">
        <f t="array" ref="AK342">IFERROR(_xlfn.XLOOKUP(TRUE,COUNTIF(Tabla[[#This Row],[Etiquetas]:[Etiquetas17]],Versiones!$G$2:$G$36)&gt;0,Versiones!$A$2:$A$36), "")</f>
        <v>V0.4</v>
      </c>
      <c r="AL34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V0.16</v>
      </c>
      <c r="AM342" s="78">
        <f>IFERROR(_xlfn.XLOOKUP(Tabla[[#This Row],[¿En qué versión fue corregido?]],Versiones!$A$2:$A$34,Versiones!$B$2:$B$34),"No encontrado")</f>
        <v>0</v>
      </c>
      <c r="AN342" s="87" t="str" cm="1">
        <f t="array" ref="AN342">IFERROR(_xlfn.XLOOKUP(TRUE,COUNTIF(Tabla[[#This Row],[Etiquetas]:[Etiquetas17]],Categorías!$A$2:$A$12)&gt;0,Categorías!$A$2:$A$12),"No encontrado")</f>
        <v>Funcional</v>
      </c>
      <c r="AO342" s="87" t="str" cm="1">
        <f t="array" ref="AO342">IFERROR(INDEX(Funcionalidades!$A$2:$A$80,MATCH(TRUE, COUNTIF(Reporte_Gral!R342:Z342,Funcionalidades!$A$2:$A$80)&gt;0,0)),"No encontrado")</f>
        <v>Registrar-Merma</v>
      </c>
      <c r="AP342" s="87" t="str">
        <f>IF(AND(COUNTIF(Tabla[[#This Row],[Etiquetas]:[Etiquetas17]],"*UAT_V*")&gt;0,COUNTIF(Tabla[[#This Row],[Etiquetas]:[Etiquetas17]],"*QA-Integración*")=0),"SI","")</f>
        <v/>
      </c>
      <c r="AQ342" s="87" t="str" cm="1">
        <f t="array" ref="AQ342">IF(Tabla[[#This Row],[Fue encontrado durante UAT?]]="SI",IFERROR(_xlfn.XLOOKUP(TRUE,ISNUMBER(SEARCH("UAT_V",Tabla[[#This Row],[Etiquetas]:[Etiquetas17]])),Tabla[[#This Row],[Etiquetas]:[Etiquetas17]]),""),"")</f>
        <v/>
      </c>
      <c r="AR342" s="87" t="str">
        <f>IF(COUNTIF(Tabla[[#This Row],[Etiquetas]:[Etiquetas17]],"*Devuelto*")&gt;0,"SI","")</f>
        <v>SI</v>
      </c>
      <c r="AS342" s="167">
        <f>COUNTIF(Tabla[[#This Row],[Etiquetas]:[Etiquetas17]],"*Devuelto*")</f>
        <v>1</v>
      </c>
    </row>
    <row r="343" spans="1:45" ht="15" customHeight="1">
      <c r="A343" s="40" t="s">
        <v>128</v>
      </c>
      <c r="B343" s="40" t="s">
        <v>968</v>
      </c>
      <c r="C343" s="40">
        <v>83039</v>
      </c>
      <c r="D343" s="40" t="s">
        <v>969</v>
      </c>
      <c r="E343" s="40" t="s">
        <v>37</v>
      </c>
      <c r="F343" s="40" t="s">
        <v>24</v>
      </c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 t="s">
        <v>638</v>
      </c>
      <c r="S343" s="40" t="s">
        <v>803</v>
      </c>
      <c r="T343" s="40" t="s">
        <v>139</v>
      </c>
      <c r="U343" s="40" t="s">
        <v>950</v>
      </c>
      <c r="V343" s="40" t="s">
        <v>226</v>
      </c>
      <c r="W343" s="40" t="s">
        <v>912</v>
      </c>
      <c r="X343" s="40" t="s">
        <v>154</v>
      </c>
      <c r="Y343" s="40"/>
      <c r="Z343" s="40"/>
      <c r="AA343" s="40" t="s">
        <v>348</v>
      </c>
      <c r="AB343" s="53">
        <v>45873.106944444444</v>
      </c>
      <c r="AC343" s="40" t="s">
        <v>805</v>
      </c>
      <c r="AD343" s="40"/>
      <c r="AE343" s="40"/>
      <c r="AF343" s="40"/>
      <c r="AG343" s="40" t="s">
        <v>135</v>
      </c>
      <c r="AH343" s="10"/>
      <c r="AI343" s="87"/>
      <c r="AJ343" s="87" cm="1">
        <f t="array" ref="AJ343">IFERROR(_xlfn.XLOOKUP(TRUE,COUNTIF(Tabla[[#This Row],[Etiquetas]:[Etiquetas17]],Versiones!$G$2:$G$36)&gt;0,Versiones!$B$2:$B$36), "")</f>
        <v>16</v>
      </c>
      <c r="AK343" s="87" t="str" cm="1">
        <f t="array" ref="AK343">IFERROR(_xlfn.XLOOKUP(TRUE,COUNTIF(Tabla[[#This Row],[Etiquetas]:[Etiquetas17]],Versiones!$G$2:$G$36)&gt;0,Versiones!$A$2:$A$36), "")</f>
        <v>V0.4</v>
      </c>
      <c r="AL34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3" s="78">
        <f>IFERROR(_xlfn.XLOOKUP(Tabla[[#This Row],[¿En qué versión fue corregido?]],Versiones!$A$2:$A$34,Versiones!$B$2:$B$34),"No encontrado")</f>
        <v>17</v>
      </c>
      <c r="AN343" s="87" t="str" cm="1">
        <f t="array" ref="AN343">IFERROR(_xlfn.XLOOKUP(TRUE,COUNTIF(Tabla[[#This Row],[Etiquetas]:[Etiquetas17]],Categorías!$A$2:$A$12)&gt;0,Categorías!$A$2:$A$12),"No encontrado")</f>
        <v>Funcional</v>
      </c>
      <c r="AO343" s="87" t="str" cm="1">
        <f t="array" ref="AO343">IFERROR(INDEX(Funcionalidades!$A$2:$A$80,MATCH(TRUE, COUNTIF(Reporte_Gral!R343:Z343,Funcionalidades!$A$2:$A$80)&gt;0,0)),"No encontrado")</f>
        <v>Buscar-Artículo</v>
      </c>
      <c r="AP343" s="87" t="str">
        <f>IF(AND(COUNTIF(Tabla[[#This Row],[Etiquetas]:[Etiquetas17]],"*UAT_V*")&gt;0,COUNTIF(Tabla[[#This Row],[Etiquetas]:[Etiquetas17]],"*QA-Integración*")=0),"SI","")</f>
        <v/>
      </c>
      <c r="AQ343" s="87" t="str" cm="1">
        <f t="array" ref="AQ343">IF(Tabla[[#This Row],[Fue encontrado durante UAT?]]="SI",IFERROR(_xlfn.XLOOKUP(TRUE,ISNUMBER(SEARCH("UAT_V",Tabla[[#This Row],[Etiquetas]:[Etiquetas17]])),Tabla[[#This Row],[Etiquetas]:[Etiquetas17]]),""),"")</f>
        <v/>
      </c>
      <c r="AR343" s="87" t="str">
        <f>IF(COUNTIF(Tabla[[#This Row],[Etiquetas]:[Etiquetas17]],"*Devuelto*")&gt;0,"SI","")</f>
        <v/>
      </c>
      <c r="AS343" s="167">
        <f>COUNTIF(Tabla[[#This Row],[Etiquetas]:[Etiquetas17]],"*Devuelto*")</f>
        <v>0</v>
      </c>
    </row>
    <row r="344" spans="1:45" ht="15" customHeight="1">
      <c r="A344" s="40" t="s">
        <v>128</v>
      </c>
      <c r="B344" s="40" t="s">
        <v>970</v>
      </c>
      <c r="C344" s="40">
        <v>83035</v>
      </c>
      <c r="D344" s="40" t="s">
        <v>971</v>
      </c>
      <c r="E344" s="40" t="s">
        <v>37</v>
      </c>
      <c r="F344" s="40" t="s">
        <v>26</v>
      </c>
      <c r="G344" s="40" t="s">
        <v>307</v>
      </c>
      <c r="H344" s="40" t="s">
        <v>224</v>
      </c>
      <c r="I344" s="40" t="s">
        <v>151</v>
      </c>
      <c r="J344" s="40"/>
      <c r="K344" s="40"/>
      <c r="L344" s="40"/>
      <c r="M344" s="40"/>
      <c r="N344" s="40"/>
      <c r="O344" s="40"/>
      <c r="P344" s="40"/>
      <c r="Q344" s="40"/>
      <c r="R344" s="40" t="s">
        <v>803</v>
      </c>
      <c r="S344" s="40" t="s">
        <v>207</v>
      </c>
      <c r="T344" s="40" t="s">
        <v>139</v>
      </c>
      <c r="U344" s="40" t="s">
        <v>950</v>
      </c>
      <c r="V344" s="40" t="s">
        <v>226</v>
      </c>
      <c r="W344" s="40" t="s">
        <v>912</v>
      </c>
      <c r="X344" s="40" t="s">
        <v>154</v>
      </c>
      <c r="Y344" s="40" t="s">
        <v>536</v>
      </c>
      <c r="Z344" s="40"/>
      <c r="AA344" s="40" t="s">
        <v>348</v>
      </c>
      <c r="AB344" s="53">
        <v>45873.095138888886</v>
      </c>
      <c r="AC344" s="40" t="s">
        <v>805</v>
      </c>
      <c r="AD344" s="40"/>
      <c r="AE344" s="40"/>
      <c r="AF344" s="40"/>
      <c r="AG344" s="40" t="s">
        <v>135</v>
      </c>
      <c r="AH344" s="10"/>
      <c r="AI344" s="87"/>
      <c r="AJ344" s="87" cm="1">
        <f t="array" ref="AJ344">IFERROR(_xlfn.XLOOKUP(TRUE,COUNTIF(Tabla[[#This Row],[Etiquetas]:[Etiquetas17]],Versiones!$G$2:$G$36)&gt;0,Versiones!$B$2:$B$36), "")</f>
        <v>16</v>
      </c>
      <c r="AK344" s="87" t="str" cm="1">
        <f t="array" ref="AK344">IFERROR(_xlfn.XLOOKUP(TRUE,COUNTIF(Tabla[[#This Row],[Etiquetas]:[Etiquetas17]],Versiones!$G$2:$G$36)&gt;0,Versiones!$A$2:$A$36), "")</f>
        <v>V0.4</v>
      </c>
      <c r="AL34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4" s="78">
        <f>IFERROR(_xlfn.XLOOKUP(Tabla[[#This Row],[¿En qué versión fue corregido?]],Versiones!$A$2:$A$34,Versiones!$B$2:$B$34),"No encontrado")</f>
        <v>17</v>
      </c>
      <c r="AN344" s="87" t="str" cm="1">
        <f t="array" ref="AN344">IFERROR(_xlfn.XLOOKUP(TRUE,COUNTIF(Tabla[[#This Row],[Etiquetas]:[Etiquetas17]],Categorías!$A$2:$A$12)&gt;0,Categorías!$A$2:$A$12),"No encontrado")</f>
        <v>Funcional</v>
      </c>
      <c r="AO344" s="87" t="str" cm="1">
        <f t="array" ref="AO344">IFERROR(INDEX(Funcionalidades!$A$2:$A$80,MATCH(TRUE, COUNTIF(Reporte_Gral!R344:Z344,Funcionalidades!$A$2:$A$80)&gt;0,0)),"No encontrado")</f>
        <v>Eliminar-Artículo-De-Venta</v>
      </c>
      <c r="AP344" s="87" t="str">
        <f>IF(AND(COUNTIF(Tabla[[#This Row],[Etiquetas]:[Etiquetas17]],"*UAT_V*")&gt;0,COUNTIF(Tabla[[#This Row],[Etiquetas]:[Etiquetas17]],"*QA-Integración*")=0),"SI","")</f>
        <v/>
      </c>
      <c r="AQ344" s="87" t="str" cm="1">
        <f t="array" ref="AQ344">IF(Tabla[[#This Row],[Fue encontrado durante UAT?]]="SI",IFERROR(_xlfn.XLOOKUP(TRUE,ISNUMBER(SEARCH("UAT_V",Tabla[[#This Row],[Etiquetas]:[Etiquetas17]])),Tabla[[#This Row],[Etiquetas]:[Etiquetas17]]),""),"")</f>
        <v/>
      </c>
      <c r="AR344" s="87" t="str">
        <f>IF(COUNTIF(Tabla[[#This Row],[Etiquetas]:[Etiquetas17]],"*Devuelto*")&gt;0,"SI","")</f>
        <v/>
      </c>
      <c r="AS344" s="167">
        <f>COUNTIF(Tabla[[#This Row],[Etiquetas]:[Etiquetas17]],"*Devuelto*")</f>
        <v>0</v>
      </c>
    </row>
    <row r="345" spans="1:45" ht="15" customHeight="1">
      <c r="A345" s="40" t="s">
        <v>128</v>
      </c>
      <c r="B345" s="40" t="s">
        <v>972</v>
      </c>
      <c r="C345" s="40">
        <v>83033</v>
      </c>
      <c r="D345" s="40" t="s">
        <v>973</v>
      </c>
      <c r="E345" s="40" t="s">
        <v>37</v>
      </c>
      <c r="F345" s="40" t="s">
        <v>26</v>
      </c>
      <c r="G345" s="40" t="s">
        <v>802</v>
      </c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 t="s">
        <v>803</v>
      </c>
      <c r="S345" s="40" t="s">
        <v>139</v>
      </c>
      <c r="T345" s="40" t="s">
        <v>535</v>
      </c>
      <c r="U345" s="40" t="s">
        <v>950</v>
      </c>
      <c r="V345" s="40" t="s">
        <v>226</v>
      </c>
      <c r="W345" s="40" t="s">
        <v>154</v>
      </c>
      <c r="X345" s="40"/>
      <c r="Y345" s="40"/>
      <c r="Z345" s="40"/>
      <c r="AA345" s="40" t="s">
        <v>348</v>
      </c>
      <c r="AB345" s="53">
        <v>45873.061805555553</v>
      </c>
      <c r="AC345" s="40" t="s">
        <v>806</v>
      </c>
      <c r="AD345" s="40"/>
      <c r="AE345" s="40"/>
      <c r="AF345" s="40"/>
      <c r="AG345" s="40" t="s">
        <v>135</v>
      </c>
      <c r="AH345" s="10"/>
      <c r="AI345" s="87"/>
      <c r="AJ345" s="87" cm="1">
        <f t="array" ref="AJ345">IFERROR(_xlfn.XLOOKUP(TRUE,COUNTIF(Tabla[[#This Row],[Etiquetas]:[Etiquetas17]],Versiones!$G$2:$G$36)&gt;0,Versiones!$B$2:$B$36), "")</f>
        <v>16</v>
      </c>
      <c r="AK345" s="87" t="str" cm="1">
        <f t="array" ref="AK345">IFERROR(_xlfn.XLOOKUP(TRUE,COUNTIF(Tabla[[#This Row],[Etiquetas]:[Etiquetas17]],Versiones!$G$2:$G$36)&gt;0,Versiones!$A$2:$A$36), "")</f>
        <v>V0.4</v>
      </c>
      <c r="AL34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45" s="78">
        <f>IFERROR(_xlfn.XLOOKUP(Tabla[[#This Row],[¿En qué versión fue corregido?]],Versiones!$A$2:$A$34,Versiones!$B$2:$B$34),"No encontrado")</f>
        <v>18</v>
      </c>
      <c r="AN345" s="87" t="str" cm="1">
        <f t="array" ref="AN345">IFERROR(_xlfn.XLOOKUP(TRUE,COUNTIF(Tabla[[#This Row],[Etiquetas]:[Etiquetas17]],Categorías!$A$2:$A$12)&gt;0,Categorías!$A$2:$A$12),"No encontrado")</f>
        <v>Funcional</v>
      </c>
      <c r="AO345" s="87" t="str" cm="1">
        <f t="array" ref="AO345">IFERROR(INDEX(Funcionalidades!$A$2:$A$80,MATCH(TRUE, COUNTIF(Reporte_Gral!R345:Z345,Funcionalidades!$A$2:$A$80)&gt;0,0)),"No encontrado")</f>
        <v>Pago-En-Efectivo</v>
      </c>
      <c r="AP345" s="87" t="str">
        <f>IF(AND(COUNTIF(Tabla[[#This Row],[Etiquetas]:[Etiquetas17]],"*UAT_V*")&gt;0,COUNTIF(Tabla[[#This Row],[Etiquetas]:[Etiquetas17]],"*QA-Integración*")=0),"SI","")</f>
        <v/>
      </c>
      <c r="AQ345" s="87" t="str" cm="1">
        <f t="array" ref="AQ345">IF(Tabla[[#This Row],[Fue encontrado durante UAT?]]="SI",IFERROR(_xlfn.XLOOKUP(TRUE,ISNUMBER(SEARCH("UAT_V",Tabla[[#This Row],[Etiquetas]:[Etiquetas17]])),Tabla[[#This Row],[Etiquetas]:[Etiquetas17]]),""),"")</f>
        <v/>
      </c>
      <c r="AR345" s="87" t="str">
        <f>IF(COUNTIF(Tabla[[#This Row],[Etiquetas]:[Etiquetas17]],"*Devuelto*")&gt;0,"SI","")</f>
        <v/>
      </c>
      <c r="AS345" s="167">
        <f>COUNTIF(Tabla[[#This Row],[Etiquetas]:[Etiquetas17]],"*Devuelto*")</f>
        <v>0</v>
      </c>
    </row>
    <row r="346" spans="1:45" ht="15" customHeight="1">
      <c r="A346" s="40" t="s">
        <v>128</v>
      </c>
      <c r="B346" s="40" t="s">
        <v>974</v>
      </c>
      <c r="C346" s="40">
        <v>83030</v>
      </c>
      <c r="D346" s="40" t="s">
        <v>975</v>
      </c>
      <c r="E346" s="40" t="s">
        <v>37</v>
      </c>
      <c r="F346" s="40" t="s">
        <v>27</v>
      </c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 t="s">
        <v>803</v>
      </c>
      <c r="S346" s="40" t="s">
        <v>139</v>
      </c>
      <c r="T346" s="40" t="s">
        <v>535</v>
      </c>
      <c r="U346" s="40" t="s">
        <v>950</v>
      </c>
      <c r="V346" s="40" t="s">
        <v>580</v>
      </c>
      <c r="W346" s="40" t="s">
        <v>226</v>
      </c>
      <c r="X346" s="40" t="s">
        <v>154</v>
      </c>
      <c r="Y346" s="40" t="s">
        <v>536</v>
      </c>
      <c r="Z346" s="40"/>
      <c r="AA346" s="40" t="s">
        <v>348</v>
      </c>
      <c r="AB346" s="53">
        <v>45873.052777777775</v>
      </c>
      <c r="AC346" s="40" t="s">
        <v>805</v>
      </c>
      <c r="AD346" s="40"/>
      <c r="AE346" s="40"/>
      <c r="AF346" s="40"/>
      <c r="AG346" s="40" t="s">
        <v>135</v>
      </c>
      <c r="AH346" s="10"/>
      <c r="AI346" s="87"/>
      <c r="AJ346" s="87" cm="1">
        <f t="array" ref="AJ346">IFERROR(_xlfn.XLOOKUP(TRUE,COUNTIF(Tabla[[#This Row],[Etiquetas]:[Etiquetas17]],Versiones!$G$2:$G$36)&gt;0,Versiones!$B$2:$B$36), "")</f>
        <v>16</v>
      </c>
      <c r="AK346" s="87" t="str" cm="1">
        <f t="array" ref="AK346">IFERROR(_xlfn.XLOOKUP(TRUE,COUNTIF(Tabla[[#This Row],[Etiquetas]:[Etiquetas17]],Versiones!$G$2:$G$36)&gt;0,Versiones!$A$2:$A$36), "")</f>
        <v>V0.4</v>
      </c>
      <c r="AL34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6" s="78">
        <f>IFERROR(_xlfn.XLOOKUP(Tabla[[#This Row],[¿En qué versión fue corregido?]],Versiones!$A$2:$A$34,Versiones!$B$2:$B$34),"No encontrado")</f>
        <v>17</v>
      </c>
      <c r="AN346" s="87" t="str" cm="1">
        <f t="array" ref="AN346">IFERROR(_xlfn.XLOOKUP(TRUE,COUNTIF(Tabla[[#This Row],[Etiquetas]:[Etiquetas17]],Categorías!$A$2:$A$12)&gt;0,Categorías!$A$2:$A$12),"No encontrado")</f>
        <v>Funcional</v>
      </c>
      <c r="AO346" s="87" t="str" cm="1">
        <f t="array" ref="AO346">IFERROR(INDEX(Funcionalidades!$A$2:$A$80,MATCH(TRUE, COUNTIF(Reporte_Gral!R346:Z346,Funcionalidades!$A$2:$A$80)&gt;0,0)),"No encontrado")</f>
        <v>Pago-En-Efectivo</v>
      </c>
      <c r="AP346" s="87" t="str">
        <f>IF(AND(COUNTIF(Tabla[[#This Row],[Etiquetas]:[Etiquetas17]],"*UAT_V*")&gt;0,COUNTIF(Tabla[[#This Row],[Etiquetas]:[Etiquetas17]],"*QA-Integración*")=0),"SI","")</f>
        <v/>
      </c>
      <c r="AQ346" s="87" t="str" cm="1">
        <f t="array" ref="AQ346">IF(Tabla[[#This Row],[Fue encontrado durante UAT?]]="SI",IFERROR(_xlfn.XLOOKUP(TRUE,ISNUMBER(SEARCH("UAT_V",Tabla[[#This Row],[Etiquetas]:[Etiquetas17]])),Tabla[[#This Row],[Etiquetas]:[Etiquetas17]]),""),"")</f>
        <v/>
      </c>
      <c r="AR346" s="87" t="str">
        <f>IF(COUNTIF(Tabla[[#This Row],[Etiquetas]:[Etiquetas17]],"*Devuelto*")&gt;0,"SI","")</f>
        <v/>
      </c>
      <c r="AS346" s="167">
        <f>COUNTIF(Tabla[[#This Row],[Etiquetas]:[Etiquetas17]],"*Devuelto*")</f>
        <v>0</v>
      </c>
    </row>
    <row r="347" spans="1:45" ht="15" customHeight="1">
      <c r="A347" s="40" t="s">
        <v>128</v>
      </c>
      <c r="B347" s="40" t="s">
        <v>976</v>
      </c>
      <c r="C347" s="40">
        <v>83028</v>
      </c>
      <c r="D347" s="40" t="s">
        <v>977</v>
      </c>
      <c r="E347" s="40" t="s">
        <v>37</v>
      </c>
      <c r="F347" s="40" t="s">
        <v>26</v>
      </c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 t="s">
        <v>803</v>
      </c>
      <c r="S347" s="40" t="s">
        <v>139</v>
      </c>
      <c r="T347" s="40" t="s">
        <v>535</v>
      </c>
      <c r="U347" s="40" t="s">
        <v>950</v>
      </c>
      <c r="V347" s="40" t="s">
        <v>226</v>
      </c>
      <c r="W347" s="40" t="s">
        <v>912</v>
      </c>
      <c r="X347" s="40" t="s">
        <v>154</v>
      </c>
      <c r="Y347" s="40" t="s">
        <v>536</v>
      </c>
      <c r="Z347" s="40"/>
      <c r="AA347" s="40" t="s">
        <v>348</v>
      </c>
      <c r="AB347" s="53">
        <v>45873.051388888889</v>
      </c>
      <c r="AC347" s="40" t="s">
        <v>805</v>
      </c>
      <c r="AD347" s="40"/>
      <c r="AE347" s="40"/>
      <c r="AF347" s="40"/>
      <c r="AG347" s="40" t="s">
        <v>135</v>
      </c>
      <c r="AH347" s="10"/>
      <c r="AI347" s="87"/>
      <c r="AJ347" s="87" cm="1">
        <f t="array" ref="AJ347">IFERROR(_xlfn.XLOOKUP(TRUE,COUNTIF(Tabla[[#This Row],[Etiquetas]:[Etiquetas17]],Versiones!$G$2:$G$36)&gt;0,Versiones!$B$2:$B$36), "")</f>
        <v>16</v>
      </c>
      <c r="AK347" s="87" t="str" cm="1">
        <f t="array" ref="AK347">IFERROR(_xlfn.XLOOKUP(TRUE,COUNTIF(Tabla[[#This Row],[Etiquetas]:[Etiquetas17]],Versiones!$G$2:$G$36)&gt;0,Versiones!$A$2:$A$36), "")</f>
        <v>V0.4</v>
      </c>
      <c r="AL34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7" s="78">
        <f>IFERROR(_xlfn.XLOOKUP(Tabla[[#This Row],[¿En qué versión fue corregido?]],Versiones!$A$2:$A$34,Versiones!$B$2:$B$34),"No encontrado")</f>
        <v>17</v>
      </c>
      <c r="AN347" s="87" t="str" cm="1">
        <f t="array" ref="AN347">IFERROR(_xlfn.XLOOKUP(TRUE,COUNTIF(Tabla[[#This Row],[Etiquetas]:[Etiquetas17]],Categorías!$A$2:$A$12)&gt;0,Categorías!$A$2:$A$12),"No encontrado")</f>
        <v>Funcional</v>
      </c>
      <c r="AO347" s="87" t="str" cm="1">
        <f t="array" ref="AO347">IFERROR(INDEX(Funcionalidades!$A$2:$A$80,MATCH(TRUE, COUNTIF(Reporte_Gral!R347:Z347,Funcionalidades!$A$2:$A$80)&gt;0,0)),"No encontrado")</f>
        <v>Pago-En-Efectivo</v>
      </c>
      <c r="AP347" s="87" t="str">
        <f>IF(AND(COUNTIF(Tabla[[#This Row],[Etiquetas]:[Etiquetas17]],"*UAT_V*")&gt;0,COUNTIF(Tabla[[#This Row],[Etiquetas]:[Etiquetas17]],"*QA-Integración*")=0),"SI","")</f>
        <v/>
      </c>
      <c r="AQ347" s="87" t="str" cm="1">
        <f t="array" ref="AQ347">IF(Tabla[[#This Row],[Fue encontrado durante UAT?]]="SI",IFERROR(_xlfn.XLOOKUP(TRUE,ISNUMBER(SEARCH("UAT_V",Tabla[[#This Row],[Etiquetas]:[Etiquetas17]])),Tabla[[#This Row],[Etiquetas]:[Etiquetas17]]),""),"")</f>
        <v/>
      </c>
      <c r="AR347" s="87" t="str">
        <f>IF(COUNTIF(Tabla[[#This Row],[Etiquetas]:[Etiquetas17]],"*Devuelto*")&gt;0,"SI","")</f>
        <v/>
      </c>
      <c r="AS347" s="167">
        <f>COUNTIF(Tabla[[#This Row],[Etiquetas]:[Etiquetas17]],"*Devuelto*")</f>
        <v>0</v>
      </c>
    </row>
    <row r="348" spans="1:45" ht="15" customHeight="1">
      <c r="A348" s="40" t="s">
        <v>128</v>
      </c>
      <c r="B348" s="40" t="s">
        <v>978</v>
      </c>
      <c r="C348" s="40">
        <v>83024</v>
      </c>
      <c r="D348" s="40" t="s">
        <v>979</v>
      </c>
      <c r="E348" s="40" t="s">
        <v>37</v>
      </c>
      <c r="F348" s="40" t="s">
        <v>24</v>
      </c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 t="s">
        <v>803</v>
      </c>
      <c r="S348" s="40" t="s">
        <v>139</v>
      </c>
      <c r="T348" s="40" t="s">
        <v>442</v>
      </c>
      <c r="U348" s="40" t="s">
        <v>950</v>
      </c>
      <c r="V348" s="40" t="s">
        <v>204</v>
      </c>
      <c r="W348" s="40" t="s">
        <v>226</v>
      </c>
      <c r="X348" s="40" t="s">
        <v>912</v>
      </c>
      <c r="Y348" s="40" t="s">
        <v>154</v>
      </c>
      <c r="Z348" s="40"/>
      <c r="AA348" s="40" t="s">
        <v>348</v>
      </c>
      <c r="AB348" s="53">
        <v>45873.037499999999</v>
      </c>
      <c r="AC348" s="40" t="s">
        <v>805</v>
      </c>
      <c r="AD348" s="40"/>
      <c r="AE348" s="40"/>
      <c r="AF348" s="40"/>
      <c r="AG348" s="40" t="s">
        <v>135</v>
      </c>
      <c r="AH348" s="10"/>
      <c r="AI348" s="87"/>
      <c r="AJ348" s="87" cm="1">
        <f t="array" ref="AJ348">IFERROR(_xlfn.XLOOKUP(TRUE,COUNTIF(Tabla[[#This Row],[Etiquetas]:[Etiquetas17]],Versiones!$G$2:$G$36)&gt;0,Versiones!$B$2:$B$36), "")</f>
        <v>16</v>
      </c>
      <c r="AK348" s="87" t="str" cm="1">
        <f t="array" ref="AK348">IFERROR(_xlfn.XLOOKUP(TRUE,COUNTIF(Tabla[[#This Row],[Etiquetas]:[Etiquetas17]],Versiones!$G$2:$G$36)&gt;0,Versiones!$A$2:$A$36), "")</f>
        <v>V0.4</v>
      </c>
      <c r="AL34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8" s="78">
        <f>IFERROR(_xlfn.XLOOKUP(Tabla[[#This Row],[¿En qué versión fue corregido?]],Versiones!$A$2:$A$34,Versiones!$B$2:$B$34),"No encontrado")</f>
        <v>17</v>
      </c>
      <c r="AN348" s="87" t="str" cm="1">
        <f t="array" ref="AN348">IFERROR(_xlfn.XLOOKUP(TRUE,COUNTIF(Tabla[[#This Row],[Etiquetas]:[Etiquetas17]],Categorías!$A$2:$A$12)&gt;0,Categorías!$A$2:$A$12),"No encontrado")</f>
        <v>Funcional</v>
      </c>
      <c r="AO348" s="87" t="str" cm="1">
        <f t="array" ref="AO348">IFERROR(INDEX(Funcionalidades!$A$2:$A$80,MATCH(TRUE, COUNTIF(Reporte_Gral!R348:Z348,Funcionalidades!$A$2:$A$80)&gt;0,0)),"No encontrado")</f>
        <v>Login</v>
      </c>
      <c r="AP348" s="87" t="str">
        <f>IF(AND(COUNTIF(Tabla[[#This Row],[Etiquetas]:[Etiquetas17]],"*UAT_V*")&gt;0,COUNTIF(Tabla[[#This Row],[Etiquetas]:[Etiquetas17]],"*QA-Integración*")=0),"SI","")</f>
        <v/>
      </c>
      <c r="AQ348" s="87" t="str" cm="1">
        <f t="array" ref="AQ348">IF(Tabla[[#This Row],[Fue encontrado durante UAT?]]="SI",IFERROR(_xlfn.XLOOKUP(TRUE,ISNUMBER(SEARCH("UAT_V",Tabla[[#This Row],[Etiquetas]:[Etiquetas17]])),Tabla[[#This Row],[Etiquetas]:[Etiquetas17]]),""),"")</f>
        <v/>
      </c>
      <c r="AR348" s="87" t="str">
        <f>IF(COUNTIF(Tabla[[#This Row],[Etiquetas]:[Etiquetas17]],"*Devuelto*")&gt;0,"SI","")</f>
        <v/>
      </c>
      <c r="AS348" s="167">
        <f>COUNTIF(Tabla[[#This Row],[Etiquetas]:[Etiquetas17]],"*Devuelto*")</f>
        <v>0</v>
      </c>
    </row>
    <row r="349" spans="1:45" ht="15" customHeight="1">
      <c r="A349" s="40" t="s">
        <v>128</v>
      </c>
      <c r="B349" s="40" t="s">
        <v>980</v>
      </c>
      <c r="C349" s="40">
        <v>83022</v>
      </c>
      <c r="D349" s="40" t="s">
        <v>981</v>
      </c>
      <c r="E349" s="40" t="s">
        <v>36</v>
      </c>
      <c r="F349" s="40" t="s">
        <v>26</v>
      </c>
      <c r="G349" s="40" t="s">
        <v>637</v>
      </c>
      <c r="H349" s="40" t="s">
        <v>561</v>
      </c>
      <c r="I349" s="40" t="s">
        <v>429</v>
      </c>
      <c r="J349" s="40" t="s">
        <v>307</v>
      </c>
      <c r="K349" s="40" t="s">
        <v>224</v>
      </c>
      <c r="L349" s="40" t="s">
        <v>151</v>
      </c>
      <c r="M349" s="40"/>
      <c r="N349" s="40"/>
      <c r="O349" s="40"/>
      <c r="P349" s="40"/>
      <c r="Q349" s="40"/>
      <c r="R349" s="40" t="s">
        <v>302</v>
      </c>
      <c r="S349" s="40" t="s">
        <v>139</v>
      </c>
      <c r="T349" s="40" t="s">
        <v>950</v>
      </c>
      <c r="U349" s="40" t="s">
        <v>226</v>
      </c>
      <c r="V349" s="40" t="s">
        <v>154</v>
      </c>
      <c r="W349" s="40"/>
      <c r="X349" s="40"/>
      <c r="Y349" s="40"/>
      <c r="Z349" s="40"/>
      <c r="AA349" s="40" t="s">
        <v>348</v>
      </c>
      <c r="AB349" s="53">
        <v>45873.03402777778</v>
      </c>
      <c r="AC349" s="40" t="s">
        <v>805</v>
      </c>
      <c r="AD349" s="40"/>
      <c r="AE349" s="40"/>
      <c r="AF349" s="40"/>
      <c r="AG349" s="40" t="s">
        <v>135</v>
      </c>
      <c r="AH349" s="10"/>
      <c r="AI349" s="87"/>
      <c r="AJ349" s="87" cm="1">
        <f t="array" ref="AJ349">IFERROR(_xlfn.XLOOKUP(TRUE,COUNTIF(Tabla[[#This Row],[Etiquetas]:[Etiquetas17]],Versiones!$G$2:$G$36)&gt;0,Versiones!$B$2:$B$36), "")</f>
        <v>16</v>
      </c>
      <c r="AK349" s="87" t="str" cm="1">
        <f t="array" ref="AK349">IFERROR(_xlfn.XLOOKUP(TRUE,COUNTIF(Tabla[[#This Row],[Etiquetas]:[Etiquetas17]],Versiones!$G$2:$G$36)&gt;0,Versiones!$A$2:$A$36), "")</f>
        <v>V0.4</v>
      </c>
      <c r="AL34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49" s="78">
        <f>IFERROR(_xlfn.XLOOKUP(Tabla[[#This Row],[¿En qué versión fue corregido?]],Versiones!$A$2:$A$34,Versiones!$B$2:$B$34),"No encontrado")</f>
        <v>17</v>
      </c>
      <c r="AN349" s="87" t="str" cm="1">
        <f t="array" ref="AN349">IFERROR(_xlfn.XLOOKUP(TRUE,COUNTIF(Tabla[[#This Row],[Etiquetas]:[Etiquetas17]],Categorías!$A$2:$A$12)&gt;0,Categorías!$A$2:$A$12),"No encontrado")</f>
        <v>Funcional</v>
      </c>
      <c r="AO349" s="87" t="str" cm="1">
        <f t="array" ref="AO349">IFERROR(INDEX(Funcionalidades!$A$2:$A$80,MATCH(TRUE, COUNTIF(Reporte_Gral!R349:Z349,Funcionalidades!$A$2:$A$80)&gt;0,0)),"No encontrado")</f>
        <v>Devoluciones</v>
      </c>
      <c r="AP349" s="87" t="str">
        <f>IF(AND(COUNTIF(Tabla[[#This Row],[Etiquetas]:[Etiquetas17]],"*UAT_V*")&gt;0,COUNTIF(Tabla[[#This Row],[Etiquetas]:[Etiquetas17]],"*QA-Integración*")=0),"SI","")</f>
        <v/>
      </c>
      <c r="AQ349" s="87" t="str" cm="1">
        <f t="array" ref="AQ349">IF(Tabla[[#This Row],[Fue encontrado durante UAT?]]="SI",IFERROR(_xlfn.XLOOKUP(TRUE,ISNUMBER(SEARCH("UAT_V",Tabla[[#This Row],[Etiquetas]:[Etiquetas17]])),Tabla[[#This Row],[Etiquetas]:[Etiquetas17]]),""),"")</f>
        <v/>
      </c>
      <c r="AR349" s="87" t="str">
        <f>IF(COUNTIF(Tabla[[#This Row],[Etiquetas]:[Etiquetas17]],"*Devuelto*")&gt;0,"SI","")</f>
        <v/>
      </c>
      <c r="AS349" s="167">
        <f>COUNTIF(Tabla[[#This Row],[Etiquetas]:[Etiquetas17]],"*Devuelto*")</f>
        <v>0</v>
      </c>
    </row>
    <row r="350" spans="1:45" ht="15" customHeight="1">
      <c r="A350" s="40" t="s">
        <v>128</v>
      </c>
      <c r="B350" s="40" t="s">
        <v>982</v>
      </c>
      <c r="C350" s="40">
        <v>83020</v>
      </c>
      <c r="D350" s="40" t="s">
        <v>983</v>
      </c>
      <c r="E350" s="40" t="s">
        <v>37</v>
      </c>
      <c r="F350" s="40" t="s">
        <v>26</v>
      </c>
      <c r="G350" s="40" t="s">
        <v>866</v>
      </c>
      <c r="H350" s="40" t="s">
        <v>802</v>
      </c>
      <c r="I350" s="40"/>
      <c r="J350" s="40"/>
      <c r="K350" s="40"/>
      <c r="L350" s="40"/>
      <c r="M350" s="40"/>
      <c r="N350" s="40"/>
      <c r="O350" s="40"/>
      <c r="P350" s="40"/>
      <c r="Q350" s="40"/>
      <c r="R350" s="40" t="s">
        <v>302</v>
      </c>
      <c r="S350" s="40" t="s">
        <v>139</v>
      </c>
      <c r="T350" s="40" t="s">
        <v>950</v>
      </c>
      <c r="U350" s="40"/>
      <c r="V350" s="40"/>
      <c r="W350" s="40"/>
      <c r="X350" s="40"/>
      <c r="Y350" s="40"/>
      <c r="Z350" s="40"/>
      <c r="AA350" s="40" t="s">
        <v>348</v>
      </c>
      <c r="AB350" s="53">
        <v>45873.032638888886</v>
      </c>
      <c r="AC350" s="40" t="s">
        <v>805</v>
      </c>
      <c r="AD350" s="40"/>
      <c r="AE350" s="40"/>
      <c r="AF350" s="40"/>
      <c r="AG350" s="40" t="s">
        <v>135</v>
      </c>
      <c r="AH350" s="10"/>
      <c r="AI350" s="87"/>
      <c r="AJ350" s="87" cm="1">
        <f t="array" ref="AJ350">IFERROR(_xlfn.XLOOKUP(TRUE,COUNTIF(Tabla[[#This Row],[Etiquetas]:[Etiquetas17]],Versiones!$G$2:$G$36)&gt;0,Versiones!$B$2:$B$36), "")</f>
        <v>16</v>
      </c>
      <c r="AK350" s="87" t="str" cm="1">
        <f t="array" ref="AK350">IFERROR(_xlfn.XLOOKUP(TRUE,COUNTIF(Tabla[[#This Row],[Etiquetas]:[Etiquetas17]],Versiones!$G$2:$G$36)&gt;0,Versiones!$A$2:$A$36), "")</f>
        <v>V0.4</v>
      </c>
      <c r="AL35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50" s="78">
        <f>IFERROR(_xlfn.XLOOKUP(Tabla[[#This Row],[¿En qué versión fue corregido?]],Versiones!$A$2:$A$34,Versiones!$B$2:$B$34),"No encontrado")</f>
        <v>17</v>
      </c>
      <c r="AN350" s="87" t="str" cm="1">
        <f t="array" ref="AN350">IFERROR(_xlfn.XLOOKUP(TRUE,COUNTIF(Tabla[[#This Row],[Etiquetas]:[Etiquetas17]],Categorías!$A$2:$A$12)&gt;0,Categorías!$A$2:$A$12),"No encontrado")</f>
        <v>Funcional</v>
      </c>
      <c r="AO350" s="87" t="str" cm="1">
        <f t="array" ref="AO350">IFERROR(INDEX(Funcionalidades!$A$2:$A$80,MATCH(TRUE, COUNTIF(Reporte_Gral!R350:Z350,Funcionalidades!$A$2:$A$80)&gt;0,0)),"No encontrado")</f>
        <v>Devoluciones</v>
      </c>
      <c r="AP350" s="87" t="str">
        <f>IF(AND(COUNTIF(Tabla[[#This Row],[Etiquetas]:[Etiquetas17]],"*UAT_V*")&gt;0,COUNTIF(Tabla[[#This Row],[Etiquetas]:[Etiquetas17]],"*QA-Integración*")=0),"SI","")</f>
        <v/>
      </c>
      <c r="AQ350" s="87" t="str" cm="1">
        <f t="array" ref="AQ350">IF(Tabla[[#This Row],[Fue encontrado durante UAT?]]="SI",IFERROR(_xlfn.XLOOKUP(TRUE,ISNUMBER(SEARCH("UAT_V",Tabla[[#This Row],[Etiquetas]:[Etiquetas17]])),Tabla[[#This Row],[Etiquetas]:[Etiquetas17]]),""),"")</f>
        <v/>
      </c>
      <c r="AR350" s="87" t="str">
        <f>IF(COUNTIF(Tabla[[#This Row],[Etiquetas]:[Etiquetas17]],"*Devuelto*")&gt;0,"SI","")</f>
        <v/>
      </c>
      <c r="AS350" s="167">
        <f>COUNTIF(Tabla[[#This Row],[Etiquetas]:[Etiquetas17]],"*Devuelto*")</f>
        <v>0</v>
      </c>
    </row>
    <row r="351" spans="1:45" ht="15" customHeight="1">
      <c r="A351" s="40" t="s">
        <v>128</v>
      </c>
      <c r="B351" s="40" t="s">
        <v>984</v>
      </c>
      <c r="C351" s="40">
        <v>83017</v>
      </c>
      <c r="D351" s="40" t="s">
        <v>985</v>
      </c>
      <c r="E351" s="40" t="s">
        <v>37</v>
      </c>
      <c r="F351" s="40" t="s">
        <v>26</v>
      </c>
      <c r="G351" s="40" t="s">
        <v>753</v>
      </c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 t="s">
        <v>139</v>
      </c>
      <c r="S351" s="40" t="s">
        <v>173</v>
      </c>
      <c r="T351" s="40" t="s">
        <v>950</v>
      </c>
      <c r="U351" s="40" t="s">
        <v>226</v>
      </c>
      <c r="V351" s="40" t="s">
        <v>154</v>
      </c>
      <c r="W351" s="40"/>
      <c r="X351" s="40"/>
      <c r="Y351" s="40"/>
      <c r="Z351" s="40"/>
      <c r="AA351" s="40" t="s">
        <v>348</v>
      </c>
      <c r="AB351" s="53">
        <v>45873.026388888888</v>
      </c>
      <c r="AC351" s="40" t="s">
        <v>760</v>
      </c>
      <c r="AD351" s="40"/>
      <c r="AE351" s="40"/>
      <c r="AF351" s="40"/>
      <c r="AG351" s="40" t="s">
        <v>135</v>
      </c>
      <c r="AH351" s="10"/>
      <c r="AI351" s="87"/>
      <c r="AJ351" s="87" cm="1">
        <f t="array" ref="AJ351">IFERROR(_xlfn.XLOOKUP(TRUE,COUNTIF(Tabla[[#This Row],[Etiquetas]:[Etiquetas17]],Versiones!$G$2:$G$36)&gt;0,Versiones!$B$2:$B$36), "")</f>
        <v>16</v>
      </c>
      <c r="AK351" s="87" t="str" cm="1">
        <f t="array" ref="AK351">IFERROR(_xlfn.XLOOKUP(TRUE,COUNTIF(Tabla[[#This Row],[Etiquetas]:[Etiquetas17]],Versiones!$G$2:$G$36)&gt;0,Versiones!$A$2:$A$36), "")</f>
        <v>V0.4</v>
      </c>
      <c r="AL35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51" s="78">
        <f>IFERROR(_xlfn.XLOOKUP(Tabla[[#This Row],[¿En qué versión fue corregido?]],Versiones!$A$2:$A$34,Versiones!$B$2:$B$34),"No encontrado")</f>
        <v>19</v>
      </c>
      <c r="AN351" s="87" t="str" cm="1">
        <f t="array" ref="AN351">IFERROR(_xlfn.XLOOKUP(TRUE,COUNTIF(Tabla[[#This Row],[Etiquetas]:[Etiquetas17]],Categorías!$A$2:$A$12)&gt;0,Categorías!$A$2:$A$12),"No encontrado")</f>
        <v>Funcional</v>
      </c>
      <c r="AO351" s="87" t="str" cm="1">
        <f t="array" ref="AO351">IFERROR(INDEX(Funcionalidades!$A$2:$A$80,MATCH(TRUE, COUNTIF(Reporte_Gral!R351:Z351,Funcionalidades!$A$2:$A$80)&gt;0,0)),"No encontrado")</f>
        <v>Pago-De-Servicios-Con-Catálogo</v>
      </c>
      <c r="AP351" s="87" t="str">
        <f>IF(AND(COUNTIF(Tabla[[#This Row],[Etiquetas]:[Etiquetas17]],"*UAT_V*")&gt;0,COUNTIF(Tabla[[#This Row],[Etiquetas]:[Etiquetas17]],"*QA-Integración*")=0),"SI","")</f>
        <v/>
      </c>
      <c r="AQ351" s="87" t="str" cm="1">
        <f t="array" ref="AQ351">IF(Tabla[[#This Row],[Fue encontrado durante UAT?]]="SI",IFERROR(_xlfn.XLOOKUP(TRUE,ISNUMBER(SEARCH("UAT_V",Tabla[[#This Row],[Etiquetas]:[Etiquetas17]])),Tabla[[#This Row],[Etiquetas]:[Etiquetas17]]),""),"")</f>
        <v/>
      </c>
      <c r="AR351" s="87" t="str">
        <f>IF(COUNTIF(Tabla[[#This Row],[Etiquetas]:[Etiquetas17]],"*Devuelto*")&gt;0,"SI","")</f>
        <v/>
      </c>
      <c r="AS351" s="167">
        <f>COUNTIF(Tabla[[#This Row],[Etiquetas]:[Etiquetas17]],"*Devuelto*")</f>
        <v>0</v>
      </c>
    </row>
    <row r="352" spans="1:45" ht="15" customHeight="1">
      <c r="A352" s="40" t="s">
        <v>128</v>
      </c>
      <c r="B352" s="40" t="s">
        <v>986</v>
      </c>
      <c r="C352" s="40">
        <v>83014</v>
      </c>
      <c r="D352" s="40" t="s">
        <v>987</v>
      </c>
      <c r="E352" s="40" t="s">
        <v>37</v>
      </c>
      <c r="F352" s="40" t="s">
        <v>26</v>
      </c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 t="s">
        <v>803</v>
      </c>
      <c r="S352" s="40" t="s">
        <v>442</v>
      </c>
      <c r="T352" s="40" t="s">
        <v>132</v>
      </c>
      <c r="U352" s="40" t="s">
        <v>950</v>
      </c>
      <c r="V352" s="40" t="s">
        <v>226</v>
      </c>
      <c r="W352" s="40" t="s">
        <v>912</v>
      </c>
      <c r="X352" s="40" t="s">
        <v>154</v>
      </c>
      <c r="Y352" s="40"/>
      <c r="Z352" s="40"/>
      <c r="AA352" s="40" t="s">
        <v>348</v>
      </c>
      <c r="AB352" s="53">
        <v>45873.01666666667</v>
      </c>
      <c r="AC352" s="40" t="s">
        <v>805</v>
      </c>
      <c r="AD352" s="40"/>
      <c r="AE352" s="40"/>
      <c r="AF352" s="40"/>
      <c r="AG352" s="40" t="s">
        <v>135</v>
      </c>
      <c r="AH352" s="10"/>
      <c r="AI352" s="87"/>
      <c r="AJ352" s="87" cm="1">
        <f t="array" ref="AJ352">IFERROR(_xlfn.XLOOKUP(TRUE,COUNTIF(Tabla[[#This Row],[Etiquetas]:[Etiquetas17]],Versiones!$G$2:$G$36)&gt;0,Versiones!$B$2:$B$36), "")</f>
        <v>16</v>
      </c>
      <c r="AK352" s="87" t="str" cm="1">
        <f t="array" ref="AK352">IFERROR(_xlfn.XLOOKUP(TRUE,COUNTIF(Tabla[[#This Row],[Etiquetas]:[Etiquetas17]],Versiones!$G$2:$G$36)&gt;0,Versiones!$A$2:$A$36), "")</f>
        <v>V0.4</v>
      </c>
      <c r="AL352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52" s="78">
        <f>IFERROR(_xlfn.XLOOKUP(Tabla[[#This Row],[¿En qué versión fue corregido?]],Versiones!$A$2:$A$34,Versiones!$B$2:$B$34),"No encontrado")</f>
        <v>17</v>
      </c>
      <c r="AN352" s="87" t="str" cm="1">
        <f t="array" ref="AN352">IFERROR(_xlfn.XLOOKUP(TRUE,COUNTIF(Tabla[[#This Row],[Etiquetas]:[Etiquetas17]],Categorías!$A$2:$A$12)&gt;0,Categorías!$A$2:$A$12),"No encontrado")</f>
        <v>Look&amp;Feel</v>
      </c>
      <c r="AO352" s="87" t="str" cm="1">
        <f t="array" ref="AO352">IFERROR(INDEX(Funcionalidades!$A$2:$A$80,MATCH(TRUE, COUNTIF(Reporte_Gral!R352:Z352,Funcionalidades!$A$2:$A$80)&gt;0,0)),"No encontrado")</f>
        <v>Login</v>
      </c>
      <c r="AP352" s="87" t="str">
        <f>IF(AND(COUNTIF(Tabla[[#This Row],[Etiquetas]:[Etiquetas17]],"*UAT_V*")&gt;0,COUNTIF(Tabla[[#This Row],[Etiquetas]:[Etiquetas17]],"*QA-Integración*")=0),"SI","")</f>
        <v/>
      </c>
      <c r="AQ352" s="87" t="str" cm="1">
        <f t="array" ref="AQ352">IF(Tabla[[#This Row],[Fue encontrado durante UAT?]]="SI",IFERROR(_xlfn.XLOOKUP(TRUE,ISNUMBER(SEARCH("UAT_V",Tabla[[#This Row],[Etiquetas]:[Etiquetas17]])),Tabla[[#This Row],[Etiquetas]:[Etiquetas17]]),""),"")</f>
        <v/>
      </c>
      <c r="AR352" s="87" t="str">
        <f>IF(COUNTIF(Tabla[[#This Row],[Etiquetas]:[Etiquetas17]],"*Devuelto*")&gt;0,"SI","")</f>
        <v/>
      </c>
      <c r="AS352" s="167">
        <f>COUNTIF(Tabla[[#This Row],[Etiquetas]:[Etiquetas17]],"*Devuelto*")</f>
        <v>0</v>
      </c>
    </row>
    <row r="353" spans="1:45" ht="15" customHeight="1">
      <c r="A353" s="40" t="s">
        <v>128</v>
      </c>
      <c r="B353" s="40" t="s">
        <v>988</v>
      </c>
      <c r="C353" s="40">
        <v>83012</v>
      </c>
      <c r="D353" s="40" t="s">
        <v>989</v>
      </c>
      <c r="E353" s="40" t="s">
        <v>37</v>
      </c>
      <c r="F353" s="40" t="s">
        <v>246</v>
      </c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 t="s">
        <v>145</v>
      </c>
      <c r="S353" s="40" t="s">
        <v>803</v>
      </c>
      <c r="T353" s="40" t="s">
        <v>139</v>
      </c>
      <c r="U353" s="40" t="s">
        <v>371</v>
      </c>
      <c r="V353" s="40" t="s">
        <v>950</v>
      </c>
      <c r="W353" s="40" t="s">
        <v>226</v>
      </c>
      <c r="X353" s="40" t="s">
        <v>154</v>
      </c>
      <c r="Y353" s="40"/>
      <c r="Z353" s="40"/>
      <c r="AA353" s="40" t="s">
        <v>348</v>
      </c>
      <c r="AB353" s="53">
        <v>45873.01458333333</v>
      </c>
      <c r="AC353" s="40"/>
      <c r="AD353" s="40"/>
      <c r="AE353" s="40"/>
      <c r="AF353" s="40"/>
      <c r="AG353" s="40" t="s">
        <v>135</v>
      </c>
      <c r="AH353" s="10"/>
      <c r="AI353" s="87"/>
      <c r="AJ353" s="87" cm="1">
        <f t="array" ref="AJ353">IFERROR(_xlfn.XLOOKUP(TRUE,COUNTIF(Tabla[[#This Row],[Etiquetas]:[Etiquetas17]],Versiones!$G$2:$G$36)&gt;0,Versiones!$B$2:$B$36), "")</f>
        <v>16</v>
      </c>
      <c r="AK353" s="87" t="str" cm="1">
        <f t="array" ref="AK353">IFERROR(_xlfn.XLOOKUP(TRUE,COUNTIF(Tabla[[#This Row],[Etiquetas]:[Etiquetas17]],Versiones!$G$2:$G$36)&gt;0,Versiones!$A$2:$A$36), "")</f>
        <v>V0.4</v>
      </c>
      <c r="AL353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</v>
      </c>
      <c r="AM353" s="78" t="str">
        <f>IFERROR(_xlfn.XLOOKUP(Tabla[[#This Row],[¿En qué versión fue corregido?]],Versiones!$A$2:$A$34,Versiones!$B$2:$B$34),"No encontrado")</f>
        <v>No encontrado</v>
      </c>
      <c r="AN353" s="87" t="str" cm="1">
        <f t="array" ref="AN353">IFERROR(_xlfn.XLOOKUP(TRUE,COUNTIF(Tabla[[#This Row],[Etiquetas]:[Etiquetas17]],Categorías!$A$2:$A$12)&gt;0,Categorías!$A$2:$A$12),"No encontrado")</f>
        <v>Funcional</v>
      </c>
      <c r="AO353" s="87" t="str" cm="1">
        <f t="array" ref="AO353">IFERROR(INDEX(Funcionalidades!$A$2:$A$80,MATCH(TRUE, COUNTIF(Reporte_Gral!R353:Z353,Funcionalidades!$A$2:$A$80)&gt;0,0)),"No encontrado")</f>
        <v>Cierre-De-Turno</v>
      </c>
      <c r="AP353" s="87" t="str">
        <f>IF(AND(COUNTIF(Tabla[[#This Row],[Etiquetas]:[Etiquetas17]],"*UAT_V*")&gt;0,COUNTIF(Tabla[[#This Row],[Etiquetas]:[Etiquetas17]],"*QA-Integración*")=0),"SI","")</f>
        <v/>
      </c>
      <c r="AQ353" s="87" t="str" cm="1">
        <f t="array" ref="AQ353">IF(Tabla[[#This Row],[Fue encontrado durante UAT?]]="SI",IFERROR(_xlfn.XLOOKUP(TRUE,ISNUMBER(SEARCH("UAT_V",Tabla[[#This Row],[Etiquetas]:[Etiquetas17]])),Tabla[[#This Row],[Etiquetas]:[Etiquetas17]]),""),"")</f>
        <v/>
      </c>
      <c r="AR353" s="87" t="str">
        <f>IF(COUNTIF(Tabla[[#This Row],[Etiquetas]:[Etiquetas17]],"*Devuelto*")&gt;0,"SI","")</f>
        <v/>
      </c>
      <c r="AS353" s="167">
        <f>COUNTIF(Tabla[[#This Row],[Etiquetas]:[Etiquetas17]],"*Devuelto*")</f>
        <v>0</v>
      </c>
    </row>
    <row r="354" spans="1:45" ht="15" customHeight="1">
      <c r="A354" s="40" t="s">
        <v>128</v>
      </c>
      <c r="B354" s="40" t="s">
        <v>990</v>
      </c>
      <c r="C354" s="40">
        <v>83010</v>
      </c>
      <c r="D354" s="40" t="s">
        <v>991</v>
      </c>
      <c r="E354" s="40" t="s">
        <v>37</v>
      </c>
      <c r="F354" s="40" t="s">
        <v>26</v>
      </c>
      <c r="G354" s="40" t="s">
        <v>753</v>
      </c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 t="s">
        <v>145</v>
      </c>
      <c r="S354" s="40" t="s">
        <v>803</v>
      </c>
      <c r="T354" s="40" t="s">
        <v>139</v>
      </c>
      <c r="U354" s="40" t="s">
        <v>950</v>
      </c>
      <c r="V354" s="40" t="s">
        <v>226</v>
      </c>
      <c r="W354" s="40" t="s">
        <v>154</v>
      </c>
      <c r="X354" s="40"/>
      <c r="Y354" s="40"/>
      <c r="Z354" s="40"/>
      <c r="AA354" s="40" t="s">
        <v>348</v>
      </c>
      <c r="AB354" s="53">
        <v>45873.012499999997</v>
      </c>
      <c r="AC354" s="40" t="s">
        <v>760</v>
      </c>
      <c r="AD354" s="40"/>
      <c r="AE354" s="40"/>
      <c r="AF354" s="40"/>
      <c r="AG354" s="40" t="s">
        <v>135</v>
      </c>
      <c r="AH354" s="10"/>
      <c r="AI354" s="87"/>
      <c r="AJ354" s="87" cm="1">
        <f t="array" ref="AJ354">IFERROR(_xlfn.XLOOKUP(TRUE,COUNTIF(Tabla[[#This Row],[Etiquetas]:[Etiquetas17]],Versiones!$G$2:$G$36)&gt;0,Versiones!$B$2:$B$36), "")</f>
        <v>16</v>
      </c>
      <c r="AK354" s="87" t="str" cm="1">
        <f t="array" ref="AK354">IFERROR(_xlfn.XLOOKUP(TRUE,COUNTIF(Tabla[[#This Row],[Etiquetas]:[Etiquetas17]],Versiones!$G$2:$G$36)&gt;0,Versiones!$A$2:$A$36), "")</f>
        <v>V0.4</v>
      </c>
      <c r="AL354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54" s="78">
        <f>IFERROR(_xlfn.XLOOKUP(Tabla[[#This Row],[¿En qué versión fue corregido?]],Versiones!$A$2:$A$34,Versiones!$B$2:$B$34),"No encontrado")</f>
        <v>19</v>
      </c>
      <c r="AN354" s="87" t="str" cm="1">
        <f t="array" ref="AN354">IFERROR(_xlfn.XLOOKUP(TRUE,COUNTIF(Tabla[[#This Row],[Etiquetas]:[Etiquetas17]],Categorías!$A$2:$A$12)&gt;0,Categorías!$A$2:$A$12),"No encontrado")</f>
        <v>Funcional</v>
      </c>
      <c r="AO354" s="87" t="str" cm="1">
        <f t="array" ref="AO354">IFERROR(INDEX(Funcionalidades!$A$2:$A$80,MATCH(TRUE, COUNTIF(Reporte_Gral!R354:Z354,Funcionalidades!$A$2:$A$80)&gt;0,0)),"No encontrado")</f>
        <v>Cierre-De-Turno</v>
      </c>
      <c r="AP354" s="87" t="str">
        <f>IF(AND(COUNTIF(Tabla[[#This Row],[Etiquetas]:[Etiquetas17]],"*UAT_V*")&gt;0,COUNTIF(Tabla[[#This Row],[Etiquetas]:[Etiquetas17]],"*QA-Integración*")=0),"SI","")</f>
        <v/>
      </c>
      <c r="AQ354" s="87" t="str" cm="1">
        <f t="array" ref="AQ354">IF(Tabla[[#This Row],[Fue encontrado durante UAT?]]="SI",IFERROR(_xlfn.XLOOKUP(TRUE,ISNUMBER(SEARCH("UAT_V",Tabla[[#This Row],[Etiquetas]:[Etiquetas17]])),Tabla[[#This Row],[Etiquetas]:[Etiquetas17]]),""),"")</f>
        <v/>
      </c>
      <c r="AR354" s="87" t="str">
        <f>IF(COUNTIF(Tabla[[#This Row],[Etiquetas]:[Etiquetas17]],"*Devuelto*")&gt;0,"SI","")</f>
        <v/>
      </c>
      <c r="AS354" s="167">
        <f>COUNTIF(Tabla[[#This Row],[Etiquetas]:[Etiquetas17]],"*Devuelto*")</f>
        <v>0</v>
      </c>
    </row>
    <row r="355" spans="1:45" ht="15" customHeight="1">
      <c r="A355" s="40" t="s">
        <v>128</v>
      </c>
      <c r="B355" s="40" t="s">
        <v>992</v>
      </c>
      <c r="C355" s="40">
        <v>83006</v>
      </c>
      <c r="D355" s="40" t="s">
        <v>993</v>
      </c>
      <c r="E355" s="40" t="s">
        <v>37</v>
      </c>
      <c r="F355" s="40" t="s">
        <v>26</v>
      </c>
      <c r="G355" s="40" t="s">
        <v>866</v>
      </c>
      <c r="H355" s="40" t="s">
        <v>802</v>
      </c>
      <c r="I355" s="40"/>
      <c r="J355" s="40"/>
      <c r="K355" s="40"/>
      <c r="L355" s="40"/>
      <c r="M355" s="40"/>
      <c r="N355" s="40"/>
      <c r="O355" s="40"/>
      <c r="P355" s="40"/>
      <c r="Q355" s="40"/>
      <c r="R355" s="40" t="s">
        <v>803</v>
      </c>
      <c r="S355" s="40" t="s">
        <v>139</v>
      </c>
      <c r="T355" s="40" t="s">
        <v>345</v>
      </c>
      <c r="U355" s="40" t="s">
        <v>950</v>
      </c>
      <c r="V355" s="40" t="s">
        <v>226</v>
      </c>
      <c r="W355" s="40" t="s">
        <v>154</v>
      </c>
      <c r="X355" s="40"/>
      <c r="Y355" s="40"/>
      <c r="Z355" s="40"/>
      <c r="AA355" s="40" t="s">
        <v>348</v>
      </c>
      <c r="AB355" s="53">
        <v>45872.991666666669</v>
      </c>
      <c r="AC355" s="40" t="s">
        <v>806</v>
      </c>
      <c r="AD355" s="40"/>
      <c r="AE355" s="40"/>
      <c r="AF355" s="40"/>
      <c r="AG355" s="40" t="s">
        <v>135</v>
      </c>
      <c r="AH355" s="10"/>
      <c r="AI355" s="87"/>
      <c r="AJ355" s="87" cm="1">
        <f t="array" ref="AJ355">IFERROR(_xlfn.XLOOKUP(TRUE,COUNTIF(Tabla[[#This Row],[Etiquetas]:[Etiquetas17]],Versiones!$G$2:$G$36)&gt;0,Versiones!$B$2:$B$36), "")</f>
        <v>16</v>
      </c>
      <c r="AK355" s="87" t="str" cm="1">
        <f t="array" ref="AK355">IFERROR(_xlfn.XLOOKUP(TRUE,COUNTIF(Tabla[[#This Row],[Etiquetas]:[Etiquetas17]],Versiones!$G$2:$G$36)&gt;0,Versiones!$A$2:$A$36), "")</f>
        <v>V0.4</v>
      </c>
      <c r="AL355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55" s="78">
        <f>IFERROR(_xlfn.XLOOKUP(Tabla[[#This Row],[¿En qué versión fue corregido?]],Versiones!$A$2:$A$34,Versiones!$B$2:$B$34),"No encontrado")</f>
        <v>18</v>
      </c>
      <c r="AN355" s="87" t="str" cm="1">
        <f t="array" ref="AN355">IFERROR(_xlfn.XLOOKUP(TRUE,COUNTIF(Tabla[[#This Row],[Etiquetas]:[Etiquetas17]],Categorías!$A$2:$A$12)&gt;0,Categorías!$A$2:$A$12),"No encontrado")</f>
        <v>Funcional</v>
      </c>
      <c r="AO355" s="87" t="str" cm="1">
        <f t="array" ref="AO355">IFERROR(INDEX(Funcionalidades!$A$2:$A$80,MATCH(TRUE, COUNTIF(Reporte_Gral!R355:Z355,Funcionalidades!$A$2:$A$80)&gt;0,0)),"No encontrado")</f>
        <v>Inicio-De-Turno</v>
      </c>
      <c r="AP355" s="87" t="str">
        <f>IF(AND(COUNTIF(Tabla[[#This Row],[Etiquetas]:[Etiquetas17]],"*UAT_V*")&gt;0,COUNTIF(Tabla[[#This Row],[Etiquetas]:[Etiquetas17]],"*QA-Integración*")=0),"SI","")</f>
        <v/>
      </c>
      <c r="AQ355" s="87" t="str" cm="1">
        <f t="array" ref="AQ355">IF(Tabla[[#This Row],[Fue encontrado durante UAT?]]="SI",IFERROR(_xlfn.XLOOKUP(TRUE,ISNUMBER(SEARCH("UAT_V",Tabla[[#This Row],[Etiquetas]:[Etiquetas17]])),Tabla[[#This Row],[Etiquetas]:[Etiquetas17]]),""),"")</f>
        <v/>
      </c>
      <c r="AR355" s="87" t="str">
        <f>IF(COUNTIF(Tabla[[#This Row],[Etiquetas]:[Etiquetas17]],"*Devuelto*")&gt;0,"SI","")</f>
        <v/>
      </c>
      <c r="AS355" s="167">
        <f>COUNTIF(Tabla[[#This Row],[Etiquetas]:[Etiquetas17]],"*Devuelto*")</f>
        <v>0</v>
      </c>
    </row>
    <row r="356" spans="1:45" ht="15" customHeight="1">
      <c r="A356" s="40" t="s">
        <v>128</v>
      </c>
      <c r="B356" s="40" t="s">
        <v>994</v>
      </c>
      <c r="C356" s="40">
        <v>82992</v>
      </c>
      <c r="D356" s="40" t="s">
        <v>995</v>
      </c>
      <c r="E356" s="40" t="s">
        <v>37</v>
      </c>
      <c r="F356" s="40" t="s">
        <v>26</v>
      </c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 t="s">
        <v>803</v>
      </c>
      <c r="S356" s="40" t="s">
        <v>132</v>
      </c>
      <c r="T356" s="40" t="s">
        <v>237</v>
      </c>
      <c r="U356" s="40" t="s">
        <v>950</v>
      </c>
      <c r="V356" s="40" t="s">
        <v>226</v>
      </c>
      <c r="W356" s="40" t="s">
        <v>154</v>
      </c>
      <c r="X356" s="40"/>
      <c r="Y356" s="40"/>
      <c r="Z356" s="40"/>
      <c r="AA356" s="40" t="s">
        <v>348</v>
      </c>
      <c r="AB356" s="53">
        <v>45872.974305555559</v>
      </c>
      <c r="AC356" s="40" t="s">
        <v>805</v>
      </c>
      <c r="AD356" s="40"/>
      <c r="AE356" s="40"/>
      <c r="AF356" s="40"/>
      <c r="AG356" s="40" t="s">
        <v>135</v>
      </c>
      <c r="AH356" s="10"/>
      <c r="AI356" s="87"/>
      <c r="AJ356" s="87" cm="1">
        <f t="array" ref="AJ356">IFERROR(_xlfn.XLOOKUP(TRUE,COUNTIF(Tabla[[#This Row],[Etiquetas]:[Etiquetas17]],Versiones!$G$2:$G$36)&gt;0,Versiones!$B$2:$B$36), "")</f>
        <v>16</v>
      </c>
      <c r="AK356" s="87" t="str" cm="1">
        <f t="array" ref="AK356">IFERROR(_xlfn.XLOOKUP(TRUE,COUNTIF(Tabla[[#This Row],[Etiquetas]:[Etiquetas17]],Versiones!$G$2:$G$36)&gt;0,Versiones!$A$2:$A$36), "")</f>
        <v>V0.4</v>
      </c>
      <c r="AL356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56" s="78">
        <f>IFERROR(_xlfn.XLOOKUP(Tabla[[#This Row],[¿En qué versión fue corregido?]],Versiones!$A$2:$A$34,Versiones!$B$2:$B$34),"No encontrado")</f>
        <v>17</v>
      </c>
      <c r="AN356" s="87" t="str" cm="1">
        <f t="array" ref="AN356">IFERROR(_xlfn.XLOOKUP(TRUE,COUNTIF(Tabla[[#This Row],[Etiquetas]:[Etiquetas17]],Categorías!$A$2:$A$12)&gt;0,Categorías!$A$2:$A$12),"No encontrado")</f>
        <v>Look&amp;Feel</v>
      </c>
      <c r="AO356" s="87" t="str" cm="1">
        <f t="array" ref="AO356">IFERROR(INDEX(Funcionalidades!$A$2:$A$80,MATCH(TRUE, COUNTIF(Reporte_Gral!R356:Z356,Funcionalidades!$A$2:$A$80)&gt;0,0)),"No encontrado")</f>
        <v>Main-Dashboard</v>
      </c>
      <c r="AP356" s="87" t="str">
        <f>IF(AND(COUNTIF(Tabla[[#This Row],[Etiquetas]:[Etiquetas17]],"*UAT_V*")&gt;0,COUNTIF(Tabla[[#This Row],[Etiquetas]:[Etiquetas17]],"*QA-Integración*")=0),"SI","")</f>
        <v/>
      </c>
      <c r="AQ356" s="87" t="str" cm="1">
        <f t="array" ref="AQ356">IF(Tabla[[#This Row],[Fue encontrado durante UAT?]]="SI",IFERROR(_xlfn.XLOOKUP(TRUE,ISNUMBER(SEARCH("UAT_V",Tabla[[#This Row],[Etiquetas]:[Etiquetas17]])),Tabla[[#This Row],[Etiquetas]:[Etiquetas17]]),""),"")</f>
        <v/>
      </c>
      <c r="AR356" s="87" t="str">
        <f>IF(COUNTIF(Tabla[[#This Row],[Etiquetas]:[Etiquetas17]],"*Devuelto*")&gt;0,"SI","")</f>
        <v/>
      </c>
      <c r="AS356" s="167">
        <f>COUNTIF(Tabla[[#This Row],[Etiquetas]:[Etiquetas17]],"*Devuelto*")</f>
        <v>0</v>
      </c>
    </row>
    <row r="357" spans="1:45" ht="15" customHeight="1">
      <c r="A357" s="40" t="s">
        <v>128</v>
      </c>
      <c r="B357" s="40" t="s">
        <v>996</v>
      </c>
      <c r="C357" s="40">
        <v>82987</v>
      </c>
      <c r="D357" s="40" t="s">
        <v>997</v>
      </c>
      <c r="E357" s="40" t="s">
        <v>37</v>
      </c>
      <c r="F357" s="40" t="s">
        <v>26</v>
      </c>
      <c r="G357" s="40" t="s">
        <v>917</v>
      </c>
      <c r="H357" s="40" t="s">
        <v>866</v>
      </c>
      <c r="I357" s="40" t="s">
        <v>802</v>
      </c>
      <c r="J357" s="40"/>
      <c r="K357" s="40"/>
      <c r="L357" s="40"/>
      <c r="M357" s="40"/>
      <c r="N357" s="40"/>
      <c r="O357" s="40"/>
      <c r="P357" s="40"/>
      <c r="Q357" s="40"/>
      <c r="R357" s="40" t="s">
        <v>139</v>
      </c>
      <c r="S357" s="40" t="s">
        <v>345</v>
      </c>
      <c r="T357" s="40" t="s">
        <v>835</v>
      </c>
      <c r="U357" s="40" t="s">
        <v>950</v>
      </c>
      <c r="V357" s="40" t="s">
        <v>226</v>
      </c>
      <c r="W357" s="40" t="s">
        <v>154</v>
      </c>
      <c r="X357" s="40"/>
      <c r="Y357" s="40"/>
      <c r="Z357" s="40"/>
      <c r="AA357" s="40" t="s">
        <v>348</v>
      </c>
      <c r="AB357" s="53">
        <v>45872.969444444447</v>
      </c>
      <c r="AC357" s="40" t="s">
        <v>760</v>
      </c>
      <c r="AD357" s="40"/>
      <c r="AE357" s="40"/>
      <c r="AF357" s="40"/>
      <c r="AG357" s="40" t="s">
        <v>135</v>
      </c>
      <c r="AH357" s="10"/>
      <c r="AI357" s="87"/>
      <c r="AJ357" s="87" cm="1">
        <f t="array" ref="AJ357">IFERROR(_xlfn.XLOOKUP(TRUE,COUNTIF(Tabla[[#This Row],[Etiquetas]:[Etiquetas17]],Versiones!$G$2:$G$36)&gt;0,Versiones!$B$2:$B$36), "")</f>
        <v>16</v>
      </c>
      <c r="AK357" s="87" t="str" cm="1">
        <f t="array" ref="AK357">IFERROR(_xlfn.XLOOKUP(TRUE,COUNTIF(Tabla[[#This Row],[Etiquetas]:[Etiquetas17]],Versiones!$G$2:$G$36)&gt;0,Versiones!$A$2:$A$36), "")</f>
        <v>V0.4</v>
      </c>
      <c r="AL357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V0.7</v>
      </c>
      <c r="AM357" s="78">
        <f>IFERROR(_xlfn.XLOOKUP(Tabla[[#This Row],[¿En qué versión fue corregido?]],Versiones!$A$2:$A$34,Versiones!$B$2:$B$34),"No encontrado")</f>
        <v>19</v>
      </c>
      <c r="AN357" s="87" t="str" cm="1">
        <f t="array" ref="AN357">IFERROR(_xlfn.XLOOKUP(TRUE,COUNTIF(Tabla[[#This Row],[Etiquetas]:[Etiquetas17]],Categorías!$A$2:$A$12)&gt;0,Categorías!$A$2:$A$12),"No encontrado")</f>
        <v>Funcional</v>
      </c>
      <c r="AO357" s="87" t="str" cm="1">
        <f t="array" ref="AO357">IFERROR(INDEX(Funcionalidades!$A$2:$A$80,MATCH(TRUE, COUNTIF(Reporte_Gral!R357:Z357,Funcionalidades!$A$2:$A$80)&gt;0,0)),"No encontrado")</f>
        <v>Inicio-De-Turno</v>
      </c>
      <c r="AP357" s="87" t="str">
        <f>IF(AND(COUNTIF(Tabla[[#This Row],[Etiquetas]:[Etiquetas17]],"*UAT_V*")&gt;0,COUNTIF(Tabla[[#This Row],[Etiquetas]:[Etiquetas17]],"*QA-Integración*")=0),"SI","")</f>
        <v/>
      </c>
      <c r="AQ357" s="87" t="str" cm="1">
        <f t="array" ref="AQ357">IF(Tabla[[#This Row],[Fue encontrado durante UAT?]]="SI",IFERROR(_xlfn.XLOOKUP(TRUE,ISNUMBER(SEARCH("UAT_V",Tabla[[#This Row],[Etiquetas]:[Etiquetas17]])),Tabla[[#This Row],[Etiquetas]:[Etiquetas17]]),""),"")</f>
        <v/>
      </c>
      <c r="AR357" s="87" t="str">
        <f>IF(COUNTIF(Tabla[[#This Row],[Etiquetas]:[Etiquetas17]],"*Devuelto*")&gt;0,"SI","")</f>
        <v/>
      </c>
      <c r="AS357" s="167">
        <f>COUNTIF(Tabla[[#This Row],[Etiquetas]:[Etiquetas17]],"*Devuelto*")</f>
        <v>0</v>
      </c>
    </row>
    <row r="358" spans="1:45" ht="15" customHeight="1">
      <c r="A358" s="40" t="s">
        <v>128</v>
      </c>
      <c r="B358" s="40" t="s">
        <v>998</v>
      </c>
      <c r="C358" s="40">
        <v>82982</v>
      </c>
      <c r="D358" s="40" t="s">
        <v>999</v>
      </c>
      <c r="E358" s="40" t="s">
        <v>37</v>
      </c>
      <c r="F358" s="40" t="s">
        <v>24</v>
      </c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 t="s">
        <v>803</v>
      </c>
      <c r="S358" s="40" t="s">
        <v>139</v>
      </c>
      <c r="T358" s="40" t="s">
        <v>481</v>
      </c>
      <c r="U358" s="40" t="s">
        <v>950</v>
      </c>
      <c r="V358" s="40" t="s">
        <v>226</v>
      </c>
      <c r="W358" s="40" t="s">
        <v>154</v>
      </c>
      <c r="X358" s="40"/>
      <c r="Y358" s="40"/>
      <c r="Z358" s="40"/>
      <c r="AA358" s="40" t="s">
        <v>348</v>
      </c>
      <c r="AB358" s="53">
        <v>45872.95208333333</v>
      </c>
      <c r="AC358" s="40" t="s">
        <v>806</v>
      </c>
      <c r="AD358" s="40"/>
      <c r="AE358" s="40"/>
      <c r="AF358" s="40"/>
      <c r="AG358" s="40" t="s">
        <v>135</v>
      </c>
      <c r="AH358" s="10"/>
      <c r="AI358" s="87"/>
      <c r="AJ358" s="87" cm="1">
        <f t="array" ref="AJ358">IFERROR(_xlfn.XLOOKUP(TRUE,COUNTIF(Tabla[[#This Row],[Etiquetas]:[Etiquetas17]],Versiones!$G$2:$G$36)&gt;0,Versiones!$B$2:$B$36), "")</f>
        <v>16</v>
      </c>
      <c r="AK358" s="87" t="str" cm="1">
        <f t="array" ref="AK358">IFERROR(_xlfn.XLOOKUP(TRUE,COUNTIF(Tabla[[#This Row],[Etiquetas]:[Etiquetas17]],Versiones!$G$2:$G$36)&gt;0,Versiones!$A$2:$A$36), "")</f>
        <v>V0.4</v>
      </c>
      <c r="AL358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58" s="78">
        <f>IFERROR(_xlfn.XLOOKUP(Tabla[[#This Row],[¿En qué versión fue corregido?]],Versiones!$A$2:$A$34,Versiones!$B$2:$B$34),"No encontrado")</f>
        <v>18</v>
      </c>
      <c r="AN358" s="87" t="str" cm="1">
        <f t="array" ref="AN358">IFERROR(_xlfn.XLOOKUP(TRUE,COUNTIF(Tabla[[#This Row],[Etiquetas]:[Etiquetas17]],Categorías!$A$2:$A$12)&gt;0,Categorías!$A$2:$A$12),"No encontrado")</f>
        <v>Funcional</v>
      </c>
      <c r="AO358" s="87" t="str" cm="1">
        <f t="array" ref="AO358">IFERROR(INDEX(Funcionalidades!$A$2:$A$80,MATCH(TRUE, COUNTIF(Reporte_Gral!R358:Z358,Funcionalidades!$A$2:$A$80)&gt;0,0)),"No encontrado")</f>
        <v>Iniciar_Venta</v>
      </c>
      <c r="AP358" s="87" t="str">
        <f>IF(AND(COUNTIF(Tabla[[#This Row],[Etiquetas]:[Etiquetas17]],"*UAT_V*")&gt;0,COUNTIF(Tabla[[#This Row],[Etiquetas]:[Etiquetas17]],"*QA-Integración*")=0),"SI","")</f>
        <v/>
      </c>
      <c r="AQ358" s="87" t="str" cm="1">
        <f t="array" ref="AQ358">IF(Tabla[[#This Row],[Fue encontrado durante UAT?]]="SI",IFERROR(_xlfn.XLOOKUP(TRUE,ISNUMBER(SEARCH("UAT_V",Tabla[[#This Row],[Etiquetas]:[Etiquetas17]])),Tabla[[#This Row],[Etiquetas]:[Etiquetas17]]),""),"")</f>
        <v/>
      </c>
      <c r="AR358" s="87" t="str">
        <f>IF(COUNTIF(Tabla[[#This Row],[Etiquetas]:[Etiquetas17]],"*Devuelto*")&gt;0,"SI","")</f>
        <v/>
      </c>
      <c r="AS358" s="167">
        <f>COUNTIF(Tabla[[#This Row],[Etiquetas]:[Etiquetas17]],"*Devuelto*")</f>
        <v>0</v>
      </c>
    </row>
    <row r="359" spans="1:45" ht="15" customHeight="1">
      <c r="A359" s="40" t="s">
        <v>128</v>
      </c>
      <c r="B359" s="40" t="s">
        <v>1000</v>
      </c>
      <c r="C359" s="40">
        <v>82968</v>
      </c>
      <c r="D359" s="40" t="s">
        <v>1001</v>
      </c>
      <c r="E359" s="40" t="s">
        <v>37</v>
      </c>
      <c r="F359" s="40" t="s">
        <v>26</v>
      </c>
      <c r="G359" s="40" t="s">
        <v>637</v>
      </c>
      <c r="H359" s="40" t="s">
        <v>561</v>
      </c>
      <c r="I359" s="40" t="s">
        <v>429</v>
      </c>
      <c r="J359" s="40" t="s">
        <v>307</v>
      </c>
      <c r="K359" s="40" t="s">
        <v>224</v>
      </c>
      <c r="L359" s="40" t="s">
        <v>151</v>
      </c>
      <c r="M359" s="40"/>
      <c r="N359" s="40"/>
      <c r="O359" s="40"/>
      <c r="P359" s="40"/>
      <c r="Q359" s="40"/>
      <c r="R359" s="40" t="s">
        <v>803</v>
      </c>
      <c r="S359" s="40" t="s">
        <v>132</v>
      </c>
      <c r="T359" s="40" t="s">
        <v>237</v>
      </c>
      <c r="U359" s="40" t="s">
        <v>950</v>
      </c>
      <c r="V359" s="40" t="s">
        <v>204</v>
      </c>
      <c r="W359" s="40" t="s">
        <v>154</v>
      </c>
      <c r="X359" s="40"/>
      <c r="Y359" s="40"/>
      <c r="Z359" s="40"/>
      <c r="AA359" s="40" t="s">
        <v>348</v>
      </c>
      <c r="AB359" s="53">
        <v>45872.915277777778</v>
      </c>
      <c r="AC359" s="40" t="s">
        <v>675</v>
      </c>
      <c r="AD359" s="40" t="s">
        <v>805</v>
      </c>
      <c r="AE359" s="40"/>
      <c r="AF359" s="40"/>
      <c r="AG359" s="40" t="s">
        <v>135</v>
      </c>
      <c r="AH359" s="10"/>
      <c r="AI359" s="87"/>
      <c r="AJ359" s="87" cm="1">
        <f t="array" ref="AJ359">IFERROR(_xlfn.XLOOKUP(TRUE,COUNTIF(Tabla[[#This Row],[Etiquetas]:[Etiquetas17]],Versiones!$G$2:$G$36)&gt;0,Versiones!$B$2:$B$36), "")</f>
        <v>16</v>
      </c>
      <c r="AK359" s="87" t="str" cm="1">
        <f t="array" ref="AK359">IFERROR(_xlfn.XLOOKUP(TRUE,COUNTIF(Tabla[[#This Row],[Etiquetas]:[Etiquetas17]],Versiones!$G$2:$G$36)&gt;0,Versiones!$A$2:$A$36), "")</f>
        <v>V0.4</v>
      </c>
      <c r="AL359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59" s="78">
        <f>IFERROR(_xlfn.XLOOKUP(Tabla[[#This Row],[¿En qué versión fue corregido?]],Versiones!$A$2:$A$34,Versiones!$B$2:$B$34),"No encontrado")</f>
        <v>17</v>
      </c>
      <c r="AN359" s="87" t="str" cm="1">
        <f t="array" ref="AN359">IFERROR(_xlfn.XLOOKUP(TRUE,COUNTIF(Tabla[[#This Row],[Etiquetas]:[Etiquetas17]],Categorías!$A$2:$A$12)&gt;0,Categorías!$A$2:$A$12),"No encontrado")</f>
        <v>Look&amp;Feel</v>
      </c>
      <c r="AO359" s="87" t="str" cm="1">
        <f t="array" ref="AO359">IFERROR(INDEX(Funcionalidades!$A$2:$A$80,MATCH(TRUE, COUNTIF(Reporte_Gral!R359:Z359,Funcionalidades!$A$2:$A$80)&gt;0,0)),"No encontrado")</f>
        <v>Main-Dashboard</v>
      </c>
      <c r="AP359" s="87" t="str">
        <f>IF(AND(COUNTIF(Tabla[[#This Row],[Etiquetas]:[Etiquetas17]],"*UAT_V*")&gt;0,COUNTIF(Tabla[[#This Row],[Etiquetas]:[Etiquetas17]],"*QA-Integración*")=0),"SI","")</f>
        <v/>
      </c>
      <c r="AQ359" s="87" t="str" cm="1">
        <f t="array" ref="AQ359">IF(Tabla[[#This Row],[Fue encontrado durante UAT?]]="SI",IFERROR(_xlfn.XLOOKUP(TRUE,ISNUMBER(SEARCH("UAT_V",Tabla[[#This Row],[Etiquetas]:[Etiquetas17]])),Tabla[[#This Row],[Etiquetas]:[Etiquetas17]]),""),"")</f>
        <v/>
      </c>
      <c r="AR359" s="87" t="str">
        <f>IF(COUNTIF(Tabla[[#This Row],[Etiquetas]:[Etiquetas17]],"*Devuelto*")&gt;0,"SI","")</f>
        <v/>
      </c>
      <c r="AS359" s="167">
        <f>COUNTIF(Tabla[[#This Row],[Etiquetas]:[Etiquetas17]],"*Devuelto*")</f>
        <v>0</v>
      </c>
    </row>
    <row r="360" spans="1:45" ht="15" customHeight="1">
      <c r="A360" s="40" t="s">
        <v>128</v>
      </c>
      <c r="B360" s="40" t="s">
        <v>1002</v>
      </c>
      <c r="C360" s="40">
        <v>82878</v>
      </c>
      <c r="D360" s="40" t="s">
        <v>1003</v>
      </c>
      <c r="E360" s="40" t="s">
        <v>37</v>
      </c>
      <c r="F360" s="40" t="s">
        <v>26</v>
      </c>
      <c r="G360" s="40" t="s">
        <v>917</v>
      </c>
      <c r="H360" s="40" t="s">
        <v>866</v>
      </c>
      <c r="I360" s="40" t="s">
        <v>802</v>
      </c>
      <c r="J360" s="40"/>
      <c r="K360" s="40"/>
      <c r="L360" s="40"/>
      <c r="M360" s="40"/>
      <c r="N360" s="40"/>
      <c r="O360" s="40"/>
      <c r="P360" s="40"/>
      <c r="Q360" s="40"/>
      <c r="R360" s="40" t="s">
        <v>139</v>
      </c>
      <c r="S360" s="40" t="s">
        <v>237</v>
      </c>
      <c r="T360" s="40" t="s">
        <v>950</v>
      </c>
      <c r="U360" s="40" t="s">
        <v>204</v>
      </c>
      <c r="V360" s="40" t="s">
        <v>912</v>
      </c>
      <c r="W360" s="40" t="s">
        <v>154</v>
      </c>
      <c r="X360" s="40"/>
      <c r="Y360" s="40"/>
      <c r="Z360" s="40"/>
      <c r="AA360" s="40" t="s">
        <v>348</v>
      </c>
      <c r="AB360" s="53">
        <v>45872.51666666667</v>
      </c>
      <c r="AC360" s="40" t="s">
        <v>805</v>
      </c>
      <c r="AD360" s="40" t="s">
        <v>806</v>
      </c>
      <c r="AE360" s="40"/>
      <c r="AF360" s="40"/>
      <c r="AG360" s="40" t="s">
        <v>141</v>
      </c>
      <c r="AH360" s="10"/>
      <c r="AI360" s="87"/>
      <c r="AJ360" s="87" cm="1">
        <f t="array" ref="AJ360">IFERROR(_xlfn.XLOOKUP(TRUE,COUNTIF(Tabla[[#This Row],[Etiquetas]:[Etiquetas17]],Versiones!$G$2:$G$36)&gt;0,Versiones!$B$2:$B$36), "")</f>
        <v>16</v>
      </c>
      <c r="AK360" s="87" t="str" cm="1">
        <f t="array" ref="AK360">IFERROR(_xlfn.XLOOKUP(TRUE,COUNTIF(Tabla[[#This Row],[Etiquetas]:[Etiquetas17]],Versiones!$G$2:$G$36)&gt;0,Versiones!$A$2:$A$36), "")</f>
        <v>V0.4</v>
      </c>
      <c r="AL360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V0.6</v>
      </c>
      <c r="AM360" s="78">
        <f>IFERROR(_xlfn.XLOOKUP(Tabla[[#This Row],[¿En qué versión fue corregido?]],Versiones!$A$2:$A$34,Versiones!$B$2:$B$34),"No encontrado")</f>
        <v>18</v>
      </c>
      <c r="AN360" s="87" t="str" cm="1">
        <f t="array" ref="AN360">IFERROR(_xlfn.XLOOKUP(TRUE,COUNTIF(Tabla[[#This Row],[Etiquetas]:[Etiquetas17]],Categorías!$A$2:$A$12)&gt;0,Categorías!$A$2:$A$12),"No encontrado")</f>
        <v>Funcional</v>
      </c>
      <c r="AO360" s="87" t="str" cm="1">
        <f t="array" ref="AO360">IFERROR(INDEX(Funcionalidades!$A$2:$A$80,MATCH(TRUE, COUNTIF(Reporte_Gral!R360:Z360,Funcionalidades!$A$2:$A$80)&gt;0,0)),"No encontrado")</f>
        <v>Main-Dashboard</v>
      </c>
      <c r="AP360" s="87" t="str">
        <f>IF(AND(COUNTIF(Tabla[[#This Row],[Etiquetas]:[Etiquetas17]],"*UAT_V*")&gt;0,COUNTIF(Tabla[[#This Row],[Etiquetas]:[Etiquetas17]],"*QA-Integración*")=0),"SI","")</f>
        <v/>
      </c>
      <c r="AQ360" s="87" t="str" cm="1">
        <f t="array" ref="AQ360">IF(Tabla[[#This Row],[Fue encontrado durante UAT?]]="SI",IFERROR(_xlfn.XLOOKUP(TRUE,ISNUMBER(SEARCH("UAT_V",Tabla[[#This Row],[Etiquetas]:[Etiquetas17]])),Tabla[[#This Row],[Etiquetas]:[Etiquetas17]]),""),"")</f>
        <v/>
      </c>
      <c r="AR360" s="87" t="str">
        <f>IF(COUNTIF(Tabla[[#This Row],[Etiquetas]:[Etiquetas17]],"*Devuelto*")&gt;0,"SI","")</f>
        <v/>
      </c>
      <c r="AS360" s="167">
        <f>COUNTIF(Tabla[[#This Row],[Etiquetas]:[Etiquetas17]],"*Devuelto*")</f>
        <v>0</v>
      </c>
    </row>
    <row r="361" spans="1:45" ht="15" customHeight="1">
      <c r="A361" s="40" t="s">
        <v>128</v>
      </c>
      <c r="B361" s="40" t="s">
        <v>1004</v>
      </c>
      <c r="C361" s="40">
        <v>82873</v>
      </c>
      <c r="D361" s="40" t="s">
        <v>1005</v>
      </c>
      <c r="E361" s="40" t="s">
        <v>37</v>
      </c>
      <c r="F361" s="40" t="s">
        <v>26</v>
      </c>
      <c r="G361" s="40" t="s">
        <v>1006</v>
      </c>
      <c r="H361" s="40" t="s">
        <v>917</v>
      </c>
      <c r="I361" s="40" t="s">
        <v>866</v>
      </c>
      <c r="J361" s="40" t="s">
        <v>802</v>
      </c>
      <c r="K361" s="40"/>
      <c r="L361" s="40"/>
      <c r="M361" s="40"/>
      <c r="N361" s="40"/>
      <c r="O361" s="40"/>
      <c r="P361" s="40"/>
      <c r="Q361" s="40"/>
      <c r="R361" s="40" t="s">
        <v>139</v>
      </c>
      <c r="S361" s="40" t="s">
        <v>351</v>
      </c>
      <c r="T361" s="40" t="s">
        <v>950</v>
      </c>
      <c r="U361" s="40" t="s">
        <v>204</v>
      </c>
      <c r="V361" s="40" t="s">
        <v>154</v>
      </c>
      <c r="W361" s="40"/>
      <c r="X361" s="40"/>
      <c r="Y361" s="40"/>
      <c r="Z361" s="40"/>
      <c r="AA361" s="40" t="s">
        <v>348</v>
      </c>
      <c r="AB361" s="53">
        <v>45872.511111111111</v>
      </c>
      <c r="AC361" s="40" t="s">
        <v>805</v>
      </c>
      <c r="AD361" s="40"/>
      <c r="AE361" s="40"/>
      <c r="AF361" s="40"/>
      <c r="AG361" s="40" t="s">
        <v>141</v>
      </c>
      <c r="AH361" s="10"/>
      <c r="AI361" s="87"/>
      <c r="AJ361" s="87" cm="1">
        <f t="array" ref="AJ361">IFERROR(_xlfn.XLOOKUP(TRUE,COUNTIF(Tabla[[#This Row],[Etiquetas]:[Etiquetas17]],Versiones!$G$2:$G$36)&gt;0,Versiones!$B$2:$B$36), "")</f>
        <v>16</v>
      </c>
      <c r="AK361" s="87" t="str" cm="1">
        <f t="array" ref="AK361">IFERROR(_xlfn.XLOOKUP(TRUE,COUNTIF(Tabla[[#This Row],[Etiquetas]:[Etiquetas17]],Versiones!$G$2:$G$36)&gt;0,Versiones!$A$2:$A$36), "")</f>
        <v>V0.4</v>
      </c>
      <c r="AL361" s="87" t="str">
        <f>"V"&amp;MAX(IFERROR(VALUE(MID(Tabla[[#This Row],[Versiones corregidas]],2,99)),0),
    IFERROR(VALUE(MID(Tabla[[#This Row],[Versiones corregidas19]],2,99)),0),
    IFERROR(VALUE(MID(Tabla[[#This Row],[Versiones corregidas20]],2,99)),0),
    IFERROR(VALUE(MID(Tabla[[#This Row],[Versiones corregidas21]],2,99)),0),IFERROR(VALUE(MID(#REF!,2,99)),0))</f>
        <v>V0.5</v>
      </c>
      <c r="AM361" s="78">
        <f>IFERROR(_xlfn.XLOOKUP(Tabla[[#This Row],[¿En qué versión fue corregido?]],Versiones!$A$2:$A$34,Versiones!$B$2:$B$34),"No encontrado")</f>
        <v>17</v>
      </c>
      <c r="AN361" s="87" t="str" cm="1">
        <f t="array" ref="AN361">IFERROR(_xlfn.XLOOKUP(TRUE,COUNTIF(Tabla[[#This Row],[Etiquetas]:[Etiquetas17]],Categorías!$A$2:$A$12)&gt;0,Categorías!$A$2:$A$12),"No encontrado")</f>
        <v>Funcional</v>
      </c>
      <c r="AO361" s="87" t="str" cm="1">
        <f t="array" ref="AO361">IFERROR(INDEX(Funcionalidades!$A$2:$A$80,MATCH(TRUE, COUNTIF(Reporte_Gral!R361:Z361,Funcionalidades!$A$2:$A$80)&gt;0,0)),"No encontrado")</f>
        <v>Inicio-De-Día</v>
      </c>
      <c r="AP361" s="87" t="str">
        <f>IF(AND(COUNTIF(Tabla[[#This Row],[Etiquetas]:[Etiquetas17]],"*UAT_V*")&gt;0,COUNTIF(Tabla[[#This Row],[Etiquetas]:[Etiquetas17]],"*QA-Integración*")=0),"SI","")</f>
        <v/>
      </c>
      <c r="AQ361" s="87" t="str" cm="1">
        <f t="array" ref="AQ361">IF(Tabla[[#This Row],[Fue encontrado durante UAT?]]="SI",IFERROR(_xlfn.XLOOKUP(TRUE,ISNUMBER(SEARCH("UAT_V",Tabla[[#This Row],[Etiquetas]:[Etiquetas17]])),Tabla[[#This Row],[Etiquetas]:[Etiquetas17]]),""),"")</f>
        <v/>
      </c>
      <c r="AR361" s="87" t="str">
        <f>IF(COUNTIF(Tabla[[#This Row],[Etiquetas]:[Etiquetas17]],"*Devuelto*")&gt;0,"SI","")</f>
        <v/>
      </c>
      <c r="AS361" s="167">
        <f>COUNTIF(Tabla[[#This Row],[Etiquetas]:[Etiquetas17]],"*Devuelto*")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B2A7-BD50-4606-A374-C5C65C5AD235}">
  <dimension ref="B2:G13"/>
  <sheetViews>
    <sheetView tabSelected="1" workbookViewId="0">
      <selection activeCell="I12" sqref="I12"/>
    </sheetView>
  </sheetViews>
  <sheetFormatPr defaultRowHeight="15"/>
  <cols>
    <col min="7" max="7" width="18.42578125" customWidth="1"/>
  </cols>
  <sheetData>
    <row r="2" spans="2:7">
      <c r="B2" s="201" t="s">
        <v>1007</v>
      </c>
      <c r="G2" s="26" t="s">
        <v>1008</v>
      </c>
    </row>
    <row r="3" spans="2:7">
      <c r="B3" s="201" t="s">
        <v>1009</v>
      </c>
      <c r="G3" s="202" t="s">
        <v>1010</v>
      </c>
    </row>
    <row r="4" spans="2:7">
      <c r="B4" s="201" t="s">
        <v>1011</v>
      </c>
      <c r="G4" s="26" t="s">
        <v>1012</v>
      </c>
    </row>
    <row r="5" spans="2:7">
      <c r="B5" s="201" t="s">
        <v>1013</v>
      </c>
      <c r="G5" s="202" t="s">
        <v>1010</v>
      </c>
    </row>
    <row r="6" spans="2:7">
      <c r="B6" s="201" t="s">
        <v>1014</v>
      </c>
      <c r="G6" s="202" t="s">
        <v>1010</v>
      </c>
    </row>
    <row r="7" spans="2:7">
      <c r="B7" s="201" t="s">
        <v>1015</v>
      </c>
      <c r="G7" s="202" t="s">
        <v>1010</v>
      </c>
    </row>
    <row r="8" spans="2:7">
      <c r="B8" s="201" t="s">
        <v>1016</v>
      </c>
      <c r="G8" s="203" t="s">
        <v>1017</v>
      </c>
    </row>
    <row r="9" spans="2:7">
      <c r="B9" s="201" t="s">
        <v>1018</v>
      </c>
      <c r="G9" s="203" t="s">
        <v>1017</v>
      </c>
    </row>
    <row r="10" spans="2:7">
      <c r="B10" s="201" t="s">
        <v>1019</v>
      </c>
      <c r="G10" s="26" t="s">
        <v>1012</v>
      </c>
    </row>
    <row r="11" spans="2:7">
      <c r="B11" s="201" t="s">
        <v>1020</v>
      </c>
      <c r="G11" s="203" t="s">
        <v>1017</v>
      </c>
    </row>
    <row r="12" spans="2:7">
      <c r="B12" s="201" t="s">
        <v>1021</v>
      </c>
      <c r="G12" s="203" t="s">
        <v>1017</v>
      </c>
    </row>
    <row r="13" spans="2:7">
      <c r="B13" s="201" t="s">
        <v>1022</v>
      </c>
      <c r="G13" s="203" t="s">
        <v>1017</v>
      </c>
    </row>
  </sheetData>
  <hyperlinks>
    <hyperlink ref="B2" r:id="rId1" xr:uid="{584CAB68-2A08-42B6-9710-6B51A05A84E6}"/>
    <hyperlink ref="B3" r:id="rId2" xr:uid="{8215507E-CB56-485C-BD3F-2BEDD938515E}"/>
    <hyperlink ref="B4" r:id="rId3" xr:uid="{0D82B16C-6483-4EB3-B650-A95F2A39F93E}"/>
    <hyperlink ref="B5" r:id="rId4" xr:uid="{0FCD3377-7107-4462-9D53-85F2FA413F5B}"/>
    <hyperlink ref="B6" r:id="rId5" xr:uid="{6A1264E5-5D05-4F43-8A06-8071B5AC92DF}"/>
    <hyperlink ref="B7" r:id="rId6" xr:uid="{90E2B676-ACEE-4498-BE68-63F43EF5951E}"/>
    <hyperlink ref="B8" r:id="rId7" xr:uid="{0B474EF4-3420-43FE-93FD-4C442396FA75}"/>
    <hyperlink ref="B9" r:id="rId8" xr:uid="{6ED829EC-22C0-4B85-8192-F37849CA735C}"/>
    <hyperlink ref="B10" r:id="rId9" xr:uid="{F12CADCB-56B6-411C-BC27-A7E8A232E800}"/>
    <hyperlink ref="B11" r:id="rId10" xr:uid="{CFDACE9A-1224-43E5-8BD8-2233BDB32BB7}"/>
    <hyperlink ref="B12" r:id="rId11" xr:uid="{64D9E100-BD70-4445-BD6C-9B7D4B1B7DBA}"/>
    <hyperlink ref="B13" r:id="rId12" xr:uid="{53EE75AF-2B51-4844-BA0B-100AB47D0AB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5A65-7671-45F7-8ADD-53FEB50E3F1F}">
  <dimension ref="A1:AJ139"/>
  <sheetViews>
    <sheetView workbookViewId="0">
      <selection activeCell="B1" sqref="B1:B1048576"/>
    </sheetView>
  </sheetViews>
  <sheetFormatPr defaultRowHeight="15"/>
  <sheetData>
    <row r="1" spans="1:36">
      <c r="A1" t="s">
        <v>88</v>
      </c>
      <c r="B1" t="s">
        <v>89</v>
      </c>
      <c r="C1" t="s">
        <v>90</v>
      </c>
      <c r="D1" t="s">
        <v>91</v>
      </c>
      <c r="E1" t="s">
        <v>1023</v>
      </c>
      <c r="F1" t="s">
        <v>1024</v>
      </c>
      <c r="G1" t="s">
        <v>1025</v>
      </c>
      <c r="H1" t="s">
        <v>22</v>
      </c>
      <c r="I1" t="s">
        <v>18</v>
      </c>
      <c r="J1" t="s">
        <v>92</v>
      </c>
      <c r="K1" t="s">
        <v>1026</v>
      </c>
      <c r="L1" t="s">
        <v>1027</v>
      </c>
      <c r="M1" t="s">
        <v>1028</v>
      </c>
      <c r="N1" t="s">
        <v>1029</v>
      </c>
      <c r="O1" t="s">
        <v>1030</v>
      </c>
      <c r="P1" t="s">
        <v>103</v>
      </c>
      <c r="Q1" t="s">
        <v>1031</v>
      </c>
      <c r="R1" t="s">
        <v>1032</v>
      </c>
      <c r="S1" t="s">
        <v>1033</v>
      </c>
      <c r="T1" t="s">
        <v>1034</v>
      </c>
      <c r="U1" t="s">
        <v>1035</v>
      </c>
      <c r="V1" t="s">
        <v>1036</v>
      </c>
      <c r="W1" t="s">
        <v>112</v>
      </c>
      <c r="X1" t="s">
        <v>113</v>
      </c>
      <c r="Y1" t="s">
        <v>114</v>
      </c>
      <c r="Z1" t="s">
        <v>1037</v>
      </c>
      <c r="AA1" t="s">
        <v>1038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</row>
    <row r="2" spans="1:36" ht="29.25">
      <c r="A2" s="40" t="s">
        <v>128</v>
      </c>
      <c r="B2" s="40" t="s">
        <v>948</v>
      </c>
      <c r="C2" s="40">
        <v>83062</v>
      </c>
      <c r="D2" s="40" t="s">
        <v>949</v>
      </c>
      <c r="E2" s="40">
        <v>87100</v>
      </c>
      <c r="F2" s="40" t="s">
        <v>1039</v>
      </c>
      <c r="G2" s="40" t="s">
        <v>1040</v>
      </c>
      <c r="H2" s="40" t="s">
        <v>37</v>
      </c>
      <c r="I2" s="40" t="s">
        <v>26</v>
      </c>
      <c r="J2" s="40" t="s">
        <v>1041</v>
      </c>
      <c r="K2" s="40"/>
      <c r="L2" s="40"/>
      <c r="M2" s="40"/>
      <c r="N2" s="40"/>
      <c r="O2" s="40"/>
      <c r="P2" s="40" t="s">
        <v>803</v>
      </c>
      <c r="Q2" s="40" t="s">
        <v>139</v>
      </c>
      <c r="R2" s="40" t="s">
        <v>950</v>
      </c>
      <c r="S2" s="40" t="s">
        <v>204</v>
      </c>
      <c r="T2" s="40" t="s">
        <v>226</v>
      </c>
      <c r="U2" s="40" t="s">
        <v>912</v>
      </c>
      <c r="V2" s="40" t="s">
        <v>154</v>
      </c>
      <c r="W2" s="40" t="s">
        <v>348</v>
      </c>
      <c r="X2" s="53">
        <v>45873.227777777778</v>
      </c>
      <c r="Y2" s="40" t="s">
        <v>805</v>
      </c>
      <c r="Z2" s="40"/>
      <c r="AA2" s="40"/>
      <c r="AB2" t="str">
        <f>IF(LEFT(Jira__325[[#This Row],[Resumen]],3)="POS","POS",IF(LEFT(Jira__325[[#This Row],[Resumen]],3)="BOT","BOT",""))</f>
        <v>BOT</v>
      </c>
      <c r="AC2" s="9" t="s">
        <v>136</v>
      </c>
      <c r="AE2" s="22" t="str" cm="1">
        <f t="array" ref="AE2">_xlfn.IFS(OR(COUNTIF(P2:V2,Categorías!#REF!)&gt;0, COUNTIF(P2:V2,Categorías!#REF!)&gt;0), "Sprint 21",OR(COUNTIF(P2:V2,Categorías!#REF!)&gt;0, COUNTIF(P2:V2,Categorías!#REF!)&gt;0, COUNTIF(P2:V2,Categorías!#REF!)&gt;0), "Sprint 20",OR(COUNTIF(P2:V2,Categorías!#REF!)&gt;0, COUNTIF(P2:V2,Categorías!#REF!)&gt;0, COUNTIF(P2:V2,Categorías!#REF!)&gt;0), "Sprint 19",OR(COUNTIF(P2:V2,Categorías!#REF!)&gt;0, COUNTIF(P2:V2,Categorías!#REF!)&gt;0, COUNTIF(P2:V2,Categorías!#REF!)&gt;0), "Sprint 18",OR(COUNTIF(P2:V2,Categorías!#REF!)&gt;0, COUNTIF(P2:V2,Categorías!#REF!)&gt;0, COUNTIF(P2:V2,Categorías!#REF!)&gt;0, COUNTIF(P2:V2,Categorías!#REF!)&gt;0), "Sprint 17",OR(COUNTIF(P2:V2,Categorías!#REF!)&gt;0, COUNTIF(P2:V2,Categorías!#REF!)&gt;0, COUNTIF(P2:V2,Categorías!#REF!)&gt;0, COUNTIF(P2:V2,Categorías!#REF!)&gt;0), "Sprint 16", OR(COUNTIF(P2:V2,Categorías!#REF!)&gt;0, COUNTIF(P2:V2,Categorías!#REF!)&gt;0, COUNTIF(P2:V2,Categorías!#REF!)&gt;0, COUNTIF(P2:V2,Categorías!#REF!)&gt;0), "Sprint 16",TRUE, "")</f>
        <v/>
      </c>
      <c r="AF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2" t="str" cm="1">
        <f t="array" ref="AG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2" s="22" t="str" cm="1">
        <f t="array" ref="AH2">_xlfn.IFS(COUNTIF(P2:V2, Categorías!$A$2)&gt;0, "Funcional", COUNTIF(P2:V2, Categorías!$A$3)&gt;0, "Configuración", COUNTIF(P2:V2, Categorías!$A$4)&gt;0, "Look&amp;Feel", COUNTIF(P2:V2, Categorías!$A$5)&gt;0, "Integración", COUNTIF(P2:V2, Categorías!$A$6)&gt;0, "Contenido/Datos", COUNTIF(P2:V2, Categorías!$A$7)&gt;0, "Eventos_Cosmos", COUNTIF(P2:V2, Categorías!$A$8)&gt;0, "Eventos_iOT", COUNTIF(P2:V2, Categorías!$A$9)&gt;0, "Eventos_Fabric", TRUE, "No encontrado")</f>
        <v>Funcional</v>
      </c>
      <c r="AI2" s="22"/>
      <c r="AJ2" s="22"/>
    </row>
    <row r="3" spans="1:36" ht="29.25">
      <c r="A3" s="40" t="s">
        <v>128</v>
      </c>
      <c r="B3" s="40" t="s">
        <v>951</v>
      </c>
      <c r="C3" s="40">
        <v>83060</v>
      </c>
      <c r="D3" s="40" t="s">
        <v>952</v>
      </c>
      <c r="E3" s="40">
        <v>87100</v>
      </c>
      <c r="F3" s="40" t="s">
        <v>1039</v>
      </c>
      <c r="G3" s="40" t="s">
        <v>1040</v>
      </c>
      <c r="H3" s="40" t="s">
        <v>37</v>
      </c>
      <c r="I3" s="40" t="s">
        <v>26</v>
      </c>
      <c r="J3" s="40" t="s">
        <v>753</v>
      </c>
      <c r="K3" s="40" t="s">
        <v>1041</v>
      </c>
      <c r="L3" s="40"/>
      <c r="M3" s="40"/>
      <c r="N3" s="40"/>
      <c r="O3" s="40"/>
      <c r="P3" s="40" t="s">
        <v>803</v>
      </c>
      <c r="Q3" s="40" t="s">
        <v>132</v>
      </c>
      <c r="R3" s="40" t="s">
        <v>950</v>
      </c>
      <c r="S3" s="40" t="s">
        <v>226</v>
      </c>
      <c r="T3" s="40" t="s">
        <v>154</v>
      </c>
      <c r="U3" s="40"/>
      <c r="V3" s="40"/>
      <c r="W3" s="40" t="s">
        <v>348</v>
      </c>
      <c r="X3" s="53">
        <v>45873.219444444447</v>
      </c>
      <c r="Y3" s="40" t="s">
        <v>760</v>
      </c>
      <c r="Z3" s="40"/>
      <c r="AA3" s="40"/>
      <c r="AB3" t="str">
        <f>IF(LEFT(Jira__325[[#This Row],[Resumen]],3)="POS","POS",IF(LEFT(Jira__325[[#This Row],[Resumen]],3)="BOT","BOT",""))</f>
        <v>POS</v>
      </c>
      <c r="AC3" s="9" t="s">
        <v>142</v>
      </c>
      <c r="AE3" s="22" t="str" cm="1">
        <f t="array" ref="AE3">_xlfn.IFS(OR(COUNTIF(P3:V3,Categorías!#REF!)&gt;0, COUNTIF(P3:V3,Categorías!#REF!)&gt;0), "Sprint 21",OR(COUNTIF(P3:V3,Categorías!#REF!)&gt;0, COUNTIF(P3:V3,Categorías!#REF!)&gt;0, COUNTIF(P3:V3,Categorías!#REF!)&gt;0), "Sprint 20",OR(COUNTIF(P3:V3,Categorías!#REF!)&gt;0, COUNTIF(P3:V3,Categorías!#REF!)&gt;0, COUNTIF(P3:V3,Categorías!#REF!)&gt;0), "Sprint 19",OR(COUNTIF(P3:V3,Categorías!#REF!)&gt;0, COUNTIF(P3:V3,Categorías!#REF!)&gt;0, COUNTIF(P3:V3,Categorías!#REF!)&gt;0), "Sprint 18",OR(COUNTIF(P3:V3,Categorías!#REF!)&gt;0, COUNTIF(P3:V3,Categorías!#REF!)&gt;0, COUNTIF(P3:V3,Categorías!#REF!)&gt;0, COUNTIF(P3:V3,Categorías!#REF!)&gt;0), "Sprint 17",OR(COUNTIF(P3:V3,Categorías!#REF!)&gt;0, COUNTIF(P3:V3,Categorías!#REF!)&gt;0, COUNTIF(P3:V3,Categorías!#REF!)&gt;0, COUNTIF(P3:V3,Categorías!#REF!)&gt;0), "Sprint 16", OR(COUNTIF(P3:V3,Categorías!#REF!)&gt;0, COUNTIF(P3:V3,Categorías!#REF!)&gt;0, COUNTIF(P3:V3,Categorías!#REF!)&gt;0, COUNTIF(P3:V3,Categorías!#REF!)&gt;0), "Sprint 16",TRUE, "")</f>
        <v/>
      </c>
      <c r="AF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3" t="str" cm="1">
        <f t="array" ref="AG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3" s="22" t="str" cm="1">
        <f t="array" ref="AH3">_xlfn.IFS(COUNTIF(P3:V3, Categorías!$A$2)&gt;0, "Funcional", COUNTIF(P3:V3, Categorías!$A$3)&gt;0, "Configuración", COUNTIF(P3:V3, Categorías!$A$4)&gt;0, "Look&amp;Feel", COUNTIF(P3:V3, Categorías!$A$5)&gt;0, "Integración", COUNTIF(P3:V3, Categorías!$A$6)&gt;0, "Contenido/Datos", COUNTIF(P3:V3, Categorías!$A$7)&gt;0, "Eventos_Cosmos", COUNTIF(P3:V3, Categorías!$A$8)&gt;0, "Eventos_iOT", COUNTIF(P3:V3, Categorías!$A$9)&gt;0, "Eventos_Fabric", TRUE, "No encontrado")</f>
        <v>Look&amp;Feel</v>
      </c>
    </row>
    <row r="4" spans="1:36" ht="29.25">
      <c r="A4" s="40" t="s">
        <v>128</v>
      </c>
      <c r="B4" s="40" t="s">
        <v>953</v>
      </c>
      <c r="C4" s="40">
        <v>83058</v>
      </c>
      <c r="D4" s="40" t="s">
        <v>954</v>
      </c>
      <c r="E4" s="40">
        <v>87100</v>
      </c>
      <c r="F4" s="40" t="s">
        <v>1039</v>
      </c>
      <c r="G4" s="40" t="s">
        <v>1040</v>
      </c>
      <c r="H4" s="40" t="s">
        <v>37</v>
      </c>
      <c r="I4" s="40" t="s">
        <v>246</v>
      </c>
      <c r="J4" s="40" t="s">
        <v>1041</v>
      </c>
      <c r="K4" s="40"/>
      <c r="L4" s="40"/>
      <c r="M4" s="40"/>
      <c r="N4" s="40"/>
      <c r="O4" s="40"/>
      <c r="P4" s="40" t="s">
        <v>803</v>
      </c>
      <c r="Q4" s="40" t="s">
        <v>139</v>
      </c>
      <c r="R4" s="40" t="s">
        <v>950</v>
      </c>
      <c r="S4" s="40" t="s">
        <v>226</v>
      </c>
      <c r="T4" s="40" t="s">
        <v>154</v>
      </c>
      <c r="U4" s="40"/>
      <c r="V4" s="40"/>
      <c r="W4" s="40" t="s">
        <v>348</v>
      </c>
      <c r="X4" s="53">
        <v>45873.196527777778</v>
      </c>
      <c r="Y4" s="40"/>
      <c r="Z4" s="40"/>
      <c r="AA4" s="40"/>
      <c r="AB4" t="str">
        <f>IF(LEFT(Jira__325[[#This Row],[Resumen]],3)="POS","POS",IF(LEFT(Jira__325[[#This Row],[Resumen]],3)="BOT","BOT",""))</f>
        <v>POS</v>
      </c>
      <c r="AC4" s="9" t="s">
        <v>142</v>
      </c>
      <c r="AE4" s="22" t="str" cm="1">
        <f t="array" ref="AE4">_xlfn.IFS(OR(COUNTIF(P4:V4,Categorías!#REF!)&gt;0, COUNTIF(P4:V4,Categorías!#REF!)&gt;0), "Sprint 21",OR(COUNTIF(P4:V4,Categorías!#REF!)&gt;0, COUNTIF(P4:V4,Categorías!#REF!)&gt;0, COUNTIF(P4:V4,Categorías!#REF!)&gt;0), "Sprint 20",OR(COUNTIF(P4:V4,Categorías!#REF!)&gt;0, COUNTIF(P4:V4,Categorías!#REF!)&gt;0, COUNTIF(P4:V4,Categorías!#REF!)&gt;0), "Sprint 19",OR(COUNTIF(P4:V4,Categorías!#REF!)&gt;0, COUNTIF(P4:V4,Categorías!#REF!)&gt;0, COUNTIF(P4:V4,Categorías!#REF!)&gt;0), "Sprint 18",OR(COUNTIF(P4:V4,Categorías!#REF!)&gt;0, COUNTIF(P4:V4,Categorías!#REF!)&gt;0, COUNTIF(P4:V4,Categorías!#REF!)&gt;0, COUNTIF(P4:V4,Categorías!#REF!)&gt;0), "Sprint 17",OR(COUNTIF(P4:V4,Categorías!#REF!)&gt;0, COUNTIF(P4:V4,Categorías!#REF!)&gt;0, COUNTIF(P4:V4,Categorías!#REF!)&gt;0, COUNTIF(P4:V4,Categorías!#REF!)&gt;0), "Sprint 16", OR(COUNTIF(P4:V4,Categorías!#REF!)&gt;0, COUNTIF(P4:V4,Categorías!#REF!)&gt;0, COUNTIF(P4:V4,Categorías!#REF!)&gt;0, COUNTIF(P4:V4,Categorías!#REF!)&gt;0), "Sprint 16",TRUE, "")</f>
        <v/>
      </c>
      <c r="AF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" t="str" cm="1">
        <f t="array" ref="AG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" s="22" t="str" cm="1">
        <f t="array" ref="AH4">_xlfn.IFS(COUNTIF(P4:V4, Categorías!$A$2)&gt;0, "Funcional", COUNTIF(P4:V4, Categorías!$A$3)&gt;0, "Configuración", COUNTIF(P4:V4, Categorías!$A$4)&gt;0, "Look&amp;Feel", COUNTIF(P4:V4, Categorías!$A$5)&gt;0, "Integración", COUNTIF(P4:V4, Categorías!$A$6)&gt;0, "Contenido/Datos", COUNTIF(P4:V4, Categorías!$A$7)&gt;0, "Eventos_Cosmos", COUNTIF(P4:V4, Categorías!$A$8)&gt;0, "Eventos_iOT", COUNTIF(P4:V4, Categorías!$A$9)&gt;0, "Eventos_Fabric", TRUE, "No encontrado")</f>
        <v>Funcional</v>
      </c>
    </row>
    <row r="5" spans="1:36" ht="29.25">
      <c r="A5" s="40" t="s">
        <v>128</v>
      </c>
      <c r="B5" s="40" t="s">
        <v>955</v>
      </c>
      <c r="C5" s="40">
        <v>83056</v>
      </c>
      <c r="D5" s="40" t="s">
        <v>956</v>
      </c>
      <c r="E5" s="40">
        <v>87100</v>
      </c>
      <c r="F5" s="40" t="s">
        <v>1039</v>
      </c>
      <c r="G5" s="40" t="s">
        <v>1040</v>
      </c>
      <c r="H5" s="40" t="s">
        <v>37</v>
      </c>
      <c r="I5" s="40" t="s">
        <v>246</v>
      </c>
      <c r="J5" s="40" t="s">
        <v>1041</v>
      </c>
      <c r="K5" s="40"/>
      <c r="L5" s="40"/>
      <c r="M5" s="40"/>
      <c r="N5" s="40"/>
      <c r="O5" s="40"/>
      <c r="P5" s="40" t="s">
        <v>803</v>
      </c>
      <c r="Q5" s="40" t="s">
        <v>139</v>
      </c>
      <c r="R5" s="40" t="s">
        <v>950</v>
      </c>
      <c r="S5" s="40" t="s">
        <v>226</v>
      </c>
      <c r="T5" s="40" t="s">
        <v>154</v>
      </c>
      <c r="U5" s="40"/>
      <c r="V5" s="40"/>
      <c r="W5" s="40" t="s">
        <v>348</v>
      </c>
      <c r="X5" s="53">
        <v>45873.193749999999</v>
      </c>
      <c r="Y5" s="40"/>
      <c r="Z5" s="40"/>
      <c r="AA5" s="40"/>
      <c r="AB5" t="str">
        <f>IF(LEFT(Jira__325[[#This Row],[Resumen]],3)="POS","POS",IF(LEFT(Jira__325[[#This Row],[Resumen]],3)="BOT","BOT",""))</f>
        <v>POS</v>
      </c>
      <c r="AC5" s="9" t="s">
        <v>142</v>
      </c>
      <c r="AE5" s="22" t="str" cm="1">
        <f t="array" ref="AE5">_xlfn.IFS(OR(COUNTIF(P5:V5,Categorías!#REF!)&gt;0, COUNTIF(P5:V5,Categorías!#REF!)&gt;0), "Sprint 21",OR(COUNTIF(P5:V5,Categorías!#REF!)&gt;0, COUNTIF(P5:V5,Categorías!#REF!)&gt;0, COUNTIF(P5:V5,Categorías!#REF!)&gt;0), "Sprint 20",OR(COUNTIF(P5:V5,Categorías!#REF!)&gt;0, COUNTIF(P5:V5,Categorías!#REF!)&gt;0, COUNTIF(P5:V5,Categorías!#REF!)&gt;0), "Sprint 19",OR(COUNTIF(P5:V5,Categorías!#REF!)&gt;0, COUNTIF(P5:V5,Categorías!#REF!)&gt;0, COUNTIF(P5:V5,Categorías!#REF!)&gt;0), "Sprint 18",OR(COUNTIF(P5:V5,Categorías!#REF!)&gt;0, COUNTIF(P5:V5,Categorías!#REF!)&gt;0, COUNTIF(P5:V5,Categorías!#REF!)&gt;0, COUNTIF(P5:V5,Categorías!#REF!)&gt;0), "Sprint 17",OR(COUNTIF(P5:V5,Categorías!#REF!)&gt;0, COUNTIF(P5:V5,Categorías!#REF!)&gt;0, COUNTIF(P5:V5,Categorías!#REF!)&gt;0, COUNTIF(P5:V5,Categorías!#REF!)&gt;0), "Sprint 16", OR(COUNTIF(P5:V5,Categorías!#REF!)&gt;0, COUNTIF(P5:V5,Categorías!#REF!)&gt;0, COUNTIF(P5:V5,Categorías!#REF!)&gt;0, COUNTIF(P5:V5,Categorías!#REF!)&gt;0), "Sprint 16",TRUE, "")</f>
        <v/>
      </c>
      <c r="AF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" t="str" cm="1">
        <f t="array" ref="AG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" s="22" t="str" cm="1">
        <f t="array" ref="AH5">_xlfn.IFS(COUNTIF(P5:V5, Categorías!$A$2)&gt;0, "Funcional", COUNTIF(P5:V5, Categorías!$A$3)&gt;0, "Configuración", COUNTIF(P5:V5, Categorías!$A$4)&gt;0, "Look&amp;Feel", COUNTIF(P5:V5, Categorías!$A$5)&gt;0, "Integración", COUNTIF(P5:V5, Categorías!$A$6)&gt;0, "Contenido/Datos", COUNTIF(P5:V5, Categorías!$A$7)&gt;0, "Eventos_Cosmos", COUNTIF(P5:V5, Categorías!$A$8)&gt;0, "Eventos_iOT", COUNTIF(P5:V5, Categorías!$A$9)&gt;0, "Eventos_Fabric", TRUE, "No encontrado")</f>
        <v>Funcional</v>
      </c>
    </row>
    <row r="6" spans="1:36" ht="29.25">
      <c r="A6" s="40" t="s">
        <v>128</v>
      </c>
      <c r="B6" s="40" t="s">
        <v>957</v>
      </c>
      <c r="C6" s="40">
        <v>83054</v>
      </c>
      <c r="D6" s="40" t="s">
        <v>1042</v>
      </c>
      <c r="E6" s="40">
        <v>87100</v>
      </c>
      <c r="F6" s="40" t="s">
        <v>1039</v>
      </c>
      <c r="G6" s="40" t="s">
        <v>1040</v>
      </c>
      <c r="H6" s="40" t="s">
        <v>36</v>
      </c>
      <c r="I6" s="40" t="s">
        <v>23</v>
      </c>
      <c r="J6" s="40" t="s">
        <v>866</v>
      </c>
      <c r="K6" s="40" t="s">
        <v>802</v>
      </c>
      <c r="L6" s="40" t="s">
        <v>637</v>
      </c>
      <c r="M6" s="40"/>
      <c r="N6" s="40"/>
      <c r="O6" s="40"/>
      <c r="P6" s="40" t="s">
        <v>803</v>
      </c>
      <c r="Q6" s="40" t="s">
        <v>132</v>
      </c>
      <c r="R6" s="40" t="s">
        <v>835</v>
      </c>
      <c r="S6" s="40" t="s">
        <v>950</v>
      </c>
      <c r="T6" s="40" t="s">
        <v>204</v>
      </c>
      <c r="U6" s="40" t="s">
        <v>154</v>
      </c>
      <c r="V6" s="40"/>
      <c r="W6" s="40" t="s">
        <v>324</v>
      </c>
      <c r="X6" s="53">
        <v>45873.171527777777</v>
      </c>
      <c r="Y6" s="40" t="s">
        <v>805</v>
      </c>
      <c r="Z6" s="40" t="s">
        <v>806</v>
      </c>
      <c r="AA6" s="40" t="s">
        <v>760</v>
      </c>
      <c r="AB6" t="str">
        <f>IF(LEFT(Jira__325[[#This Row],[Resumen]],3)="POS","POS",IF(LEFT(Jira__325[[#This Row],[Resumen]],3)="BOT","BOT",""))</f>
        <v>BOT</v>
      </c>
      <c r="AC6" s="9" t="s">
        <v>142</v>
      </c>
      <c r="AE6" s="22" t="str" cm="1">
        <f t="array" ref="AE6">_xlfn.IFS(OR(COUNTIF(P6:V6,Categorías!#REF!)&gt;0, COUNTIF(P6:V6,Categorías!#REF!)&gt;0), "Sprint 21",OR(COUNTIF(P6:V6,Categorías!#REF!)&gt;0, COUNTIF(P6:V6,Categorías!#REF!)&gt;0, COUNTIF(P6:V6,Categorías!#REF!)&gt;0), "Sprint 20",OR(COUNTIF(P6:V6,Categorías!#REF!)&gt;0, COUNTIF(P6:V6,Categorías!#REF!)&gt;0, COUNTIF(P6:V6,Categorías!#REF!)&gt;0), "Sprint 19",OR(COUNTIF(P6:V6,Categorías!#REF!)&gt;0, COUNTIF(P6:V6,Categorías!#REF!)&gt;0, COUNTIF(P6:V6,Categorías!#REF!)&gt;0), "Sprint 18",OR(COUNTIF(P6:V6,Categorías!#REF!)&gt;0, COUNTIF(P6:V6,Categorías!#REF!)&gt;0, COUNTIF(P6:V6,Categorías!#REF!)&gt;0, COUNTIF(P6:V6,Categorías!#REF!)&gt;0), "Sprint 17",OR(COUNTIF(P6:V6,Categorías!#REF!)&gt;0, COUNTIF(P6:V6,Categorías!#REF!)&gt;0, COUNTIF(P6:V6,Categorías!#REF!)&gt;0, COUNTIF(P6:V6,Categorías!#REF!)&gt;0), "Sprint 16", OR(COUNTIF(P6:V6,Categorías!#REF!)&gt;0, COUNTIF(P6:V6,Categorías!#REF!)&gt;0, COUNTIF(P6:V6,Categorías!#REF!)&gt;0, COUNTIF(P6:V6,Categorías!#REF!)&gt;0), "Sprint 16",TRUE, "")</f>
        <v/>
      </c>
      <c r="AF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6" t="str" cm="1">
        <f t="array" ref="AG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6" s="22" t="str" cm="1">
        <f t="array" ref="AH6">_xlfn.IFS(COUNTIF(P6:V6, Categorías!$A$2)&gt;0, "Funcional", COUNTIF(P6:V6, Categorías!$A$3)&gt;0, "Configuración", COUNTIF(P6:V6, Categorías!$A$4)&gt;0, "Look&amp;Feel", COUNTIF(P6:V6, Categorías!$A$5)&gt;0, "Integración", COUNTIF(P6:V6, Categorías!$A$6)&gt;0, "Contenido/Datos", COUNTIF(P6:V6, Categorías!$A$7)&gt;0, "Eventos_Cosmos", COUNTIF(P6:V6, Categorías!$A$8)&gt;0, "Eventos_iOT", COUNTIF(P6:V6, Categorías!$A$9)&gt;0, "Eventos_Fabric", TRUE, "No encontrado")</f>
        <v>Look&amp;Feel</v>
      </c>
    </row>
    <row r="7" spans="1:36" ht="29.25">
      <c r="A7" s="40" t="s">
        <v>128</v>
      </c>
      <c r="B7" s="40" t="s">
        <v>1043</v>
      </c>
      <c r="C7" s="40">
        <v>83052</v>
      </c>
      <c r="D7" s="40" t="s">
        <v>1044</v>
      </c>
      <c r="E7" s="40">
        <v>79941</v>
      </c>
      <c r="F7" s="40" t="s">
        <v>1045</v>
      </c>
      <c r="G7" s="40" t="s">
        <v>1046</v>
      </c>
      <c r="H7" s="40" t="s">
        <v>37</v>
      </c>
      <c r="I7" s="40" t="s">
        <v>27</v>
      </c>
      <c r="J7" s="40" t="s">
        <v>917</v>
      </c>
      <c r="K7" s="40" t="s">
        <v>866</v>
      </c>
      <c r="L7" s="40" t="s">
        <v>802</v>
      </c>
      <c r="M7" s="40" t="s">
        <v>1041</v>
      </c>
      <c r="N7" s="40"/>
      <c r="O7" s="40"/>
      <c r="P7" s="40" t="s">
        <v>139</v>
      </c>
      <c r="Q7" s="40" t="s">
        <v>835</v>
      </c>
      <c r="R7" s="40" t="s">
        <v>950</v>
      </c>
      <c r="S7" s="40" t="s">
        <v>204</v>
      </c>
      <c r="T7" s="40" t="s">
        <v>154</v>
      </c>
      <c r="U7" s="40"/>
      <c r="V7" s="40"/>
      <c r="W7" s="40" t="s">
        <v>348</v>
      </c>
      <c r="X7" s="53">
        <v>45873.168749999997</v>
      </c>
      <c r="Y7" s="40" t="s">
        <v>806</v>
      </c>
      <c r="Z7" s="40" t="s">
        <v>760</v>
      </c>
      <c r="AA7" s="40"/>
      <c r="AB7" t="str">
        <f>IF(LEFT(Jira__325[[#This Row],[Resumen]],3)="POS","POS",IF(LEFT(Jira__325[[#This Row],[Resumen]],3)="BOT","BOT",""))</f>
        <v>BOT</v>
      </c>
      <c r="AC7" s="9" t="s">
        <v>142</v>
      </c>
      <c r="AE7" s="22" t="str" cm="1">
        <f t="array" ref="AE7">_xlfn.IFS(OR(COUNTIF(P7:V7,Categorías!#REF!)&gt;0, COUNTIF(P7:V7,Categorías!#REF!)&gt;0), "Sprint 21",OR(COUNTIF(P7:V7,Categorías!#REF!)&gt;0, COUNTIF(P7:V7,Categorías!#REF!)&gt;0, COUNTIF(P7:V7,Categorías!#REF!)&gt;0), "Sprint 20",OR(COUNTIF(P7:V7,Categorías!#REF!)&gt;0, COUNTIF(P7:V7,Categorías!#REF!)&gt;0, COUNTIF(P7:V7,Categorías!#REF!)&gt;0), "Sprint 19",OR(COUNTIF(P7:V7,Categorías!#REF!)&gt;0, COUNTIF(P7:V7,Categorías!#REF!)&gt;0, COUNTIF(P7:V7,Categorías!#REF!)&gt;0), "Sprint 18",OR(COUNTIF(P7:V7,Categorías!#REF!)&gt;0, COUNTIF(P7:V7,Categorías!#REF!)&gt;0, COUNTIF(P7:V7,Categorías!#REF!)&gt;0, COUNTIF(P7:V7,Categorías!#REF!)&gt;0), "Sprint 17",OR(COUNTIF(P7:V7,Categorías!#REF!)&gt;0, COUNTIF(P7:V7,Categorías!#REF!)&gt;0, COUNTIF(P7:V7,Categorías!#REF!)&gt;0, COUNTIF(P7:V7,Categorías!#REF!)&gt;0), "Sprint 16", OR(COUNTIF(P7:V7,Categorías!#REF!)&gt;0, COUNTIF(P7:V7,Categorías!#REF!)&gt;0, COUNTIF(P7:V7,Categorías!#REF!)&gt;0, COUNTIF(P7:V7,Categorías!#REF!)&gt;0), "Sprint 16",TRUE, "")</f>
        <v/>
      </c>
      <c r="AF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7" t="str" cm="1">
        <f t="array" ref="AG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7" s="22" t="str" cm="1">
        <f t="array" ref="AH7">_xlfn.IFS(COUNTIF(P7:V7, Categorías!$A$2)&gt;0, "Funcional", COUNTIF(P7:V7, Categorías!$A$3)&gt;0, "Configuración", COUNTIF(P7:V7, Categorías!$A$4)&gt;0, "Look&amp;Feel", COUNTIF(P7:V7, Categorías!$A$5)&gt;0, "Integración", COUNTIF(P7:V7, Categorías!$A$6)&gt;0, "Contenido/Datos", COUNTIF(P7:V7, Categorías!$A$7)&gt;0, "Eventos_Cosmos", COUNTIF(P7:V7, Categorías!$A$8)&gt;0, "Eventos_iOT", COUNTIF(P7:V7, Categorías!$A$9)&gt;0, "Eventos_Fabric", TRUE, "No encontrado")</f>
        <v>Funcional</v>
      </c>
    </row>
    <row r="8" spans="1:36" ht="29.25">
      <c r="A8" s="40" t="s">
        <v>128</v>
      </c>
      <c r="B8" s="40" t="s">
        <v>959</v>
      </c>
      <c r="C8" s="40">
        <v>83049</v>
      </c>
      <c r="D8" s="40" t="s">
        <v>960</v>
      </c>
      <c r="E8" s="40">
        <v>87100</v>
      </c>
      <c r="F8" s="40" t="s">
        <v>1039</v>
      </c>
      <c r="G8" s="40" t="s">
        <v>1040</v>
      </c>
      <c r="H8" s="40" t="s">
        <v>37</v>
      </c>
      <c r="I8" s="40" t="s">
        <v>26</v>
      </c>
      <c r="J8" s="40" t="s">
        <v>802</v>
      </c>
      <c r="K8" s="40" t="s">
        <v>1041</v>
      </c>
      <c r="L8" s="40"/>
      <c r="M8" s="40"/>
      <c r="N8" s="40"/>
      <c r="O8" s="40"/>
      <c r="P8" s="40" t="s">
        <v>287</v>
      </c>
      <c r="Q8" s="40" t="s">
        <v>961</v>
      </c>
      <c r="R8" s="40" t="s">
        <v>835</v>
      </c>
      <c r="S8" s="40" t="s">
        <v>950</v>
      </c>
      <c r="T8" s="40" t="s">
        <v>226</v>
      </c>
      <c r="U8" s="40" t="s">
        <v>154</v>
      </c>
      <c r="V8" s="40"/>
      <c r="W8" s="40" t="s">
        <v>348</v>
      </c>
      <c r="X8" s="53">
        <v>45873.148611111108</v>
      </c>
      <c r="Y8" s="40" t="s">
        <v>760</v>
      </c>
      <c r="Z8" s="40"/>
      <c r="AA8" s="40"/>
      <c r="AB8" t="str">
        <f>IF(LEFT(Jira__325[[#This Row],[Resumen]],3)="POS","POS",IF(LEFT(Jira__325[[#This Row],[Resumen]],3)="BOT","BOT",""))</f>
        <v>POS</v>
      </c>
      <c r="AC8" s="9" t="s">
        <v>159</v>
      </c>
      <c r="AE8" s="22" t="str" cm="1">
        <f t="array" ref="AE8">_xlfn.IFS(OR(COUNTIF(P8:V8,Categorías!#REF!)&gt;0, COUNTIF(P8:V8,Categorías!#REF!)&gt;0), "Sprint 21",OR(COUNTIF(P8:V8,Categorías!#REF!)&gt;0, COUNTIF(P8:V8,Categorías!#REF!)&gt;0, COUNTIF(P8:V8,Categorías!#REF!)&gt;0), "Sprint 20",OR(COUNTIF(P8:V8,Categorías!#REF!)&gt;0, COUNTIF(P8:V8,Categorías!#REF!)&gt;0, COUNTIF(P8:V8,Categorías!#REF!)&gt;0), "Sprint 19",OR(COUNTIF(P8:V8,Categorías!#REF!)&gt;0, COUNTIF(P8:V8,Categorías!#REF!)&gt;0, COUNTIF(P8:V8,Categorías!#REF!)&gt;0), "Sprint 18",OR(COUNTIF(P8:V8,Categorías!#REF!)&gt;0, COUNTIF(P8:V8,Categorías!#REF!)&gt;0, COUNTIF(P8:V8,Categorías!#REF!)&gt;0, COUNTIF(P8:V8,Categorías!#REF!)&gt;0), "Sprint 17",OR(COUNTIF(P8:V8,Categorías!#REF!)&gt;0, COUNTIF(P8:V8,Categorías!#REF!)&gt;0, COUNTIF(P8:V8,Categorías!#REF!)&gt;0, COUNTIF(P8:V8,Categorías!#REF!)&gt;0), "Sprint 16", OR(COUNTIF(P8:V8,Categorías!#REF!)&gt;0, COUNTIF(P8:V8,Categorías!#REF!)&gt;0, COUNTIF(P8:V8,Categorías!#REF!)&gt;0, COUNTIF(P8:V8,Categorías!#REF!)&gt;0), "Sprint 16",TRUE, "")</f>
        <v/>
      </c>
      <c r="AF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8" t="str" cm="1">
        <f t="array" ref="AG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8" s="22" t="str" cm="1">
        <f t="array" ref="AH8">_xlfn.IFS(COUNTIF(P8:V8, Categorías!$A$2)&gt;0, "Funcional", COUNTIF(P8:V8, Categorías!$A$3)&gt;0, "Configuración", COUNTIF(P8:V8, Categorías!$A$4)&gt;0, "Look&amp;Feel", COUNTIF(P8:V8, Categorías!$A$5)&gt;0, "Integración", COUNTIF(P8:V8, Categorías!$A$6)&gt;0, "Contenido/Datos", COUNTIF(P8:V8, Categorías!$A$7)&gt;0, "Eventos_Cosmos", COUNTIF(P8:V8, Categorías!$A$8)&gt;0, "Eventos_iOT", COUNTIF(P8:V8, Categorías!$A$9)&gt;0, "Eventos_Fabric", TRUE, "No encontrado")</f>
        <v>Integración</v>
      </c>
    </row>
    <row r="9" spans="1:36" ht="29.25">
      <c r="A9" s="40" t="s">
        <v>128</v>
      </c>
      <c r="B9" s="40" t="s">
        <v>962</v>
      </c>
      <c r="C9" s="40">
        <v>83046</v>
      </c>
      <c r="D9" s="40" t="s">
        <v>963</v>
      </c>
      <c r="E9" s="40">
        <v>87100</v>
      </c>
      <c r="F9" s="40" t="s">
        <v>1039</v>
      </c>
      <c r="G9" s="40" t="s">
        <v>1040</v>
      </c>
      <c r="H9" s="40" t="s">
        <v>37</v>
      </c>
      <c r="I9" s="40" t="s">
        <v>27</v>
      </c>
      <c r="J9" s="40" t="s">
        <v>1041</v>
      </c>
      <c r="K9" s="40"/>
      <c r="L9" s="40"/>
      <c r="M9" s="40"/>
      <c r="N9" s="40"/>
      <c r="O9" s="40"/>
      <c r="P9" s="40" t="s">
        <v>803</v>
      </c>
      <c r="Q9" s="40" t="s">
        <v>961</v>
      </c>
      <c r="R9" s="40" t="s">
        <v>950</v>
      </c>
      <c r="S9" s="40" t="s">
        <v>204</v>
      </c>
      <c r="T9" s="40" t="s">
        <v>154</v>
      </c>
      <c r="U9" s="40"/>
      <c r="V9" s="40"/>
      <c r="W9" s="40" t="s">
        <v>348</v>
      </c>
      <c r="X9" s="53">
        <v>45873.130555555559</v>
      </c>
      <c r="Y9" s="40" t="s">
        <v>805</v>
      </c>
      <c r="Z9" s="40"/>
      <c r="AA9" s="40"/>
      <c r="AB9" t="str">
        <f>IF(LEFT(Jira__325[[#This Row],[Resumen]],3)="POS","POS",IF(LEFT(Jira__325[[#This Row],[Resumen]],3)="BOT","BOT",""))</f>
        <v>BOT</v>
      </c>
      <c r="AC9" s="9" t="s">
        <v>163</v>
      </c>
      <c r="AE9" s="22" t="str" cm="1">
        <f t="array" ref="AE9">_xlfn.IFS(OR(COUNTIF(P9:V9,Categorías!#REF!)&gt;0, COUNTIF(P9:V9,Categorías!#REF!)&gt;0), "Sprint 21",OR(COUNTIF(P9:V9,Categorías!#REF!)&gt;0, COUNTIF(P9:V9,Categorías!#REF!)&gt;0, COUNTIF(P9:V9,Categorías!#REF!)&gt;0), "Sprint 20",OR(COUNTIF(P9:V9,Categorías!#REF!)&gt;0, COUNTIF(P9:V9,Categorías!#REF!)&gt;0, COUNTIF(P9:V9,Categorías!#REF!)&gt;0), "Sprint 19",OR(COUNTIF(P9:V9,Categorías!#REF!)&gt;0, COUNTIF(P9:V9,Categorías!#REF!)&gt;0, COUNTIF(P9:V9,Categorías!#REF!)&gt;0), "Sprint 18",OR(COUNTIF(P9:V9,Categorías!#REF!)&gt;0, COUNTIF(P9:V9,Categorías!#REF!)&gt;0, COUNTIF(P9:V9,Categorías!#REF!)&gt;0, COUNTIF(P9:V9,Categorías!#REF!)&gt;0), "Sprint 17",OR(COUNTIF(P9:V9,Categorías!#REF!)&gt;0, COUNTIF(P9:V9,Categorías!#REF!)&gt;0, COUNTIF(P9:V9,Categorías!#REF!)&gt;0, COUNTIF(P9:V9,Categorías!#REF!)&gt;0), "Sprint 16", OR(COUNTIF(P9:V9,Categorías!#REF!)&gt;0, COUNTIF(P9:V9,Categorías!#REF!)&gt;0, COUNTIF(P9:V9,Categorías!#REF!)&gt;0, COUNTIF(P9:V9,Categorías!#REF!)&gt;0), "Sprint 16",TRUE, "")</f>
        <v/>
      </c>
      <c r="AF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9" t="str" cm="1">
        <f t="array" ref="AG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9" s="22" t="str" cm="1">
        <f t="array" ref="AH9">_xlfn.IFS(COUNTIF(P9:V9, Categorías!$A$2)&gt;0, "Funcional", COUNTIF(P9:V9, Categorías!$A$3)&gt;0, "Configuración", COUNTIF(P9:V9, Categorías!$A$4)&gt;0, "Look&amp;Feel", COUNTIF(P9:V9, Categorías!$A$5)&gt;0, "Integración", COUNTIF(P9:V9, Categorías!$A$6)&gt;0, "Contenido/Datos", COUNTIF(P9:V9, Categorías!$A$7)&gt;0, "Eventos_Cosmos", COUNTIF(P9:V9, Categorías!$A$8)&gt;0, "Eventos_iOT", COUNTIF(P9:V9, Categorías!$A$9)&gt;0, "Eventos_Fabric", TRUE, "No encontrado")</f>
        <v>Integración</v>
      </c>
    </row>
    <row r="10" spans="1:36" ht="29.25">
      <c r="A10" s="40" t="s">
        <v>128</v>
      </c>
      <c r="B10" s="40" t="s">
        <v>964</v>
      </c>
      <c r="C10" s="40">
        <v>83044</v>
      </c>
      <c r="D10" s="40" t="s">
        <v>965</v>
      </c>
      <c r="E10" s="40">
        <v>87100</v>
      </c>
      <c r="F10" s="40" t="s">
        <v>1039</v>
      </c>
      <c r="G10" s="40" t="s">
        <v>1040</v>
      </c>
      <c r="H10" s="40" t="s">
        <v>37</v>
      </c>
      <c r="I10" s="40" t="s">
        <v>26</v>
      </c>
      <c r="J10" s="40" t="s">
        <v>1041</v>
      </c>
      <c r="K10" s="40"/>
      <c r="L10" s="40"/>
      <c r="M10" s="40"/>
      <c r="N10" s="40"/>
      <c r="O10" s="40"/>
      <c r="P10" s="40" t="s">
        <v>803</v>
      </c>
      <c r="Q10" s="40" t="s">
        <v>139</v>
      </c>
      <c r="R10" s="40" t="s">
        <v>950</v>
      </c>
      <c r="S10" s="40" t="s">
        <v>204</v>
      </c>
      <c r="T10" s="40" t="s">
        <v>154</v>
      </c>
      <c r="U10" s="40"/>
      <c r="V10" s="40"/>
      <c r="W10" s="40" t="s">
        <v>348</v>
      </c>
      <c r="X10" s="53">
        <v>45873.129166666666</v>
      </c>
      <c r="Y10" s="40" t="s">
        <v>805</v>
      </c>
      <c r="Z10" s="40"/>
      <c r="AA10" s="40"/>
      <c r="AB10" t="str">
        <f>IF(LEFT(Jira__325[[#This Row],[Resumen]],3)="POS","POS",IF(LEFT(Jira__325[[#This Row],[Resumen]],3)="BOT","BOT",""))</f>
        <v>BOT</v>
      </c>
      <c r="AC10" s="9" t="s">
        <v>159</v>
      </c>
      <c r="AE10" s="22" t="str" cm="1">
        <f t="array" ref="AE10">_xlfn.IFS(OR(COUNTIF(P10:V10,Categorías!#REF!)&gt;0, COUNTIF(P10:V10,Categorías!#REF!)&gt;0), "Sprint 21",OR(COUNTIF(P10:V10,Categorías!#REF!)&gt;0, COUNTIF(P10:V10,Categorías!#REF!)&gt;0, COUNTIF(P10:V10,Categorías!#REF!)&gt;0), "Sprint 20",OR(COUNTIF(P10:V10,Categorías!#REF!)&gt;0, COUNTIF(P10:V10,Categorías!#REF!)&gt;0, COUNTIF(P10:V10,Categorías!#REF!)&gt;0), "Sprint 19",OR(COUNTIF(P10:V10,Categorías!#REF!)&gt;0, COUNTIF(P10:V10,Categorías!#REF!)&gt;0, COUNTIF(P10:V10,Categorías!#REF!)&gt;0), "Sprint 18",OR(COUNTIF(P10:V10,Categorías!#REF!)&gt;0, COUNTIF(P10:V10,Categorías!#REF!)&gt;0, COUNTIF(P10:V10,Categorías!#REF!)&gt;0, COUNTIF(P10:V10,Categorías!#REF!)&gt;0), "Sprint 17",OR(COUNTIF(P10:V10,Categorías!#REF!)&gt;0, COUNTIF(P10:V10,Categorías!#REF!)&gt;0, COUNTIF(P10:V10,Categorías!#REF!)&gt;0, COUNTIF(P10:V10,Categorías!#REF!)&gt;0), "Sprint 16", OR(COUNTIF(P10:V10,Categorías!#REF!)&gt;0, COUNTIF(P10:V10,Categorías!#REF!)&gt;0, COUNTIF(P10:V10,Categorías!#REF!)&gt;0, COUNTIF(P10:V10,Categorías!#REF!)&gt;0), "Sprint 16",TRUE, "")</f>
        <v/>
      </c>
      <c r="AF1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0" t="str" cm="1">
        <f t="array" ref="AG1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0" s="22" t="str" cm="1">
        <f t="array" ref="AH10">_xlfn.IFS(COUNTIF(P10:V10, Categorías!$A$2)&gt;0, "Funcional", COUNTIF(P10:V10, Categorías!$A$3)&gt;0, "Configuración", COUNTIF(P10:V10, Categorías!$A$4)&gt;0, "Look&amp;Feel", COUNTIF(P10:V10, Categorías!$A$5)&gt;0, "Integración", COUNTIF(P10:V10, Categorías!$A$6)&gt;0, "Contenido/Datos", COUNTIF(P10:V10, Categorías!$A$7)&gt;0, "Eventos_Cosmos", COUNTIF(P10:V10, Categorías!$A$8)&gt;0, "Eventos_iOT", COUNTIF(P10:V10, Categorías!$A$9)&gt;0, "Eventos_Fabric", TRUE, "No encontrado")</f>
        <v>Funcional</v>
      </c>
    </row>
    <row r="11" spans="1:36" ht="29.25">
      <c r="A11" s="40" t="s">
        <v>128</v>
      </c>
      <c r="B11" s="40" t="s">
        <v>966</v>
      </c>
      <c r="C11" s="40">
        <v>83042</v>
      </c>
      <c r="D11" s="40" t="s">
        <v>967</v>
      </c>
      <c r="E11" s="40">
        <v>87100</v>
      </c>
      <c r="F11" s="40" t="s">
        <v>1039</v>
      </c>
      <c r="G11" s="40" t="s">
        <v>1040</v>
      </c>
      <c r="H11" s="40" t="s">
        <v>37</v>
      </c>
      <c r="I11" s="40" t="s">
        <v>27</v>
      </c>
      <c r="J11" s="40" t="s">
        <v>1041</v>
      </c>
      <c r="K11" s="40"/>
      <c r="L11" s="40"/>
      <c r="M11" s="40"/>
      <c r="N11" s="40"/>
      <c r="O11" s="40"/>
      <c r="P11" s="40" t="s">
        <v>803</v>
      </c>
      <c r="Q11" s="40" t="s">
        <v>139</v>
      </c>
      <c r="R11" s="40" t="s">
        <v>950</v>
      </c>
      <c r="S11" s="40" t="s">
        <v>204</v>
      </c>
      <c r="T11" s="40" t="s">
        <v>154</v>
      </c>
      <c r="U11" s="40"/>
      <c r="V11" s="40"/>
      <c r="W11" s="40" t="s">
        <v>348</v>
      </c>
      <c r="X11" s="53">
        <v>45873.128472222219</v>
      </c>
      <c r="Y11" s="40" t="s">
        <v>805</v>
      </c>
      <c r="Z11" s="40"/>
      <c r="AA11" s="40"/>
      <c r="AB11" t="str">
        <f>IF(LEFT(Jira__325[[#This Row],[Resumen]],3)="POS","POS",IF(LEFT(Jira__325[[#This Row],[Resumen]],3)="BOT","BOT",""))</f>
        <v>BOT</v>
      </c>
      <c r="AC11" s="9" t="s">
        <v>163</v>
      </c>
      <c r="AE11" s="22" t="str" cm="1">
        <f t="array" ref="AE11">_xlfn.IFS(OR(COUNTIF(P11:V11,Categorías!#REF!)&gt;0, COUNTIF(P11:V11,Categorías!#REF!)&gt;0), "Sprint 21",OR(COUNTIF(P11:V11,Categorías!#REF!)&gt;0, COUNTIF(P11:V11,Categorías!#REF!)&gt;0, COUNTIF(P11:V11,Categorías!#REF!)&gt;0), "Sprint 20",OR(COUNTIF(P11:V11,Categorías!#REF!)&gt;0, COUNTIF(P11:V11,Categorías!#REF!)&gt;0, COUNTIF(P11:V11,Categorías!#REF!)&gt;0), "Sprint 19",OR(COUNTIF(P11:V11,Categorías!#REF!)&gt;0, COUNTIF(P11:V11,Categorías!#REF!)&gt;0, COUNTIF(P11:V11,Categorías!#REF!)&gt;0), "Sprint 18",OR(COUNTIF(P11:V11,Categorías!#REF!)&gt;0, COUNTIF(P11:V11,Categorías!#REF!)&gt;0, COUNTIF(P11:V11,Categorías!#REF!)&gt;0, COUNTIF(P11:V11,Categorías!#REF!)&gt;0), "Sprint 17",OR(COUNTIF(P11:V11,Categorías!#REF!)&gt;0, COUNTIF(P11:V11,Categorías!#REF!)&gt;0, COUNTIF(P11:V11,Categorías!#REF!)&gt;0, COUNTIF(P11:V11,Categorías!#REF!)&gt;0), "Sprint 16", OR(COUNTIF(P11:V11,Categorías!#REF!)&gt;0, COUNTIF(P11:V11,Categorías!#REF!)&gt;0, COUNTIF(P11:V11,Categorías!#REF!)&gt;0, COUNTIF(P11:V11,Categorías!#REF!)&gt;0), "Sprint 16",TRUE, "")</f>
        <v/>
      </c>
      <c r="AF1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1" t="str" cm="1">
        <f t="array" ref="AG1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1" s="22" t="str" cm="1">
        <f t="array" ref="AH11">_xlfn.IFS(COUNTIF(P11:V11, Categorías!$A$2)&gt;0, "Funcional", COUNTIF(P11:V11, Categorías!$A$3)&gt;0, "Configuración", COUNTIF(P11:V11, Categorías!$A$4)&gt;0, "Look&amp;Feel", COUNTIF(P11:V11, Categorías!$A$5)&gt;0, "Integración", COUNTIF(P11:V11, Categorías!$A$6)&gt;0, "Contenido/Datos", COUNTIF(P11:V11, Categorías!$A$7)&gt;0, "Eventos_Cosmos", COUNTIF(P11:V11, Categorías!$A$8)&gt;0, "Eventos_iOT", COUNTIF(P11:V11, Categorías!$A$9)&gt;0, "Eventos_Fabric", TRUE, "No encontrado")</f>
        <v>Funcional</v>
      </c>
    </row>
    <row r="12" spans="1:36" ht="29.25">
      <c r="A12" s="40" t="s">
        <v>128</v>
      </c>
      <c r="B12" s="40" t="s">
        <v>968</v>
      </c>
      <c r="C12" s="40">
        <v>83039</v>
      </c>
      <c r="D12" s="40" t="s">
        <v>969</v>
      </c>
      <c r="E12" s="40">
        <v>87100</v>
      </c>
      <c r="F12" s="40" t="s">
        <v>1039</v>
      </c>
      <c r="G12" s="40" t="s">
        <v>1040</v>
      </c>
      <c r="H12" s="40" t="s">
        <v>37</v>
      </c>
      <c r="I12" s="40" t="s">
        <v>26</v>
      </c>
      <c r="J12" s="40"/>
      <c r="K12" s="40"/>
      <c r="L12" s="40"/>
      <c r="M12" s="40"/>
      <c r="N12" s="40"/>
      <c r="O12" s="40"/>
      <c r="P12" s="40" t="s">
        <v>803</v>
      </c>
      <c r="Q12" s="40" t="s">
        <v>139</v>
      </c>
      <c r="R12" s="40" t="s">
        <v>950</v>
      </c>
      <c r="S12" s="40" t="s">
        <v>226</v>
      </c>
      <c r="T12" s="40" t="s">
        <v>912</v>
      </c>
      <c r="U12" s="40" t="s">
        <v>154</v>
      </c>
      <c r="V12" s="40"/>
      <c r="W12" s="40" t="s">
        <v>348</v>
      </c>
      <c r="X12" s="53">
        <v>45873.106944444444</v>
      </c>
      <c r="Y12" s="40" t="s">
        <v>805</v>
      </c>
      <c r="Z12" s="40"/>
      <c r="AA12" s="40"/>
      <c r="AB12" t="str">
        <f>IF(LEFT(Jira__325[[#This Row],[Resumen]],3)="POS","POS",IF(LEFT(Jira__325[[#This Row],[Resumen]],3)="BOT","BOT",""))</f>
        <v>POS</v>
      </c>
      <c r="AC12" s="9" t="s">
        <v>159</v>
      </c>
      <c r="AE12" s="22" t="str" cm="1">
        <f t="array" ref="AE12">_xlfn.IFS(OR(COUNTIF(P12:V12,Categorías!#REF!)&gt;0, COUNTIF(P12:V12,Categorías!#REF!)&gt;0), "Sprint 21",OR(COUNTIF(P12:V12,Categorías!#REF!)&gt;0, COUNTIF(P12:V12,Categorías!#REF!)&gt;0, COUNTIF(P12:V12,Categorías!#REF!)&gt;0), "Sprint 20",OR(COUNTIF(P12:V12,Categorías!#REF!)&gt;0, COUNTIF(P12:V12,Categorías!#REF!)&gt;0, COUNTIF(P12:V12,Categorías!#REF!)&gt;0), "Sprint 19",OR(COUNTIF(P12:V12,Categorías!#REF!)&gt;0, COUNTIF(P12:V12,Categorías!#REF!)&gt;0, COUNTIF(P12:V12,Categorías!#REF!)&gt;0), "Sprint 18",OR(COUNTIF(P12:V12,Categorías!#REF!)&gt;0, COUNTIF(P12:V12,Categorías!#REF!)&gt;0, COUNTIF(P12:V12,Categorías!#REF!)&gt;0, COUNTIF(P12:V12,Categorías!#REF!)&gt;0), "Sprint 17",OR(COUNTIF(P12:V12,Categorías!#REF!)&gt;0, COUNTIF(P12:V12,Categorías!#REF!)&gt;0, COUNTIF(P12:V12,Categorías!#REF!)&gt;0, COUNTIF(P12:V12,Categorías!#REF!)&gt;0), "Sprint 16", OR(COUNTIF(P12:V12,Categorías!#REF!)&gt;0, COUNTIF(P12:V12,Categorías!#REF!)&gt;0, COUNTIF(P12:V12,Categorías!#REF!)&gt;0, COUNTIF(P12:V12,Categorías!#REF!)&gt;0), "Sprint 16",TRUE, "")</f>
        <v/>
      </c>
      <c r="AF1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2" t="str" cm="1">
        <f t="array" ref="AG1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2" s="22" t="str" cm="1">
        <f t="array" ref="AH12">_xlfn.IFS(COUNTIF(P12:V12, Categorías!$A$2)&gt;0, "Funcional", COUNTIF(P12:V12, Categorías!$A$3)&gt;0, "Configuración", COUNTIF(P12:V12, Categorías!$A$4)&gt;0, "Look&amp;Feel", COUNTIF(P12:V12, Categorías!$A$5)&gt;0, "Integración", COUNTIF(P12:V12, Categorías!$A$6)&gt;0, "Contenido/Datos", COUNTIF(P12:V12, Categorías!$A$7)&gt;0, "Eventos_Cosmos", COUNTIF(P12:V12, Categorías!$A$8)&gt;0, "Eventos_iOT", COUNTIF(P12:V12, Categorías!$A$9)&gt;0, "Eventos_Fabric", TRUE, "No encontrado")</f>
        <v>Funcional</v>
      </c>
    </row>
    <row r="13" spans="1:36" ht="29.25">
      <c r="A13" s="40" t="s">
        <v>128</v>
      </c>
      <c r="B13" s="40" t="s">
        <v>970</v>
      </c>
      <c r="C13" s="40">
        <v>83035</v>
      </c>
      <c r="D13" s="40" t="s">
        <v>971</v>
      </c>
      <c r="E13" s="40">
        <v>87100</v>
      </c>
      <c r="F13" s="40" t="s">
        <v>1039</v>
      </c>
      <c r="G13" s="40" t="s">
        <v>1040</v>
      </c>
      <c r="H13" s="40" t="s">
        <v>37</v>
      </c>
      <c r="I13" s="40" t="s">
        <v>242</v>
      </c>
      <c r="J13" s="40" t="s">
        <v>1041</v>
      </c>
      <c r="K13" s="40"/>
      <c r="L13" s="40"/>
      <c r="M13" s="40"/>
      <c r="N13" s="40"/>
      <c r="O13" s="40"/>
      <c r="P13" s="40" t="s">
        <v>803</v>
      </c>
      <c r="Q13" s="40" t="s">
        <v>139</v>
      </c>
      <c r="R13" s="40" t="s">
        <v>950</v>
      </c>
      <c r="S13" s="40" t="s">
        <v>226</v>
      </c>
      <c r="T13" s="40" t="s">
        <v>912</v>
      </c>
      <c r="U13" s="40" t="s">
        <v>154</v>
      </c>
      <c r="V13" s="40"/>
      <c r="W13" s="40" t="s">
        <v>348</v>
      </c>
      <c r="X13" s="53">
        <v>45873.095138888886</v>
      </c>
      <c r="Y13" s="40" t="s">
        <v>805</v>
      </c>
      <c r="Z13" s="40"/>
      <c r="AA13" s="40"/>
      <c r="AB13" t="str">
        <f>IF(LEFT(Jira__325[[#This Row],[Resumen]],3)="POS","POS",IF(LEFT(Jira__325[[#This Row],[Resumen]],3)="BOT","BOT",""))</f>
        <v>POS</v>
      </c>
      <c r="AC13" s="9" t="s">
        <v>136</v>
      </c>
      <c r="AE13" s="22" t="str" cm="1">
        <f t="array" ref="AE13">_xlfn.IFS(OR(COUNTIF(P13:V13,Categorías!#REF!)&gt;0, COUNTIF(P13:V13,Categorías!#REF!)&gt;0), "Sprint 21",OR(COUNTIF(P13:V13,Categorías!#REF!)&gt;0, COUNTIF(P13:V13,Categorías!#REF!)&gt;0, COUNTIF(P13:V13,Categorías!#REF!)&gt;0), "Sprint 20",OR(COUNTIF(P13:V13,Categorías!#REF!)&gt;0, COUNTIF(P13:V13,Categorías!#REF!)&gt;0, COUNTIF(P13:V13,Categorías!#REF!)&gt;0), "Sprint 19",OR(COUNTIF(P13:V13,Categorías!#REF!)&gt;0, COUNTIF(P13:V13,Categorías!#REF!)&gt;0, COUNTIF(P13:V13,Categorías!#REF!)&gt;0), "Sprint 18",OR(COUNTIF(P13:V13,Categorías!#REF!)&gt;0, COUNTIF(P13:V13,Categorías!#REF!)&gt;0, COUNTIF(P13:V13,Categorías!#REF!)&gt;0, COUNTIF(P13:V13,Categorías!#REF!)&gt;0), "Sprint 17",OR(COUNTIF(P13:V13,Categorías!#REF!)&gt;0, COUNTIF(P13:V13,Categorías!#REF!)&gt;0, COUNTIF(P13:V13,Categorías!#REF!)&gt;0, COUNTIF(P13:V13,Categorías!#REF!)&gt;0), "Sprint 16", OR(COUNTIF(P13:V13,Categorías!#REF!)&gt;0, COUNTIF(P13:V13,Categorías!#REF!)&gt;0, COUNTIF(P13:V13,Categorías!#REF!)&gt;0, COUNTIF(P13:V13,Categorías!#REF!)&gt;0), "Sprint 16",TRUE, "")</f>
        <v/>
      </c>
      <c r="AF1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3" t="str" cm="1">
        <f t="array" ref="AG1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3" s="22" t="str" cm="1">
        <f t="array" ref="AH13">_xlfn.IFS(COUNTIF(P13:V13, Categorías!$A$2)&gt;0, "Funcional", COUNTIF(P13:V13, Categorías!$A$3)&gt;0, "Configuración", COUNTIF(P13:V13, Categorías!$A$4)&gt;0, "Look&amp;Feel", COUNTIF(P13:V13, Categorías!$A$5)&gt;0, "Integración", COUNTIF(P13:V13, Categorías!$A$6)&gt;0, "Contenido/Datos", COUNTIF(P13:V13, Categorías!$A$7)&gt;0, "Eventos_Cosmos", COUNTIF(P13:V13, Categorías!$A$8)&gt;0, "Eventos_iOT", COUNTIF(P13:V13, Categorías!$A$9)&gt;0, "Eventos_Fabric", TRUE, "No encontrado")</f>
        <v>Funcional</v>
      </c>
    </row>
    <row r="14" spans="1:36" ht="29.25">
      <c r="A14" s="40" t="s">
        <v>128</v>
      </c>
      <c r="B14" s="40" t="s">
        <v>972</v>
      </c>
      <c r="C14" s="40">
        <v>83033</v>
      </c>
      <c r="D14" s="40" t="s">
        <v>973</v>
      </c>
      <c r="E14" s="40">
        <v>87100</v>
      </c>
      <c r="F14" s="40" t="s">
        <v>1039</v>
      </c>
      <c r="G14" s="40" t="s">
        <v>1040</v>
      </c>
      <c r="H14" s="40" t="s">
        <v>37</v>
      </c>
      <c r="I14" s="40" t="s">
        <v>26</v>
      </c>
      <c r="J14" s="40" t="s">
        <v>802</v>
      </c>
      <c r="K14" s="40" t="s">
        <v>1041</v>
      </c>
      <c r="L14" s="40"/>
      <c r="M14" s="40"/>
      <c r="N14" s="40"/>
      <c r="O14" s="40"/>
      <c r="P14" s="40" t="s">
        <v>803</v>
      </c>
      <c r="Q14" s="40" t="s">
        <v>139</v>
      </c>
      <c r="R14" s="40" t="s">
        <v>950</v>
      </c>
      <c r="S14" s="40" t="s">
        <v>226</v>
      </c>
      <c r="T14" s="40" t="s">
        <v>154</v>
      </c>
      <c r="U14" s="40"/>
      <c r="V14" s="40"/>
      <c r="W14" s="40" t="s">
        <v>348</v>
      </c>
      <c r="X14" s="53">
        <v>45873.061805555553</v>
      </c>
      <c r="Y14" s="40" t="s">
        <v>806</v>
      </c>
      <c r="Z14" s="40"/>
      <c r="AA14" s="40"/>
      <c r="AB14" t="str">
        <f>IF(LEFT(Jira__325[[#This Row],[Resumen]],3)="POS","POS",IF(LEFT(Jira__325[[#This Row],[Resumen]],3)="BOT","BOT",""))</f>
        <v>POS</v>
      </c>
      <c r="AC14" s="9" t="s">
        <v>159</v>
      </c>
      <c r="AE14" s="22" t="str" cm="1">
        <f t="array" ref="AE14">_xlfn.IFS(OR(COUNTIF(P14:V14,Categorías!#REF!)&gt;0, COUNTIF(P14:V14,Categorías!#REF!)&gt;0), "Sprint 21",OR(COUNTIF(P14:V14,Categorías!#REF!)&gt;0, COUNTIF(P14:V14,Categorías!#REF!)&gt;0, COUNTIF(P14:V14,Categorías!#REF!)&gt;0), "Sprint 20",OR(COUNTIF(P14:V14,Categorías!#REF!)&gt;0, COUNTIF(P14:V14,Categorías!#REF!)&gt;0, COUNTIF(P14:V14,Categorías!#REF!)&gt;0), "Sprint 19",OR(COUNTIF(P14:V14,Categorías!#REF!)&gt;0, COUNTIF(P14:V14,Categorías!#REF!)&gt;0, COUNTIF(P14:V14,Categorías!#REF!)&gt;0), "Sprint 18",OR(COUNTIF(P14:V14,Categorías!#REF!)&gt;0, COUNTIF(P14:V14,Categorías!#REF!)&gt;0, COUNTIF(P14:V14,Categorías!#REF!)&gt;0, COUNTIF(P14:V14,Categorías!#REF!)&gt;0), "Sprint 17",OR(COUNTIF(P14:V14,Categorías!#REF!)&gt;0, COUNTIF(P14:V14,Categorías!#REF!)&gt;0, COUNTIF(P14:V14,Categorías!#REF!)&gt;0, COUNTIF(P14:V14,Categorías!#REF!)&gt;0), "Sprint 16", OR(COUNTIF(P14:V14,Categorías!#REF!)&gt;0, COUNTIF(P14:V14,Categorías!#REF!)&gt;0, COUNTIF(P14:V14,Categorías!#REF!)&gt;0, COUNTIF(P14:V14,Categorías!#REF!)&gt;0), "Sprint 16",TRUE, "")</f>
        <v/>
      </c>
      <c r="AF1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4" t="str" cm="1">
        <f t="array" ref="AG1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4" s="22" t="str" cm="1">
        <f t="array" ref="AH14">_xlfn.IFS(COUNTIF(P14:V14, Categorías!$A$2)&gt;0, "Funcional", COUNTIF(P14:V14, Categorías!$A$3)&gt;0, "Configuración", COUNTIF(P14:V14, Categorías!$A$4)&gt;0, "Look&amp;Feel", COUNTIF(P14:V14, Categorías!$A$5)&gt;0, "Integración", COUNTIF(P14:V14, Categorías!$A$6)&gt;0, "Contenido/Datos", COUNTIF(P14:V14, Categorías!$A$7)&gt;0, "Eventos_Cosmos", COUNTIF(P14:V14, Categorías!$A$8)&gt;0, "Eventos_iOT", COUNTIF(P14:V14, Categorías!$A$9)&gt;0, "Eventos_Fabric", TRUE, "No encontrado")</f>
        <v>Funcional</v>
      </c>
    </row>
    <row r="15" spans="1:36" ht="29.25">
      <c r="A15" s="40" t="s">
        <v>128</v>
      </c>
      <c r="B15" s="40" t="s">
        <v>974</v>
      </c>
      <c r="C15" s="40">
        <v>83030</v>
      </c>
      <c r="D15" s="40" t="s">
        <v>975</v>
      </c>
      <c r="E15" s="40">
        <v>87100</v>
      </c>
      <c r="F15" s="40" t="s">
        <v>1039</v>
      </c>
      <c r="G15" s="40" t="s">
        <v>1040</v>
      </c>
      <c r="H15" s="40" t="s">
        <v>37</v>
      </c>
      <c r="I15" s="40" t="s">
        <v>27</v>
      </c>
      <c r="J15" s="40" t="s">
        <v>1041</v>
      </c>
      <c r="K15" s="40"/>
      <c r="L15" s="40"/>
      <c r="M15" s="40"/>
      <c r="N15" s="40"/>
      <c r="O15" s="40"/>
      <c r="P15" s="40" t="s">
        <v>803</v>
      </c>
      <c r="Q15" s="40" t="s">
        <v>139</v>
      </c>
      <c r="R15" s="40" t="s">
        <v>950</v>
      </c>
      <c r="S15" s="40" t="s">
        <v>226</v>
      </c>
      <c r="T15" s="40" t="s">
        <v>154</v>
      </c>
      <c r="U15" s="40"/>
      <c r="V15" s="40"/>
      <c r="W15" s="40" t="s">
        <v>348</v>
      </c>
      <c r="X15" s="53">
        <v>45873.052777777775</v>
      </c>
      <c r="Y15" s="40" t="s">
        <v>805</v>
      </c>
      <c r="Z15" s="40"/>
      <c r="AA15" s="40"/>
      <c r="AB15" t="str">
        <f>IF(LEFT(Jira__325[[#This Row],[Resumen]],3)="POS","POS",IF(LEFT(Jira__325[[#This Row],[Resumen]],3)="BOT","BOT",""))</f>
        <v>POS</v>
      </c>
      <c r="AC15" s="9" t="s">
        <v>163</v>
      </c>
      <c r="AE15" s="22" t="str" cm="1">
        <f t="array" ref="AE15">_xlfn.IFS(OR(COUNTIF(P15:V15,Categorías!#REF!)&gt;0, COUNTIF(P15:V15,Categorías!#REF!)&gt;0), "Sprint 21",OR(COUNTIF(P15:V15,Categorías!#REF!)&gt;0, COUNTIF(P15:V15,Categorías!#REF!)&gt;0, COUNTIF(P15:V15,Categorías!#REF!)&gt;0), "Sprint 20",OR(COUNTIF(P15:V15,Categorías!#REF!)&gt;0, COUNTIF(P15:V15,Categorías!#REF!)&gt;0, COUNTIF(P15:V15,Categorías!#REF!)&gt;0), "Sprint 19",OR(COUNTIF(P15:V15,Categorías!#REF!)&gt;0, COUNTIF(P15:V15,Categorías!#REF!)&gt;0, COUNTIF(P15:V15,Categorías!#REF!)&gt;0), "Sprint 18",OR(COUNTIF(P15:V15,Categorías!#REF!)&gt;0, COUNTIF(P15:V15,Categorías!#REF!)&gt;0, COUNTIF(P15:V15,Categorías!#REF!)&gt;0, COUNTIF(P15:V15,Categorías!#REF!)&gt;0), "Sprint 17",OR(COUNTIF(P15:V15,Categorías!#REF!)&gt;0, COUNTIF(P15:V15,Categorías!#REF!)&gt;0, COUNTIF(P15:V15,Categorías!#REF!)&gt;0, COUNTIF(P15:V15,Categorías!#REF!)&gt;0), "Sprint 16", OR(COUNTIF(P15:V15,Categorías!#REF!)&gt;0, COUNTIF(P15:V15,Categorías!#REF!)&gt;0, COUNTIF(P15:V15,Categorías!#REF!)&gt;0, COUNTIF(P15:V15,Categorías!#REF!)&gt;0), "Sprint 16",TRUE, "")</f>
        <v/>
      </c>
      <c r="AF1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5" t="str" cm="1">
        <f t="array" ref="AG1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5" s="22" t="str" cm="1">
        <f t="array" ref="AH15">_xlfn.IFS(COUNTIF(P15:V15, Categorías!$A$2)&gt;0, "Funcional", COUNTIF(P15:V15, Categorías!$A$3)&gt;0, "Configuración", COUNTIF(P15:V15, Categorías!$A$4)&gt;0, "Look&amp;Feel", COUNTIF(P15:V15, Categorías!$A$5)&gt;0, "Integración", COUNTIF(P15:V15, Categorías!$A$6)&gt;0, "Contenido/Datos", COUNTIF(P15:V15, Categorías!$A$7)&gt;0, "Eventos_Cosmos", COUNTIF(P15:V15, Categorías!$A$8)&gt;0, "Eventos_iOT", COUNTIF(P15:V15, Categorías!$A$9)&gt;0, "Eventos_Fabric", TRUE, "No encontrado")</f>
        <v>Funcional</v>
      </c>
    </row>
    <row r="16" spans="1:36" ht="29.25">
      <c r="A16" s="40" t="s">
        <v>128</v>
      </c>
      <c r="B16" s="40" t="s">
        <v>976</v>
      </c>
      <c r="C16" s="40">
        <v>83028</v>
      </c>
      <c r="D16" s="40" t="s">
        <v>977</v>
      </c>
      <c r="E16" s="40">
        <v>87100</v>
      </c>
      <c r="F16" s="40" t="s">
        <v>1039</v>
      </c>
      <c r="G16" s="40" t="s">
        <v>1040</v>
      </c>
      <c r="H16" s="40" t="s">
        <v>37</v>
      </c>
      <c r="I16" s="40" t="s">
        <v>26</v>
      </c>
      <c r="J16" s="40" t="s">
        <v>1041</v>
      </c>
      <c r="K16" s="40"/>
      <c r="L16" s="40"/>
      <c r="M16" s="40"/>
      <c r="N16" s="40"/>
      <c r="O16" s="40"/>
      <c r="P16" s="40" t="s">
        <v>803</v>
      </c>
      <c r="Q16" s="40" t="s">
        <v>139</v>
      </c>
      <c r="R16" s="40" t="s">
        <v>950</v>
      </c>
      <c r="S16" s="40" t="s">
        <v>226</v>
      </c>
      <c r="T16" s="40" t="s">
        <v>912</v>
      </c>
      <c r="U16" s="40" t="s">
        <v>154</v>
      </c>
      <c r="V16" s="40"/>
      <c r="W16" s="40" t="s">
        <v>348</v>
      </c>
      <c r="X16" s="53">
        <v>45873.051388888889</v>
      </c>
      <c r="Y16" s="40" t="s">
        <v>805</v>
      </c>
      <c r="Z16" s="40"/>
      <c r="AA16" s="40"/>
      <c r="AB16" t="str">
        <f>IF(LEFT(Jira__325[[#This Row],[Resumen]],3)="POS","POS",IF(LEFT(Jira__325[[#This Row],[Resumen]],3)="BOT","BOT",""))</f>
        <v>POS</v>
      </c>
      <c r="AC16" s="9" t="s">
        <v>136</v>
      </c>
      <c r="AE16" s="22" t="str" cm="1">
        <f t="array" ref="AE16">_xlfn.IFS(OR(COUNTIF(P16:V16,Categorías!#REF!)&gt;0, COUNTIF(P16:V16,Categorías!#REF!)&gt;0), "Sprint 21",OR(COUNTIF(P16:V16,Categorías!#REF!)&gt;0, COUNTIF(P16:V16,Categorías!#REF!)&gt;0, COUNTIF(P16:V16,Categorías!#REF!)&gt;0), "Sprint 20",OR(COUNTIF(P16:V16,Categorías!#REF!)&gt;0, COUNTIF(P16:V16,Categorías!#REF!)&gt;0, COUNTIF(P16:V16,Categorías!#REF!)&gt;0), "Sprint 19",OR(COUNTIF(P16:V16,Categorías!#REF!)&gt;0, COUNTIF(P16:V16,Categorías!#REF!)&gt;0, COUNTIF(P16:V16,Categorías!#REF!)&gt;0), "Sprint 18",OR(COUNTIF(P16:V16,Categorías!#REF!)&gt;0, COUNTIF(P16:V16,Categorías!#REF!)&gt;0, COUNTIF(P16:V16,Categorías!#REF!)&gt;0, COUNTIF(P16:V16,Categorías!#REF!)&gt;0), "Sprint 17",OR(COUNTIF(P16:V16,Categorías!#REF!)&gt;0, COUNTIF(P16:V16,Categorías!#REF!)&gt;0, COUNTIF(P16:V16,Categorías!#REF!)&gt;0, COUNTIF(P16:V16,Categorías!#REF!)&gt;0), "Sprint 16", OR(COUNTIF(P16:V16,Categorías!#REF!)&gt;0, COUNTIF(P16:V16,Categorías!#REF!)&gt;0, COUNTIF(P16:V16,Categorías!#REF!)&gt;0, COUNTIF(P16:V16,Categorías!#REF!)&gt;0), "Sprint 16",TRUE, "")</f>
        <v/>
      </c>
      <c r="AF1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6" t="str" cm="1">
        <f t="array" ref="AG1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6" s="22" t="str" cm="1">
        <f t="array" ref="AH16">_xlfn.IFS(COUNTIF(P16:V16, Categorías!$A$2)&gt;0, "Funcional", COUNTIF(P16:V16, Categorías!$A$3)&gt;0, "Configuración", COUNTIF(P16:V16, Categorías!$A$4)&gt;0, "Look&amp;Feel", COUNTIF(P16:V16, Categorías!$A$5)&gt;0, "Integración", COUNTIF(P16:V16, Categorías!$A$6)&gt;0, "Contenido/Datos", COUNTIF(P16:V16, Categorías!$A$7)&gt;0, "Eventos_Cosmos", COUNTIF(P16:V16, Categorías!$A$8)&gt;0, "Eventos_iOT", COUNTIF(P16:V16, Categorías!$A$9)&gt;0, "Eventos_Fabric", TRUE, "No encontrado")</f>
        <v>Funcional</v>
      </c>
    </row>
    <row r="17" spans="1:34" ht="29.25">
      <c r="A17" s="40" t="s">
        <v>128</v>
      </c>
      <c r="B17" s="40" t="s">
        <v>978</v>
      </c>
      <c r="C17" s="40">
        <v>83024</v>
      </c>
      <c r="D17" s="40" t="s">
        <v>979</v>
      </c>
      <c r="E17" s="40">
        <v>87100</v>
      </c>
      <c r="F17" s="40" t="s">
        <v>1039</v>
      </c>
      <c r="G17" s="40" t="s">
        <v>1040</v>
      </c>
      <c r="H17" s="40" t="s">
        <v>37</v>
      </c>
      <c r="I17" s="40" t="s">
        <v>24</v>
      </c>
      <c r="J17" s="40"/>
      <c r="K17" s="40"/>
      <c r="L17" s="40"/>
      <c r="M17" s="40"/>
      <c r="N17" s="40"/>
      <c r="O17" s="40"/>
      <c r="P17" s="40" t="s">
        <v>803</v>
      </c>
      <c r="Q17" s="40" t="s">
        <v>139</v>
      </c>
      <c r="R17" s="40" t="s">
        <v>950</v>
      </c>
      <c r="S17" s="40" t="s">
        <v>204</v>
      </c>
      <c r="T17" s="40" t="s">
        <v>226</v>
      </c>
      <c r="U17" s="40" t="s">
        <v>912</v>
      </c>
      <c r="V17" s="40" t="s">
        <v>154</v>
      </c>
      <c r="W17" s="40" t="s">
        <v>348</v>
      </c>
      <c r="X17" s="53">
        <v>45873.037499999999</v>
      </c>
      <c r="Y17" s="40" t="s">
        <v>805</v>
      </c>
      <c r="Z17" s="40"/>
      <c r="AA17" s="40"/>
      <c r="AB17" t="str">
        <f>IF(LEFT(Jira__325[[#This Row],[Resumen]],3)="POS","POS",IF(LEFT(Jira__325[[#This Row],[Resumen]],3)="BOT","BOT",""))</f>
        <v>POS</v>
      </c>
      <c r="AC17" s="12" t="s">
        <v>184</v>
      </c>
      <c r="AE17" s="22" t="str" cm="1">
        <f t="array" ref="AE17">_xlfn.IFS(OR(COUNTIF(P17:V17,Categorías!#REF!)&gt;0, COUNTIF(P17:V17,Categorías!#REF!)&gt;0), "Sprint 21",OR(COUNTIF(P17:V17,Categorías!#REF!)&gt;0, COUNTIF(P17:V17,Categorías!#REF!)&gt;0, COUNTIF(P17:V17,Categorías!#REF!)&gt;0), "Sprint 20",OR(COUNTIF(P17:V17,Categorías!#REF!)&gt;0, COUNTIF(P17:V17,Categorías!#REF!)&gt;0, COUNTIF(P17:V17,Categorías!#REF!)&gt;0), "Sprint 19",OR(COUNTIF(P17:V17,Categorías!#REF!)&gt;0, COUNTIF(P17:V17,Categorías!#REF!)&gt;0, COUNTIF(P17:V17,Categorías!#REF!)&gt;0), "Sprint 18",OR(COUNTIF(P17:V17,Categorías!#REF!)&gt;0, COUNTIF(P17:V17,Categorías!#REF!)&gt;0, COUNTIF(P17:V17,Categorías!#REF!)&gt;0, COUNTIF(P17:V17,Categorías!#REF!)&gt;0), "Sprint 17",OR(COUNTIF(P17:V17,Categorías!#REF!)&gt;0, COUNTIF(P17:V17,Categorías!#REF!)&gt;0, COUNTIF(P17:V17,Categorías!#REF!)&gt;0, COUNTIF(P17:V17,Categorías!#REF!)&gt;0), "Sprint 16", OR(COUNTIF(P17:V17,Categorías!#REF!)&gt;0, COUNTIF(P17:V17,Categorías!#REF!)&gt;0, COUNTIF(P17:V17,Categorías!#REF!)&gt;0, COUNTIF(P17:V17,Categorías!#REF!)&gt;0), "Sprint 16",TRUE, "")</f>
        <v/>
      </c>
      <c r="AF1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7" t="str" cm="1">
        <f t="array" ref="AG1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7" s="22" t="str" cm="1">
        <f t="array" ref="AH17">_xlfn.IFS(COUNTIF(P17:V17, Categorías!$A$2)&gt;0, "Funcional", COUNTIF(P17:V17, Categorías!$A$3)&gt;0, "Configuración", COUNTIF(P17:V17, Categorías!$A$4)&gt;0, "Look&amp;Feel", COUNTIF(P17:V17, Categorías!$A$5)&gt;0, "Integración", COUNTIF(P17:V17, Categorías!$A$6)&gt;0, "Contenido/Datos", COUNTIF(P17:V17, Categorías!$A$7)&gt;0, "Eventos_Cosmos", COUNTIF(P17:V17, Categorías!$A$8)&gt;0, "Eventos_iOT", COUNTIF(P17:V17, Categorías!$A$9)&gt;0, "Eventos_Fabric", TRUE, "No encontrado")</f>
        <v>Funcional</v>
      </c>
    </row>
    <row r="18" spans="1:34" ht="29.25">
      <c r="A18" s="40" t="s">
        <v>128</v>
      </c>
      <c r="B18" s="40" t="s">
        <v>980</v>
      </c>
      <c r="C18" s="40">
        <v>83022</v>
      </c>
      <c r="D18" s="40" t="s">
        <v>981</v>
      </c>
      <c r="E18" s="40">
        <v>87100</v>
      </c>
      <c r="F18" s="40" t="s">
        <v>1039</v>
      </c>
      <c r="G18" s="40" t="s">
        <v>1040</v>
      </c>
      <c r="H18" s="40" t="s">
        <v>36</v>
      </c>
      <c r="I18" s="40" t="s">
        <v>27</v>
      </c>
      <c r="J18" s="40" t="s">
        <v>637</v>
      </c>
      <c r="K18" s="40"/>
      <c r="L18" s="40"/>
      <c r="M18" s="40"/>
      <c r="N18" s="40"/>
      <c r="O18" s="40"/>
      <c r="P18" s="40" t="s">
        <v>139</v>
      </c>
      <c r="Q18" s="40" t="s">
        <v>950</v>
      </c>
      <c r="R18" s="40"/>
      <c r="S18" s="40"/>
      <c r="T18" s="40"/>
      <c r="U18" s="40"/>
      <c r="V18" s="40"/>
      <c r="W18" s="40" t="s">
        <v>348</v>
      </c>
      <c r="X18" s="53">
        <v>45873.03402777778</v>
      </c>
      <c r="Y18" s="40" t="s">
        <v>805</v>
      </c>
      <c r="Z18" s="40"/>
      <c r="AA18" s="40"/>
      <c r="AB18" t="str">
        <f>IF(LEFT(Jira__325[[#This Row],[Resumen]],3)="POS","POS",IF(LEFT(Jira__325[[#This Row],[Resumen]],3)="BOT","BOT",""))</f>
        <v>POS</v>
      </c>
      <c r="AC18" s="9" t="s">
        <v>163</v>
      </c>
      <c r="AE18" s="22" t="str" cm="1">
        <f t="array" ref="AE18">_xlfn.IFS(OR(COUNTIF(P18:V18,Categorías!#REF!)&gt;0, COUNTIF(P18:V18,Categorías!#REF!)&gt;0), "Sprint 21",OR(COUNTIF(P18:V18,Categorías!#REF!)&gt;0, COUNTIF(P18:V18,Categorías!#REF!)&gt;0, COUNTIF(P18:V18,Categorías!#REF!)&gt;0), "Sprint 20",OR(COUNTIF(P18:V18,Categorías!#REF!)&gt;0, COUNTIF(P18:V18,Categorías!#REF!)&gt;0, COUNTIF(P18:V18,Categorías!#REF!)&gt;0), "Sprint 19",OR(COUNTIF(P18:V18,Categorías!#REF!)&gt;0, COUNTIF(P18:V18,Categorías!#REF!)&gt;0, COUNTIF(P18:V18,Categorías!#REF!)&gt;0), "Sprint 18",OR(COUNTIF(P18:V18,Categorías!#REF!)&gt;0, COUNTIF(P18:V18,Categorías!#REF!)&gt;0, COUNTIF(P18:V18,Categorías!#REF!)&gt;0, COUNTIF(P18:V18,Categorías!#REF!)&gt;0), "Sprint 17",OR(COUNTIF(P18:V18,Categorías!#REF!)&gt;0, COUNTIF(P18:V18,Categorías!#REF!)&gt;0, COUNTIF(P18:V18,Categorías!#REF!)&gt;0, COUNTIF(P18:V18,Categorías!#REF!)&gt;0), "Sprint 16", OR(COUNTIF(P18:V18,Categorías!#REF!)&gt;0, COUNTIF(P18:V18,Categorías!#REF!)&gt;0, COUNTIF(P18:V18,Categorías!#REF!)&gt;0, COUNTIF(P18:V18,Categorías!#REF!)&gt;0), "Sprint 16",TRUE, "")</f>
        <v/>
      </c>
      <c r="AF1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8" t="str" cm="1">
        <f t="array" ref="AG1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8" s="22" t="str" cm="1">
        <f t="array" ref="AH18">_xlfn.IFS(COUNTIF(P18:V18, Categorías!$A$2)&gt;0, "Funcional", COUNTIF(P18:V18, Categorías!$A$3)&gt;0, "Configuración", COUNTIF(P18:V18, Categorías!$A$4)&gt;0, "Look&amp;Feel", COUNTIF(P18:V18, Categorías!$A$5)&gt;0, "Integración", COUNTIF(P18:V18, Categorías!$A$6)&gt;0, "Contenido/Datos", COUNTIF(P18:V18, Categorías!$A$7)&gt;0, "Eventos_Cosmos", COUNTIF(P18:V18, Categorías!$A$8)&gt;0, "Eventos_iOT", COUNTIF(P18:V18, Categorías!$A$9)&gt;0, "Eventos_Fabric", TRUE, "No encontrado")</f>
        <v>Funcional</v>
      </c>
    </row>
    <row r="19" spans="1:34" ht="29.25">
      <c r="A19" s="40" t="s">
        <v>128</v>
      </c>
      <c r="B19" s="40" t="s">
        <v>982</v>
      </c>
      <c r="C19" s="40">
        <v>83020</v>
      </c>
      <c r="D19" s="40" t="s">
        <v>983</v>
      </c>
      <c r="E19" s="40">
        <v>87100</v>
      </c>
      <c r="F19" s="40" t="s">
        <v>1039</v>
      </c>
      <c r="G19" s="40" t="s">
        <v>1040</v>
      </c>
      <c r="H19" s="40" t="s">
        <v>37</v>
      </c>
      <c r="I19" s="40" t="s">
        <v>26</v>
      </c>
      <c r="J19" s="40" t="s">
        <v>866</v>
      </c>
      <c r="K19" s="40" t="s">
        <v>802</v>
      </c>
      <c r="L19" s="40" t="s">
        <v>1041</v>
      </c>
      <c r="M19" s="40"/>
      <c r="N19" s="40"/>
      <c r="O19" s="40"/>
      <c r="P19" s="40" t="s">
        <v>139</v>
      </c>
      <c r="Q19" s="40" t="s">
        <v>950</v>
      </c>
      <c r="R19" s="40"/>
      <c r="S19" s="40"/>
      <c r="T19" s="40"/>
      <c r="U19" s="40"/>
      <c r="V19" s="40"/>
      <c r="W19" s="40" t="s">
        <v>348</v>
      </c>
      <c r="X19" s="53">
        <v>45873.032638888886</v>
      </c>
      <c r="Y19" s="40" t="s">
        <v>805</v>
      </c>
      <c r="Z19" s="40"/>
      <c r="AA19" s="40"/>
      <c r="AB19" t="str">
        <f>IF(LEFT(Jira__325[[#This Row],[Resumen]],3)="POS","POS",IF(LEFT(Jira__325[[#This Row],[Resumen]],3)="BOT","BOT",""))</f>
        <v>POS</v>
      </c>
      <c r="AC19" s="9" t="s">
        <v>142</v>
      </c>
      <c r="AE19" s="22" t="str" cm="1">
        <f t="array" ref="AE19">_xlfn.IFS(OR(COUNTIF(P19:V19,Categorías!#REF!)&gt;0, COUNTIF(P19:V19,Categorías!#REF!)&gt;0), "Sprint 21",OR(COUNTIF(P19:V19,Categorías!#REF!)&gt;0, COUNTIF(P19:V19,Categorías!#REF!)&gt;0, COUNTIF(P19:V19,Categorías!#REF!)&gt;0), "Sprint 20",OR(COUNTIF(P19:V19,Categorías!#REF!)&gt;0, COUNTIF(P19:V19,Categorías!#REF!)&gt;0, COUNTIF(P19:V19,Categorías!#REF!)&gt;0), "Sprint 19",OR(COUNTIF(P19:V19,Categorías!#REF!)&gt;0, COUNTIF(P19:V19,Categorías!#REF!)&gt;0, COUNTIF(P19:V19,Categorías!#REF!)&gt;0), "Sprint 18",OR(COUNTIF(P19:V19,Categorías!#REF!)&gt;0, COUNTIF(P19:V19,Categorías!#REF!)&gt;0, COUNTIF(P19:V19,Categorías!#REF!)&gt;0, COUNTIF(P19:V19,Categorías!#REF!)&gt;0), "Sprint 17",OR(COUNTIF(P19:V19,Categorías!#REF!)&gt;0, COUNTIF(P19:V19,Categorías!#REF!)&gt;0, COUNTIF(P19:V19,Categorías!#REF!)&gt;0, COUNTIF(P19:V19,Categorías!#REF!)&gt;0), "Sprint 16", OR(COUNTIF(P19:V19,Categorías!#REF!)&gt;0, COUNTIF(P19:V19,Categorías!#REF!)&gt;0, COUNTIF(P19:V19,Categorías!#REF!)&gt;0, COUNTIF(P19:V19,Categorías!#REF!)&gt;0), "Sprint 16",TRUE, "")</f>
        <v/>
      </c>
      <c r="AF1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9" t="str" cm="1">
        <f t="array" ref="AG1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9" s="22" t="str" cm="1">
        <f t="array" ref="AH19">_xlfn.IFS(COUNTIF(P19:V19, Categorías!$A$2)&gt;0, "Funcional", COUNTIF(P19:V19, Categorías!$A$3)&gt;0, "Configuración", COUNTIF(P19:V19, Categorías!$A$4)&gt;0, "Look&amp;Feel", COUNTIF(P19:V19, Categorías!$A$5)&gt;0, "Integración", COUNTIF(P19:V19, Categorías!$A$6)&gt;0, "Contenido/Datos", COUNTIF(P19:V19, Categorías!$A$7)&gt;0, "Eventos_Cosmos", COUNTIF(P19:V19, Categorías!$A$8)&gt;0, "Eventos_iOT", COUNTIF(P19:V19, Categorías!$A$9)&gt;0, "Eventos_Fabric", TRUE, "No encontrado")</f>
        <v>Funcional</v>
      </c>
    </row>
    <row r="20" spans="1:34" ht="29.25">
      <c r="A20" s="40" t="s">
        <v>128</v>
      </c>
      <c r="B20" s="40" t="s">
        <v>984</v>
      </c>
      <c r="C20" s="40">
        <v>83017</v>
      </c>
      <c r="D20" s="40" t="s">
        <v>985</v>
      </c>
      <c r="E20" s="40">
        <v>87100</v>
      </c>
      <c r="F20" s="40" t="s">
        <v>1039</v>
      </c>
      <c r="G20" s="40" t="s">
        <v>1040</v>
      </c>
      <c r="H20" s="40" t="s">
        <v>37</v>
      </c>
      <c r="I20" s="40" t="s">
        <v>26</v>
      </c>
      <c r="J20" s="40" t="s">
        <v>753</v>
      </c>
      <c r="K20" s="40" t="s">
        <v>1041</v>
      </c>
      <c r="L20" s="40"/>
      <c r="M20" s="40"/>
      <c r="N20" s="40"/>
      <c r="O20" s="40"/>
      <c r="P20" s="40" t="s">
        <v>139</v>
      </c>
      <c r="Q20" s="40" t="s">
        <v>950</v>
      </c>
      <c r="R20" s="40" t="s">
        <v>226</v>
      </c>
      <c r="S20" s="40" t="s">
        <v>154</v>
      </c>
      <c r="T20" s="40"/>
      <c r="U20" s="40"/>
      <c r="V20" s="40"/>
      <c r="W20" s="40" t="s">
        <v>348</v>
      </c>
      <c r="X20" s="53">
        <v>45873.026388888888</v>
      </c>
      <c r="Y20" s="40" t="s">
        <v>760</v>
      </c>
      <c r="Z20" s="40"/>
      <c r="AA20" s="40"/>
      <c r="AB20" t="str">
        <f>IF(LEFT(Jira__325[[#This Row],[Resumen]],3)="POS","POS",IF(LEFT(Jira__325[[#This Row],[Resumen]],3)="BOT","BOT",""))</f>
        <v>POS</v>
      </c>
      <c r="AC20" s="9" t="s">
        <v>163</v>
      </c>
      <c r="AE20" s="22" t="str" cm="1">
        <f t="array" ref="AE20">_xlfn.IFS(OR(COUNTIF(P20:V20,Categorías!#REF!)&gt;0, COUNTIF(P20:V20,Categorías!#REF!)&gt;0), "Sprint 21",OR(COUNTIF(P20:V20,Categorías!#REF!)&gt;0, COUNTIF(P20:V20,Categorías!#REF!)&gt;0, COUNTIF(P20:V20,Categorías!#REF!)&gt;0), "Sprint 20",OR(COUNTIF(P20:V20,Categorías!#REF!)&gt;0, COUNTIF(P20:V20,Categorías!#REF!)&gt;0, COUNTIF(P20:V20,Categorías!#REF!)&gt;0), "Sprint 19",OR(COUNTIF(P20:V20,Categorías!#REF!)&gt;0, COUNTIF(P20:V20,Categorías!#REF!)&gt;0, COUNTIF(P20:V20,Categorías!#REF!)&gt;0), "Sprint 18",OR(COUNTIF(P20:V20,Categorías!#REF!)&gt;0, COUNTIF(P20:V20,Categorías!#REF!)&gt;0, COUNTIF(P20:V20,Categorías!#REF!)&gt;0, COUNTIF(P20:V20,Categorías!#REF!)&gt;0), "Sprint 17",OR(COUNTIF(P20:V20,Categorías!#REF!)&gt;0, COUNTIF(P20:V20,Categorías!#REF!)&gt;0, COUNTIF(P20:V20,Categorías!#REF!)&gt;0, COUNTIF(P20:V20,Categorías!#REF!)&gt;0), "Sprint 16", OR(COUNTIF(P20:V20,Categorías!#REF!)&gt;0, COUNTIF(P20:V20,Categorías!#REF!)&gt;0, COUNTIF(P20:V20,Categorías!#REF!)&gt;0, COUNTIF(P20:V20,Categorías!#REF!)&gt;0), "Sprint 16",TRUE, "")</f>
        <v/>
      </c>
      <c r="AF2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20" t="str" cm="1">
        <f t="array" ref="AG2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20" s="22" t="str" cm="1">
        <f t="array" ref="AH20">_xlfn.IFS(COUNTIF(P20:V20, Categorías!$A$2)&gt;0, "Funcional", COUNTIF(P20:V20, Categorías!$A$3)&gt;0, "Configuración", COUNTIF(P20:V20, Categorías!$A$4)&gt;0, "Look&amp;Feel", COUNTIF(P20:V20, Categorías!$A$5)&gt;0, "Integración", COUNTIF(P20:V20, Categorías!$A$6)&gt;0, "Contenido/Datos", COUNTIF(P20:V20, Categorías!$A$7)&gt;0, "Eventos_Cosmos", COUNTIF(P20:V20, Categorías!$A$8)&gt;0, "Eventos_iOT", COUNTIF(P20:V20, Categorías!$A$9)&gt;0, "Eventos_Fabric", TRUE, "No encontrado")</f>
        <v>Funcional</v>
      </c>
    </row>
    <row r="21" spans="1:34" ht="29.25">
      <c r="A21" s="40" t="s">
        <v>128</v>
      </c>
      <c r="B21" s="40" t="s">
        <v>986</v>
      </c>
      <c r="C21" s="40">
        <v>83014</v>
      </c>
      <c r="D21" s="40" t="s">
        <v>987</v>
      </c>
      <c r="E21" s="40">
        <v>87100</v>
      </c>
      <c r="F21" s="40" t="s">
        <v>1039</v>
      </c>
      <c r="G21" s="40" t="s">
        <v>1040</v>
      </c>
      <c r="H21" s="40" t="s">
        <v>37</v>
      </c>
      <c r="I21" s="40" t="s">
        <v>26</v>
      </c>
      <c r="J21" s="40" t="s">
        <v>1041</v>
      </c>
      <c r="K21" s="40"/>
      <c r="L21" s="40"/>
      <c r="M21" s="40"/>
      <c r="N21" s="40"/>
      <c r="O21" s="40"/>
      <c r="P21" s="40" t="s">
        <v>803</v>
      </c>
      <c r="Q21" s="40" t="s">
        <v>132</v>
      </c>
      <c r="R21" s="40" t="s">
        <v>950</v>
      </c>
      <c r="S21" s="40" t="s">
        <v>226</v>
      </c>
      <c r="T21" s="40" t="s">
        <v>912</v>
      </c>
      <c r="U21" s="40" t="s">
        <v>154</v>
      </c>
      <c r="V21" s="40"/>
      <c r="W21" s="40" t="s">
        <v>348</v>
      </c>
      <c r="X21" s="53">
        <v>45873.01666666667</v>
      </c>
      <c r="Y21" s="40" t="s">
        <v>805</v>
      </c>
      <c r="Z21" s="40"/>
      <c r="AA21" s="40"/>
      <c r="AB21" t="str">
        <f>IF(LEFT(Jira__325[[#This Row],[Resumen]],3)="POS","POS",IF(LEFT(Jira__325[[#This Row],[Resumen]],3)="BOT","BOT",""))</f>
        <v>POS</v>
      </c>
      <c r="AC21" s="9" t="s">
        <v>163</v>
      </c>
      <c r="AE21" s="22" t="str" cm="1">
        <f t="array" ref="AE21">_xlfn.IFS(OR(COUNTIF(P21:V21,Categorías!#REF!)&gt;0, COUNTIF(P21:V21,Categorías!#REF!)&gt;0), "Sprint 21",OR(COUNTIF(P21:V21,Categorías!#REF!)&gt;0, COUNTIF(P21:V21,Categorías!#REF!)&gt;0, COUNTIF(P21:V21,Categorías!#REF!)&gt;0), "Sprint 20",OR(COUNTIF(P21:V21,Categorías!#REF!)&gt;0, COUNTIF(P21:V21,Categorías!#REF!)&gt;0, COUNTIF(P21:V21,Categorías!#REF!)&gt;0), "Sprint 19",OR(COUNTIF(P21:V21,Categorías!#REF!)&gt;0, COUNTIF(P21:V21,Categorías!#REF!)&gt;0, COUNTIF(P21:V21,Categorías!#REF!)&gt;0), "Sprint 18",OR(COUNTIF(P21:V21,Categorías!#REF!)&gt;0, COUNTIF(P21:V21,Categorías!#REF!)&gt;0, COUNTIF(P21:V21,Categorías!#REF!)&gt;0, COUNTIF(P21:V21,Categorías!#REF!)&gt;0), "Sprint 17",OR(COUNTIF(P21:V21,Categorías!#REF!)&gt;0, COUNTIF(P21:V21,Categorías!#REF!)&gt;0, COUNTIF(P21:V21,Categorías!#REF!)&gt;0, COUNTIF(P21:V21,Categorías!#REF!)&gt;0), "Sprint 16", OR(COUNTIF(P21:V21,Categorías!#REF!)&gt;0, COUNTIF(P21:V21,Categorías!#REF!)&gt;0, COUNTIF(P21:V21,Categorías!#REF!)&gt;0, COUNTIF(P21:V21,Categorías!#REF!)&gt;0), "Sprint 16",TRUE, "")</f>
        <v/>
      </c>
      <c r="AF2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21" t="str" cm="1">
        <f t="array" ref="AG2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21" s="22" t="str" cm="1">
        <f t="array" ref="AH21">_xlfn.IFS(COUNTIF(P21:V21, Categorías!$A$2)&gt;0, "Funcional", COUNTIF(P21:V21, Categorías!$A$3)&gt;0, "Configuración", COUNTIF(P21:V21, Categorías!$A$4)&gt;0, "Look&amp;Feel", COUNTIF(P21:V21, Categorías!$A$5)&gt;0, "Integración", COUNTIF(P21:V21, Categorías!$A$6)&gt;0, "Contenido/Datos", COUNTIF(P21:V21, Categorías!$A$7)&gt;0, "Eventos_Cosmos", COUNTIF(P21:V21, Categorías!$A$8)&gt;0, "Eventos_iOT", COUNTIF(P21:V21, Categorías!$A$9)&gt;0, "Eventos_Fabric", TRUE, "No encontrado")</f>
        <v>Look&amp;Feel</v>
      </c>
    </row>
    <row r="22" spans="1:34" ht="29.25">
      <c r="A22" s="40" t="s">
        <v>128</v>
      </c>
      <c r="B22" s="40" t="s">
        <v>988</v>
      </c>
      <c r="C22" s="40">
        <v>83012</v>
      </c>
      <c r="D22" s="40" t="s">
        <v>989</v>
      </c>
      <c r="E22" s="40">
        <v>87100</v>
      </c>
      <c r="F22" s="40" t="s">
        <v>1039</v>
      </c>
      <c r="G22" s="40" t="s">
        <v>1040</v>
      </c>
      <c r="H22" s="40" t="s">
        <v>37</v>
      </c>
      <c r="I22" s="40" t="s">
        <v>246</v>
      </c>
      <c r="J22" s="40" t="s">
        <v>1041</v>
      </c>
      <c r="K22" s="40"/>
      <c r="L22" s="40"/>
      <c r="M22" s="40"/>
      <c r="N22" s="40"/>
      <c r="O22" s="40"/>
      <c r="P22" s="40" t="s">
        <v>803</v>
      </c>
      <c r="Q22" s="40" t="s">
        <v>139</v>
      </c>
      <c r="R22" s="40" t="s">
        <v>950</v>
      </c>
      <c r="S22" s="40" t="s">
        <v>226</v>
      </c>
      <c r="T22" s="40" t="s">
        <v>154</v>
      </c>
      <c r="U22" s="40"/>
      <c r="V22" s="40"/>
      <c r="W22" s="40" t="s">
        <v>348</v>
      </c>
      <c r="X22" s="53">
        <v>45873.01458333333</v>
      </c>
      <c r="Y22" s="40"/>
      <c r="Z22" s="40"/>
      <c r="AA22" s="40"/>
      <c r="AB22" t="str">
        <f>IF(LEFT(Jira__325[[#This Row],[Resumen]],3)="POS","POS",IF(LEFT(Jira__325[[#This Row],[Resumen]],3)="BOT","BOT",""))</f>
        <v>POS</v>
      </c>
      <c r="AC22" s="9" t="s">
        <v>163</v>
      </c>
      <c r="AE22" s="22" t="str" cm="1">
        <f t="array" ref="AE22">_xlfn.IFS(OR(COUNTIF(P22:V22,Categorías!#REF!)&gt;0, COUNTIF(P22:V22,Categorías!#REF!)&gt;0), "Sprint 21",OR(COUNTIF(P22:V22,Categorías!#REF!)&gt;0, COUNTIF(P22:V22,Categorías!#REF!)&gt;0, COUNTIF(P22:V22,Categorías!#REF!)&gt;0), "Sprint 20",OR(COUNTIF(P22:V22,Categorías!#REF!)&gt;0, COUNTIF(P22:V22,Categorías!#REF!)&gt;0, COUNTIF(P22:V22,Categorías!#REF!)&gt;0), "Sprint 19",OR(COUNTIF(P22:V22,Categorías!#REF!)&gt;0, COUNTIF(P22:V22,Categorías!#REF!)&gt;0, COUNTIF(P22:V22,Categorías!#REF!)&gt;0), "Sprint 18",OR(COUNTIF(P22:V22,Categorías!#REF!)&gt;0, COUNTIF(P22:V22,Categorías!#REF!)&gt;0, COUNTIF(P22:V22,Categorías!#REF!)&gt;0, COUNTIF(P22:V22,Categorías!#REF!)&gt;0), "Sprint 17",OR(COUNTIF(P22:V22,Categorías!#REF!)&gt;0, COUNTIF(P22:V22,Categorías!#REF!)&gt;0, COUNTIF(P22:V22,Categorías!#REF!)&gt;0, COUNTIF(P22:V22,Categorías!#REF!)&gt;0), "Sprint 16", OR(COUNTIF(P22:V22,Categorías!#REF!)&gt;0, COUNTIF(P22:V22,Categorías!#REF!)&gt;0, COUNTIF(P22:V22,Categorías!#REF!)&gt;0, COUNTIF(P22:V22,Categorías!#REF!)&gt;0), "Sprint 16",TRUE, "")</f>
        <v/>
      </c>
      <c r="AF2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22" t="str" cm="1">
        <f t="array" ref="AG2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22" s="22" t="str" cm="1">
        <f t="array" ref="AH22">_xlfn.IFS(COUNTIF(P22:V22, Categorías!$A$2)&gt;0, "Funcional", COUNTIF(P22:V22, Categorías!$A$3)&gt;0, "Configuración", COUNTIF(P22:V22, Categorías!$A$4)&gt;0, "Look&amp;Feel", COUNTIF(P22:V22, Categorías!$A$5)&gt;0, "Integración", COUNTIF(P22:V22, Categorías!$A$6)&gt;0, "Contenido/Datos", COUNTIF(P22:V22, Categorías!$A$7)&gt;0, "Eventos_Cosmos", COUNTIF(P22:V22, Categorías!$A$8)&gt;0, "Eventos_iOT", COUNTIF(P22:V22, Categorías!$A$9)&gt;0, "Eventos_Fabric", TRUE, "No encontrado")</f>
        <v>Funcional</v>
      </c>
    </row>
    <row r="23" spans="1:34" ht="29.25">
      <c r="A23" s="40" t="s">
        <v>128</v>
      </c>
      <c r="B23" s="40" t="s">
        <v>990</v>
      </c>
      <c r="C23" s="40">
        <v>83010</v>
      </c>
      <c r="D23" s="40" t="s">
        <v>991</v>
      </c>
      <c r="E23" s="40">
        <v>87100</v>
      </c>
      <c r="F23" s="40" t="s">
        <v>1039</v>
      </c>
      <c r="G23" s="40" t="s">
        <v>1040</v>
      </c>
      <c r="H23" s="40" t="s">
        <v>37</v>
      </c>
      <c r="I23" s="40" t="s">
        <v>26</v>
      </c>
      <c r="J23" s="40" t="s">
        <v>753</v>
      </c>
      <c r="K23" s="40" t="s">
        <v>1041</v>
      </c>
      <c r="L23" s="40"/>
      <c r="M23" s="40"/>
      <c r="N23" s="40"/>
      <c r="O23" s="40"/>
      <c r="P23" s="40" t="s">
        <v>803</v>
      </c>
      <c r="Q23" s="40" t="s">
        <v>139</v>
      </c>
      <c r="R23" s="40" t="s">
        <v>950</v>
      </c>
      <c r="S23" s="40" t="s">
        <v>226</v>
      </c>
      <c r="T23" s="40" t="s">
        <v>154</v>
      </c>
      <c r="U23" s="40"/>
      <c r="V23" s="40"/>
      <c r="W23" s="40" t="s">
        <v>348</v>
      </c>
      <c r="X23" s="53">
        <v>45873.012499999997</v>
      </c>
      <c r="Y23" s="40" t="s">
        <v>760</v>
      </c>
      <c r="Z23" s="40"/>
      <c r="AA23" s="40"/>
      <c r="AB23" t="str">
        <f>IF(LEFT(Jira__325[[#This Row],[Resumen]],3)="POS","POS",IF(LEFT(Jira__325[[#This Row],[Resumen]],3)="BOT","BOT",""))</f>
        <v>POS</v>
      </c>
      <c r="AC23" s="9" t="s">
        <v>163</v>
      </c>
      <c r="AE23" s="22" t="str" cm="1">
        <f t="array" ref="AE23">_xlfn.IFS(OR(COUNTIF(P23:V23,Categorías!#REF!)&gt;0, COUNTIF(P23:V23,Categorías!#REF!)&gt;0), "Sprint 21",OR(COUNTIF(P23:V23,Categorías!#REF!)&gt;0, COUNTIF(P23:V23,Categorías!#REF!)&gt;0, COUNTIF(P23:V23,Categorías!#REF!)&gt;0), "Sprint 20",OR(COUNTIF(P23:V23,Categorías!#REF!)&gt;0, COUNTIF(P23:V23,Categorías!#REF!)&gt;0, COUNTIF(P23:V23,Categorías!#REF!)&gt;0), "Sprint 19",OR(COUNTIF(P23:V23,Categorías!#REF!)&gt;0, COUNTIF(P23:V23,Categorías!#REF!)&gt;0, COUNTIF(P23:V23,Categorías!#REF!)&gt;0), "Sprint 18",OR(COUNTIF(P23:V23,Categorías!#REF!)&gt;0, COUNTIF(P23:V23,Categorías!#REF!)&gt;0, COUNTIF(P23:V23,Categorías!#REF!)&gt;0, COUNTIF(P23:V23,Categorías!#REF!)&gt;0), "Sprint 17",OR(COUNTIF(P23:V23,Categorías!#REF!)&gt;0, COUNTIF(P23:V23,Categorías!#REF!)&gt;0, COUNTIF(P23:V23,Categorías!#REF!)&gt;0, COUNTIF(P23:V23,Categorías!#REF!)&gt;0), "Sprint 16", OR(COUNTIF(P23:V23,Categorías!#REF!)&gt;0, COUNTIF(P23:V23,Categorías!#REF!)&gt;0, COUNTIF(P23:V23,Categorías!#REF!)&gt;0, COUNTIF(P23:V23,Categorías!#REF!)&gt;0), "Sprint 16",TRUE, "")</f>
        <v/>
      </c>
      <c r="AF2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23" t="str" cm="1">
        <f t="array" ref="AG2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23" s="22" t="str" cm="1">
        <f t="array" ref="AH23">_xlfn.IFS(COUNTIF(P23:V23, Categorías!$A$2)&gt;0, "Funcional", COUNTIF(P23:V23, Categorías!$A$3)&gt;0, "Configuración", COUNTIF(P23:V23, Categorías!$A$4)&gt;0, "Look&amp;Feel", COUNTIF(P23:V23, Categorías!$A$5)&gt;0, "Integración", COUNTIF(P23:V23, Categorías!$A$6)&gt;0, "Contenido/Datos", COUNTIF(P23:V23, Categorías!$A$7)&gt;0, "Eventos_Cosmos", COUNTIF(P23:V23, Categorías!$A$8)&gt;0, "Eventos_iOT", COUNTIF(P23:V23, Categorías!$A$9)&gt;0, "Eventos_Fabric", TRUE, "No encontrado")</f>
        <v>Funcional</v>
      </c>
    </row>
    <row r="24" spans="1:34" ht="29.25">
      <c r="A24" s="40" t="s">
        <v>128</v>
      </c>
      <c r="B24" s="40" t="s">
        <v>992</v>
      </c>
      <c r="C24" s="40">
        <v>83006</v>
      </c>
      <c r="D24" s="40" t="s">
        <v>993</v>
      </c>
      <c r="E24" s="40">
        <v>87100</v>
      </c>
      <c r="F24" s="40" t="s">
        <v>1039</v>
      </c>
      <c r="G24" s="40" t="s">
        <v>1040</v>
      </c>
      <c r="H24" s="40" t="s">
        <v>37</v>
      </c>
      <c r="I24" s="40" t="s">
        <v>26</v>
      </c>
      <c r="J24" s="40" t="s">
        <v>866</v>
      </c>
      <c r="K24" s="40" t="s">
        <v>802</v>
      </c>
      <c r="L24" s="40" t="s">
        <v>1041</v>
      </c>
      <c r="M24" s="40"/>
      <c r="N24" s="40"/>
      <c r="O24" s="40"/>
      <c r="P24" s="40" t="s">
        <v>803</v>
      </c>
      <c r="Q24" s="40" t="s">
        <v>139</v>
      </c>
      <c r="R24" s="40" t="s">
        <v>950</v>
      </c>
      <c r="S24" s="40" t="s">
        <v>226</v>
      </c>
      <c r="T24" s="40" t="s">
        <v>154</v>
      </c>
      <c r="U24" s="40"/>
      <c r="V24" s="40"/>
      <c r="W24" s="40" t="s">
        <v>348</v>
      </c>
      <c r="X24" s="53">
        <v>45872.991666666669</v>
      </c>
      <c r="Y24" s="40" t="s">
        <v>806</v>
      </c>
      <c r="Z24" s="40"/>
      <c r="AA24" s="40"/>
      <c r="AB24" t="str">
        <f>IF(LEFT(Jira__325[[#This Row],[Resumen]],3)="POS","POS",IF(LEFT(Jira__325[[#This Row],[Resumen]],3)="BOT","BOT",""))</f>
        <v>POS</v>
      </c>
      <c r="AC24" s="9" t="s">
        <v>163</v>
      </c>
      <c r="AE24" s="22" t="str" cm="1">
        <f t="array" ref="AE24">_xlfn.IFS(OR(COUNTIF(P24:V24,Categorías!#REF!)&gt;0, COUNTIF(P24:V24,Categorías!#REF!)&gt;0), "Sprint 21",OR(COUNTIF(P24:V24,Categorías!#REF!)&gt;0, COUNTIF(P24:V24,Categorías!#REF!)&gt;0, COUNTIF(P24:V24,Categorías!#REF!)&gt;0), "Sprint 20",OR(COUNTIF(P24:V24,Categorías!#REF!)&gt;0, COUNTIF(P24:V24,Categorías!#REF!)&gt;0, COUNTIF(P24:V24,Categorías!#REF!)&gt;0), "Sprint 19",OR(COUNTIF(P24:V24,Categorías!#REF!)&gt;0, COUNTIF(P24:V24,Categorías!#REF!)&gt;0, COUNTIF(P24:V24,Categorías!#REF!)&gt;0), "Sprint 18",OR(COUNTIF(P24:V24,Categorías!#REF!)&gt;0, COUNTIF(P24:V24,Categorías!#REF!)&gt;0, COUNTIF(P24:V24,Categorías!#REF!)&gt;0, COUNTIF(P24:V24,Categorías!#REF!)&gt;0), "Sprint 17",OR(COUNTIF(P24:V24,Categorías!#REF!)&gt;0, COUNTIF(P24:V24,Categorías!#REF!)&gt;0, COUNTIF(P24:V24,Categorías!#REF!)&gt;0, COUNTIF(P24:V24,Categorías!#REF!)&gt;0), "Sprint 16", OR(COUNTIF(P24:V24,Categorías!#REF!)&gt;0, COUNTIF(P24:V24,Categorías!#REF!)&gt;0, COUNTIF(P24:V24,Categorías!#REF!)&gt;0, COUNTIF(P24:V24,Categorías!#REF!)&gt;0), "Sprint 16",TRUE, "")</f>
        <v/>
      </c>
      <c r="AF2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24" t="str" cm="1">
        <f t="array" ref="AG2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24" s="22" t="str" cm="1">
        <f t="array" ref="AH24">_xlfn.IFS(COUNTIF(P24:V24, Categorías!$A$2)&gt;0, "Funcional", COUNTIF(P24:V24, Categorías!$A$3)&gt;0, "Configuración", COUNTIF(P24:V24, Categorías!$A$4)&gt;0, "Look&amp;Feel", COUNTIF(P24:V24, Categorías!$A$5)&gt;0, "Integración", COUNTIF(P24:V24, Categorías!$A$6)&gt;0, "Contenido/Datos", COUNTIF(P24:V24, Categorías!$A$7)&gt;0, "Eventos_Cosmos", COUNTIF(P24:V24, Categorías!$A$8)&gt;0, "Eventos_iOT", COUNTIF(P24:V24, Categorías!$A$9)&gt;0, "Eventos_Fabric", TRUE, "No encontrado")</f>
        <v>Funcional</v>
      </c>
    </row>
    <row r="25" spans="1:34" ht="29.25">
      <c r="A25" s="40" t="s">
        <v>128</v>
      </c>
      <c r="B25" s="40" t="s">
        <v>994</v>
      </c>
      <c r="C25" s="40">
        <v>82992</v>
      </c>
      <c r="D25" s="40" t="s">
        <v>995</v>
      </c>
      <c r="E25" s="40">
        <v>87100</v>
      </c>
      <c r="F25" s="40" t="s">
        <v>1039</v>
      </c>
      <c r="G25" s="40" t="s">
        <v>1040</v>
      </c>
      <c r="H25" s="40" t="s">
        <v>37</v>
      </c>
      <c r="I25" s="40" t="s">
        <v>26</v>
      </c>
      <c r="J25" s="40" t="s">
        <v>1041</v>
      </c>
      <c r="K25" s="40"/>
      <c r="L25" s="40"/>
      <c r="M25" s="40"/>
      <c r="N25" s="40"/>
      <c r="O25" s="40"/>
      <c r="P25" s="40" t="s">
        <v>803</v>
      </c>
      <c r="Q25" s="40" t="s">
        <v>132</v>
      </c>
      <c r="R25" s="40" t="s">
        <v>950</v>
      </c>
      <c r="S25" s="40" t="s">
        <v>226</v>
      </c>
      <c r="T25" s="40" t="s">
        <v>154</v>
      </c>
      <c r="U25" s="40"/>
      <c r="V25" s="40"/>
      <c r="W25" s="40" t="s">
        <v>348</v>
      </c>
      <c r="X25" s="53">
        <v>45872.974305555559</v>
      </c>
      <c r="Y25" s="40" t="s">
        <v>805</v>
      </c>
      <c r="Z25" s="40"/>
      <c r="AA25" s="40"/>
      <c r="AB25" t="str">
        <f>IF(LEFT(Jira__325[[#This Row],[Resumen]],3)="POS","POS",IF(LEFT(Jira__325[[#This Row],[Resumen]],3)="BOT","BOT",""))</f>
        <v>POS</v>
      </c>
      <c r="AC25" s="9" t="s">
        <v>163</v>
      </c>
      <c r="AE25" s="22" t="str" cm="1">
        <f t="array" ref="AE25">_xlfn.IFS(OR(COUNTIF(P25:V25,Categorías!#REF!)&gt;0, COUNTIF(P25:V25,Categorías!#REF!)&gt;0), "Sprint 21",OR(COUNTIF(P25:V25,Categorías!#REF!)&gt;0, COUNTIF(P25:V25,Categorías!#REF!)&gt;0, COUNTIF(P25:V25,Categorías!#REF!)&gt;0), "Sprint 20",OR(COUNTIF(P25:V25,Categorías!#REF!)&gt;0, COUNTIF(P25:V25,Categorías!#REF!)&gt;0, COUNTIF(P25:V25,Categorías!#REF!)&gt;0), "Sprint 19",OR(COUNTIF(P25:V25,Categorías!#REF!)&gt;0, COUNTIF(P25:V25,Categorías!#REF!)&gt;0, COUNTIF(P25:V25,Categorías!#REF!)&gt;0), "Sprint 18",OR(COUNTIF(P25:V25,Categorías!#REF!)&gt;0, COUNTIF(P25:V25,Categorías!#REF!)&gt;0, COUNTIF(P25:V25,Categorías!#REF!)&gt;0, COUNTIF(P25:V25,Categorías!#REF!)&gt;0), "Sprint 17",OR(COUNTIF(P25:V25,Categorías!#REF!)&gt;0, COUNTIF(P25:V25,Categorías!#REF!)&gt;0, COUNTIF(P25:V25,Categorías!#REF!)&gt;0, COUNTIF(P25:V25,Categorías!#REF!)&gt;0), "Sprint 16", OR(COUNTIF(P25:V25,Categorías!#REF!)&gt;0, COUNTIF(P25:V25,Categorías!#REF!)&gt;0, COUNTIF(P25:V25,Categorías!#REF!)&gt;0, COUNTIF(P25:V25,Categorías!#REF!)&gt;0), "Sprint 16",TRUE, "")</f>
        <v/>
      </c>
      <c r="AF2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25" t="str" cm="1">
        <f t="array" ref="AG2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25" s="22" t="str" cm="1">
        <f t="array" ref="AH25">_xlfn.IFS(COUNTIF(P25:V25, Categorías!$A$2)&gt;0, "Funcional", COUNTIF(P25:V25, Categorías!$A$3)&gt;0, "Configuración", COUNTIF(P25:V25, Categorías!$A$4)&gt;0, "Look&amp;Feel", COUNTIF(P25:V25, Categorías!$A$5)&gt;0, "Integración", COUNTIF(P25:V25, Categorías!$A$6)&gt;0, "Contenido/Datos", COUNTIF(P25:V25, Categorías!$A$7)&gt;0, "Eventos_Cosmos", COUNTIF(P25:V25, Categorías!$A$8)&gt;0, "Eventos_iOT", COUNTIF(P25:V25, Categorías!$A$9)&gt;0, "Eventos_Fabric", TRUE, "No encontrado")</f>
        <v>Look&amp;Feel</v>
      </c>
    </row>
    <row r="26" spans="1:34" ht="29.25">
      <c r="A26" s="40" t="s">
        <v>128</v>
      </c>
      <c r="B26" s="40" t="s">
        <v>996</v>
      </c>
      <c r="C26" s="40">
        <v>82987</v>
      </c>
      <c r="D26" s="40" t="s">
        <v>997</v>
      </c>
      <c r="E26" s="40">
        <v>87100</v>
      </c>
      <c r="F26" s="40" t="s">
        <v>1039</v>
      </c>
      <c r="G26" s="40" t="s">
        <v>1040</v>
      </c>
      <c r="H26" s="40" t="s">
        <v>37</v>
      </c>
      <c r="I26" s="40" t="s">
        <v>26</v>
      </c>
      <c r="J26" s="40" t="s">
        <v>917</v>
      </c>
      <c r="K26" s="40" t="s">
        <v>866</v>
      </c>
      <c r="L26" s="40" t="s">
        <v>802</v>
      </c>
      <c r="M26" s="40" t="s">
        <v>1041</v>
      </c>
      <c r="N26" s="40"/>
      <c r="O26" s="40"/>
      <c r="P26" s="40" t="s">
        <v>139</v>
      </c>
      <c r="Q26" s="40" t="s">
        <v>835</v>
      </c>
      <c r="R26" s="40" t="s">
        <v>950</v>
      </c>
      <c r="S26" s="40" t="s">
        <v>226</v>
      </c>
      <c r="T26" s="40" t="s">
        <v>154</v>
      </c>
      <c r="U26" s="40"/>
      <c r="V26" s="40"/>
      <c r="W26" s="40" t="s">
        <v>348</v>
      </c>
      <c r="X26" s="53">
        <v>45872.969444444447</v>
      </c>
      <c r="Y26" s="40" t="s">
        <v>760</v>
      </c>
      <c r="Z26" s="40"/>
      <c r="AA26" s="40"/>
      <c r="AB26" t="str">
        <f>IF(LEFT(Jira__325[[#This Row],[Resumen]],3)="POS","POS",IF(LEFT(Jira__325[[#This Row],[Resumen]],3)="BOT","BOT",""))</f>
        <v>POS</v>
      </c>
      <c r="AC26" s="9" t="s">
        <v>163</v>
      </c>
      <c r="AE26" s="22" t="str" cm="1">
        <f t="array" ref="AE26">_xlfn.IFS(OR(COUNTIF(P26:V26,Categorías!#REF!)&gt;0, COUNTIF(P26:V26,Categorías!#REF!)&gt;0), "Sprint 21",OR(COUNTIF(P26:V26,Categorías!#REF!)&gt;0, COUNTIF(P26:V26,Categorías!#REF!)&gt;0, COUNTIF(P26:V26,Categorías!#REF!)&gt;0), "Sprint 20",OR(COUNTIF(P26:V26,Categorías!#REF!)&gt;0, COUNTIF(P26:V26,Categorías!#REF!)&gt;0, COUNTIF(P26:V26,Categorías!#REF!)&gt;0), "Sprint 19",OR(COUNTIF(P26:V26,Categorías!#REF!)&gt;0, COUNTIF(P26:V26,Categorías!#REF!)&gt;0, COUNTIF(P26:V26,Categorías!#REF!)&gt;0), "Sprint 18",OR(COUNTIF(P26:V26,Categorías!#REF!)&gt;0, COUNTIF(P26:V26,Categorías!#REF!)&gt;0, COUNTIF(P26:V26,Categorías!#REF!)&gt;0, COUNTIF(P26:V26,Categorías!#REF!)&gt;0), "Sprint 17",OR(COUNTIF(P26:V26,Categorías!#REF!)&gt;0, COUNTIF(P26:V26,Categorías!#REF!)&gt;0, COUNTIF(P26:V26,Categorías!#REF!)&gt;0, COUNTIF(P26:V26,Categorías!#REF!)&gt;0), "Sprint 16", OR(COUNTIF(P26:V26,Categorías!#REF!)&gt;0, COUNTIF(P26:V26,Categorías!#REF!)&gt;0, COUNTIF(P26:V26,Categorías!#REF!)&gt;0, COUNTIF(P26:V26,Categorías!#REF!)&gt;0), "Sprint 16",TRUE, "")</f>
        <v/>
      </c>
      <c r="AF2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26" t="str" cm="1">
        <f t="array" ref="AG2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26" s="22" t="str" cm="1">
        <f t="array" ref="AH26">_xlfn.IFS(COUNTIF(P26:V26, Categorías!$A$2)&gt;0, "Funcional", COUNTIF(P26:V26, Categorías!$A$3)&gt;0, "Configuración", COUNTIF(P26:V26, Categorías!$A$4)&gt;0, "Look&amp;Feel", COUNTIF(P26:V26, Categorías!$A$5)&gt;0, "Integración", COUNTIF(P26:V26, Categorías!$A$6)&gt;0, "Contenido/Datos", COUNTIF(P26:V26, Categorías!$A$7)&gt;0, "Eventos_Cosmos", COUNTIF(P26:V26, Categorías!$A$8)&gt;0, "Eventos_iOT", COUNTIF(P26:V26, Categorías!$A$9)&gt;0, "Eventos_Fabric", TRUE, "No encontrado")</f>
        <v>Funcional</v>
      </c>
    </row>
    <row r="27" spans="1:34" ht="29.25">
      <c r="A27" s="40" t="s">
        <v>128</v>
      </c>
      <c r="B27" s="40" t="s">
        <v>998</v>
      </c>
      <c r="C27" s="40">
        <v>82982</v>
      </c>
      <c r="D27" s="40" t="s">
        <v>999</v>
      </c>
      <c r="E27" s="40">
        <v>87100</v>
      </c>
      <c r="F27" s="40" t="s">
        <v>1039</v>
      </c>
      <c r="G27" s="40" t="s">
        <v>1040</v>
      </c>
      <c r="H27" s="40" t="s">
        <v>37</v>
      </c>
      <c r="I27" s="40" t="s">
        <v>24</v>
      </c>
      <c r="J27" s="40"/>
      <c r="K27" s="40"/>
      <c r="L27" s="40"/>
      <c r="M27" s="40"/>
      <c r="N27" s="40"/>
      <c r="O27" s="40"/>
      <c r="P27" s="40" t="s">
        <v>803</v>
      </c>
      <c r="Q27" s="40" t="s">
        <v>139</v>
      </c>
      <c r="R27" s="40" t="s">
        <v>950</v>
      </c>
      <c r="S27" s="40" t="s">
        <v>226</v>
      </c>
      <c r="T27" s="40" t="s">
        <v>154</v>
      </c>
      <c r="U27" s="40"/>
      <c r="V27" s="40"/>
      <c r="W27" s="40" t="s">
        <v>348</v>
      </c>
      <c r="X27" s="53">
        <v>45872.95208333333</v>
      </c>
      <c r="Y27" s="40" t="s">
        <v>806</v>
      </c>
      <c r="Z27" s="40"/>
      <c r="AA27" s="40"/>
      <c r="AB27" t="str">
        <f>IF(LEFT(Jira__325[[#This Row],[Resumen]],3)="POS","POS",IF(LEFT(Jira__325[[#This Row],[Resumen]],3)="BOT","BOT",""))</f>
        <v>POS</v>
      </c>
      <c r="AC27" s="12" t="s">
        <v>184</v>
      </c>
      <c r="AE27" s="22" t="str" cm="1">
        <f t="array" ref="AE27">_xlfn.IFS(OR(COUNTIF(P27:V27,Categorías!#REF!)&gt;0, COUNTIF(P27:V27,Categorías!#REF!)&gt;0), "Sprint 21",OR(COUNTIF(P27:V27,Categorías!#REF!)&gt;0, COUNTIF(P27:V27,Categorías!#REF!)&gt;0, COUNTIF(P27:V27,Categorías!#REF!)&gt;0), "Sprint 20",OR(COUNTIF(P27:V27,Categorías!#REF!)&gt;0, COUNTIF(P27:V27,Categorías!#REF!)&gt;0, COUNTIF(P27:V27,Categorías!#REF!)&gt;0), "Sprint 19",OR(COUNTIF(P27:V27,Categorías!#REF!)&gt;0, COUNTIF(P27:V27,Categorías!#REF!)&gt;0, COUNTIF(P27:V27,Categorías!#REF!)&gt;0), "Sprint 18",OR(COUNTIF(P27:V27,Categorías!#REF!)&gt;0, COUNTIF(P27:V27,Categorías!#REF!)&gt;0, COUNTIF(P27:V27,Categorías!#REF!)&gt;0, COUNTIF(P27:V27,Categorías!#REF!)&gt;0), "Sprint 17",OR(COUNTIF(P27:V27,Categorías!#REF!)&gt;0, COUNTIF(P27:V27,Categorías!#REF!)&gt;0, COUNTIF(P27:V27,Categorías!#REF!)&gt;0, COUNTIF(P27:V27,Categorías!#REF!)&gt;0), "Sprint 16", OR(COUNTIF(P27:V27,Categorías!#REF!)&gt;0, COUNTIF(P27:V27,Categorías!#REF!)&gt;0, COUNTIF(P27:V27,Categorías!#REF!)&gt;0, COUNTIF(P27:V27,Categorías!#REF!)&gt;0), "Sprint 16",TRUE, "")</f>
        <v/>
      </c>
      <c r="AF2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27" t="str" cm="1">
        <f t="array" ref="AG2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27" s="22" t="str" cm="1">
        <f t="array" ref="AH27">_xlfn.IFS(COUNTIF(P27:V27, Categorías!$A$2)&gt;0, "Funcional", COUNTIF(P27:V27, Categorías!$A$3)&gt;0, "Configuración", COUNTIF(P27:V27, Categorías!$A$4)&gt;0, "Look&amp;Feel", COUNTIF(P27:V27, Categorías!$A$5)&gt;0, "Integración", COUNTIF(P27:V27, Categorías!$A$6)&gt;0, "Contenido/Datos", COUNTIF(P27:V27, Categorías!$A$7)&gt;0, "Eventos_Cosmos", COUNTIF(P27:V27, Categorías!$A$8)&gt;0, "Eventos_iOT", COUNTIF(P27:V27, Categorías!$A$9)&gt;0, "Eventos_Fabric", TRUE, "No encontrado")</f>
        <v>Funcional</v>
      </c>
    </row>
    <row r="28" spans="1:34" ht="29.25">
      <c r="A28" s="40" t="s">
        <v>128</v>
      </c>
      <c r="B28" s="40" t="s">
        <v>1000</v>
      </c>
      <c r="C28" s="40">
        <v>82968</v>
      </c>
      <c r="D28" s="40" t="s">
        <v>1001</v>
      </c>
      <c r="E28" s="40">
        <v>87100</v>
      </c>
      <c r="F28" s="40" t="s">
        <v>1039</v>
      </c>
      <c r="G28" s="40" t="s">
        <v>1040</v>
      </c>
      <c r="H28" s="40" t="s">
        <v>37</v>
      </c>
      <c r="I28" s="40" t="s">
        <v>27</v>
      </c>
      <c r="J28" s="40" t="s">
        <v>1041</v>
      </c>
      <c r="K28" s="40"/>
      <c r="L28" s="40"/>
      <c r="M28" s="40"/>
      <c r="N28" s="40"/>
      <c r="O28" s="40"/>
      <c r="P28" s="40" t="s">
        <v>803</v>
      </c>
      <c r="Q28" s="40" t="s">
        <v>132</v>
      </c>
      <c r="R28" s="40" t="s">
        <v>950</v>
      </c>
      <c r="S28" s="40" t="s">
        <v>204</v>
      </c>
      <c r="T28" s="40" t="s">
        <v>154</v>
      </c>
      <c r="U28" s="40"/>
      <c r="V28" s="40"/>
      <c r="W28" s="40" t="s">
        <v>348</v>
      </c>
      <c r="X28" s="53">
        <v>45872.915277777778</v>
      </c>
      <c r="Y28" s="40" t="s">
        <v>805</v>
      </c>
      <c r="Z28" s="40"/>
      <c r="AA28" s="40"/>
      <c r="AB28" t="str">
        <f>IF(LEFT(Jira__325[[#This Row],[Resumen]],3)="POS","POS",IF(LEFT(Jira__325[[#This Row],[Resumen]],3)="BOT","BOT",""))</f>
        <v>POS</v>
      </c>
      <c r="AC28" s="9" t="s">
        <v>218</v>
      </c>
      <c r="AE28" s="22" t="str" cm="1">
        <f t="array" ref="AE28">_xlfn.IFS(OR(COUNTIF(P28:V28,Categorías!#REF!)&gt;0, COUNTIF(P28:V28,Categorías!#REF!)&gt;0), "Sprint 21",OR(COUNTIF(P28:V28,Categorías!#REF!)&gt;0, COUNTIF(P28:V28,Categorías!#REF!)&gt;0, COUNTIF(P28:V28,Categorías!#REF!)&gt;0), "Sprint 20",OR(COUNTIF(P28:V28,Categorías!#REF!)&gt;0, COUNTIF(P28:V28,Categorías!#REF!)&gt;0, COUNTIF(P28:V28,Categorías!#REF!)&gt;0), "Sprint 19",OR(COUNTIF(P28:V28,Categorías!#REF!)&gt;0, COUNTIF(P28:V28,Categorías!#REF!)&gt;0, COUNTIF(P28:V28,Categorías!#REF!)&gt;0), "Sprint 18",OR(COUNTIF(P28:V28,Categorías!#REF!)&gt;0, COUNTIF(P28:V28,Categorías!#REF!)&gt;0, COUNTIF(P28:V28,Categorías!#REF!)&gt;0, COUNTIF(P28:V28,Categorías!#REF!)&gt;0), "Sprint 17",OR(COUNTIF(P28:V28,Categorías!#REF!)&gt;0, COUNTIF(P28:V28,Categorías!#REF!)&gt;0, COUNTIF(P28:V28,Categorías!#REF!)&gt;0, COUNTIF(P28:V28,Categorías!#REF!)&gt;0), "Sprint 16", OR(COUNTIF(P28:V28,Categorías!#REF!)&gt;0, COUNTIF(P28:V28,Categorías!#REF!)&gt;0, COUNTIF(P28:V28,Categorías!#REF!)&gt;0, COUNTIF(P28:V28,Categorías!#REF!)&gt;0), "Sprint 16",TRUE, "")</f>
        <v/>
      </c>
      <c r="AF2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28" t="str" cm="1">
        <f t="array" ref="AG2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28" s="22" t="str" cm="1">
        <f t="array" ref="AH28">_xlfn.IFS(COUNTIF(P28:V28, Categorías!$A$2)&gt;0, "Funcional", COUNTIF(P28:V28, Categorías!$A$3)&gt;0, "Configuración", COUNTIF(P28:V28, Categorías!$A$4)&gt;0, "Look&amp;Feel", COUNTIF(P28:V28, Categorías!$A$5)&gt;0, "Integración", COUNTIF(P28:V28, Categorías!$A$6)&gt;0, "Contenido/Datos", COUNTIF(P28:V28, Categorías!$A$7)&gt;0, "Eventos_Cosmos", COUNTIF(P28:V28, Categorías!$A$8)&gt;0, "Eventos_iOT", COUNTIF(P28:V28, Categorías!$A$9)&gt;0, "Eventos_Fabric", TRUE, "No encontrado")</f>
        <v>Look&amp;Feel</v>
      </c>
    </row>
    <row r="29" spans="1:34" ht="29.25">
      <c r="A29" s="40" t="s">
        <v>128</v>
      </c>
      <c r="B29" s="40" t="s">
        <v>1002</v>
      </c>
      <c r="C29" s="40">
        <v>82878</v>
      </c>
      <c r="D29" s="40" t="s">
        <v>1003</v>
      </c>
      <c r="E29" s="40">
        <v>87100</v>
      </c>
      <c r="F29" s="40" t="s">
        <v>1039</v>
      </c>
      <c r="G29" s="40" t="s">
        <v>1040</v>
      </c>
      <c r="H29" s="40" t="s">
        <v>37</v>
      </c>
      <c r="I29" s="40" t="s">
        <v>26</v>
      </c>
      <c r="J29" s="40" t="s">
        <v>917</v>
      </c>
      <c r="K29" s="40" t="s">
        <v>866</v>
      </c>
      <c r="L29" s="40" t="s">
        <v>802</v>
      </c>
      <c r="M29" s="40" t="s">
        <v>1041</v>
      </c>
      <c r="N29" s="40"/>
      <c r="O29" s="40"/>
      <c r="P29" s="40" t="s">
        <v>139</v>
      </c>
      <c r="Q29" s="40" t="s">
        <v>950</v>
      </c>
      <c r="R29" s="40" t="s">
        <v>204</v>
      </c>
      <c r="S29" s="40" t="s">
        <v>912</v>
      </c>
      <c r="T29" s="40" t="s">
        <v>154</v>
      </c>
      <c r="U29" s="40"/>
      <c r="V29" s="40"/>
      <c r="W29" s="40" t="s">
        <v>348</v>
      </c>
      <c r="X29" s="53">
        <v>45872.51666666667</v>
      </c>
      <c r="Y29" s="40" t="s">
        <v>805</v>
      </c>
      <c r="Z29" s="40" t="s">
        <v>806</v>
      </c>
      <c r="AA29" s="40"/>
      <c r="AB29" t="str">
        <f>IF(LEFT(Jira__325[[#This Row],[Resumen]],3)="POS","POS",IF(LEFT(Jira__325[[#This Row],[Resumen]],3)="BOT","BOT",""))</f>
        <v>BOT</v>
      </c>
      <c r="AC29" s="9" t="s">
        <v>221</v>
      </c>
      <c r="AE29" s="22" t="str" cm="1">
        <f t="array" ref="AE29">_xlfn.IFS(OR(COUNTIF(P29:V29,Categorías!#REF!)&gt;0, COUNTIF(P29:V29,Categorías!#REF!)&gt;0), "Sprint 21",OR(COUNTIF(P29:V29,Categorías!#REF!)&gt;0, COUNTIF(P29:V29,Categorías!#REF!)&gt;0, COUNTIF(P29:V29,Categorías!#REF!)&gt;0), "Sprint 20",OR(COUNTIF(P29:V29,Categorías!#REF!)&gt;0, COUNTIF(P29:V29,Categorías!#REF!)&gt;0, COUNTIF(P29:V29,Categorías!#REF!)&gt;0), "Sprint 19",OR(COUNTIF(P29:V29,Categorías!#REF!)&gt;0, COUNTIF(P29:V29,Categorías!#REF!)&gt;0, COUNTIF(P29:V29,Categorías!#REF!)&gt;0), "Sprint 18",OR(COUNTIF(P29:V29,Categorías!#REF!)&gt;0, COUNTIF(P29:V29,Categorías!#REF!)&gt;0, COUNTIF(P29:V29,Categorías!#REF!)&gt;0, COUNTIF(P29:V29,Categorías!#REF!)&gt;0), "Sprint 17",OR(COUNTIF(P29:V29,Categorías!#REF!)&gt;0, COUNTIF(P29:V29,Categorías!#REF!)&gt;0, COUNTIF(P29:V29,Categorías!#REF!)&gt;0, COUNTIF(P29:V29,Categorías!#REF!)&gt;0), "Sprint 16", OR(COUNTIF(P29:V29,Categorías!#REF!)&gt;0, COUNTIF(P29:V29,Categorías!#REF!)&gt;0, COUNTIF(P29:V29,Categorías!#REF!)&gt;0, COUNTIF(P29:V29,Categorías!#REF!)&gt;0), "Sprint 16",TRUE, "")</f>
        <v/>
      </c>
      <c r="AF2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29" t="str" cm="1">
        <f t="array" ref="AG2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29" s="22" t="str" cm="1">
        <f t="array" ref="AH29">_xlfn.IFS(COUNTIF(P29:V29, Categorías!$A$2)&gt;0, "Funcional", COUNTIF(P29:V29, Categorías!$A$3)&gt;0, "Configuración", COUNTIF(P29:V29, Categorías!$A$4)&gt;0, "Look&amp;Feel", COUNTIF(P29:V29, Categorías!$A$5)&gt;0, "Integración", COUNTIF(P29:V29, Categorías!$A$6)&gt;0, "Contenido/Datos", COUNTIF(P29:V29, Categorías!$A$7)&gt;0, "Eventos_Cosmos", COUNTIF(P29:V29, Categorías!$A$8)&gt;0, "Eventos_iOT", COUNTIF(P29:V29, Categorías!$A$9)&gt;0, "Eventos_Fabric", TRUE, "No encontrado")</f>
        <v>Funcional</v>
      </c>
    </row>
    <row r="30" spans="1:34" ht="29.25">
      <c r="A30" s="40" t="s">
        <v>128</v>
      </c>
      <c r="B30" s="40" t="s">
        <v>1004</v>
      </c>
      <c r="C30" s="40">
        <v>82873</v>
      </c>
      <c r="D30" s="40" t="s">
        <v>1005</v>
      </c>
      <c r="E30" s="40">
        <v>87100</v>
      </c>
      <c r="F30" s="40" t="s">
        <v>1039</v>
      </c>
      <c r="G30" s="40" t="s">
        <v>1040</v>
      </c>
      <c r="H30" s="40" t="s">
        <v>37</v>
      </c>
      <c r="I30" s="40" t="s">
        <v>26</v>
      </c>
      <c r="J30" s="40" t="s">
        <v>1006</v>
      </c>
      <c r="K30" s="40" t="s">
        <v>917</v>
      </c>
      <c r="L30" s="40" t="s">
        <v>866</v>
      </c>
      <c r="M30" s="40" t="s">
        <v>802</v>
      </c>
      <c r="N30" s="40" t="s">
        <v>1041</v>
      </c>
      <c r="O30" s="40"/>
      <c r="P30" s="40" t="s">
        <v>139</v>
      </c>
      <c r="Q30" s="40" t="s">
        <v>950</v>
      </c>
      <c r="R30" s="40" t="s">
        <v>204</v>
      </c>
      <c r="S30" s="40" t="s">
        <v>154</v>
      </c>
      <c r="T30" s="40"/>
      <c r="U30" s="40"/>
      <c r="V30" s="40"/>
      <c r="W30" s="40" t="s">
        <v>348</v>
      </c>
      <c r="X30" s="53">
        <v>45872.511111111111</v>
      </c>
      <c r="Y30" s="40" t="s">
        <v>805</v>
      </c>
      <c r="Z30" s="40"/>
      <c r="AA30" s="40"/>
      <c r="AB30" t="str">
        <f>IF(LEFT(Jira__325[[#This Row],[Resumen]],3)="POS","POS",IF(LEFT(Jira__325[[#This Row],[Resumen]],3)="BOT","BOT",""))</f>
        <v>BOT</v>
      </c>
      <c r="AC30" s="9" t="s">
        <v>221</v>
      </c>
      <c r="AE30" s="22" t="str" cm="1">
        <f t="array" ref="AE30">_xlfn.IFS(OR(COUNTIF(P30:V30,Categorías!#REF!)&gt;0, COUNTIF(P30:V30,Categorías!#REF!)&gt;0), "Sprint 21",OR(COUNTIF(P30:V30,Categorías!#REF!)&gt;0, COUNTIF(P30:V30,Categorías!#REF!)&gt;0, COUNTIF(P30:V30,Categorías!#REF!)&gt;0), "Sprint 20",OR(COUNTIF(P30:V30,Categorías!#REF!)&gt;0, COUNTIF(P30:V30,Categorías!#REF!)&gt;0, COUNTIF(P30:V30,Categorías!#REF!)&gt;0), "Sprint 19",OR(COUNTIF(P30:V30,Categorías!#REF!)&gt;0, COUNTIF(P30:V30,Categorías!#REF!)&gt;0, COUNTIF(P30:V30,Categorías!#REF!)&gt;0), "Sprint 18",OR(COUNTIF(P30:V30,Categorías!#REF!)&gt;0, COUNTIF(P30:V30,Categorías!#REF!)&gt;0, COUNTIF(P30:V30,Categorías!#REF!)&gt;0, COUNTIF(P30:V30,Categorías!#REF!)&gt;0), "Sprint 17",OR(COUNTIF(P30:V30,Categorías!#REF!)&gt;0, COUNTIF(P30:V30,Categorías!#REF!)&gt;0, COUNTIF(P30:V30,Categorías!#REF!)&gt;0, COUNTIF(P30:V30,Categorías!#REF!)&gt;0), "Sprint 16", OR(COUNTIF(P30:V30,Categorías!#REF!)&gt;0, COUNTIF(P30:V30,Categorías!#REF!)&gt;0, COUNTIF(P30:V30,Categorías!#REF!)&gt;0, COUNTIF(P30:V30,Categorías!#REF!)&gt;0), "Sprint 16",TRUE, "")</f>
        <v/>
      </c>
      <c r="AF3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30" t="str" cm="1">
        <f t="array" ref="AG3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30" s="22" t="str" cm="1">
        <f t="array" ref="AH30">_xlfn.IFS(COUNTIF(P30:V30, Categorías!$A$2)&gt;0, "Funcional", COUNTIF(P30:V30, Categorías!$A$3)&gt;0, "Configuración", COUNTIF(P30:V30, Categorías!$A$4)&gt;0, "Look&amp;Feel", COUNTIF(P30:V30, Categorías!$A$5)&gt;0, "Integración", COUNTIF(P30:V30, Categorías!$A$6)&gt;0, "Contenido/Datos", COUNTIF(P30:V30, Categorías!$A$7)&gt;0, "Eventos_Cosmos", COUNTIF(P30:V30, Categorías!$A$8)&gt;0, "Eventos_iOT", COUNTIF(P30:V30, Categorías!$A$9)&gt;0, "Eventos_Fabric", TRUE, "No encontrado")</f>
        <v>Funcional</v>
      </c>
    </row>
    <row r="31" spans="1:34" ht="29.25">
      <c r="A31" s="40" t="s">
        <v>128</v>
      </c>
      <c r="B31" s="40" t="s">
        <v>694</v>
      </c>
      <c r="C31" s="40">
        <v>102710</v>
      </c>
      <c r="D31" s="40" t="s">
        <v>695</v>
      </c>
      <c r="E31" s="40">
        <v>87100</v>
      </c>
      <c r="F31" s="40" t="s">
        <v>1039</v>
      </c>
      <c r="G31" s="40" t="s">
        <v>1040</v>
      </c>
      <c r="H31" s="40" t="s">
        <v>37</v>
      </c>
      <c r="I31" s="40" t="s">
        <v>27</v>
      </c>
      <c r="J31" s="40" t="s">
        <v>637</v>
      </c>
      <c r="K31" s="40"/>
      <c r="L31" s="40"/>
      <c r="M31" s="40"/>
      <c r="N31" s="40"/>
      <c r="O31" s="40"/>
      <c r="P31" s="40" t="s">
        <v>490</v>
      </c>
      <c r="Q31" s="40" t="s">
        <v>691</v>
      </c>
      <c r="R31" s="40"/>
      <c r="S31" s="40"/>
      <c r="T31" s="40"/>
      <c r="U31" s="40"/>
      <c r="V31" s="40"/>
      <c r="W31" s="40" t="s">
        <v>261</v>
      </c>
      <c r="X31" s="53">
        <v>45947.709027777775</v>
      </c>
      <c r="Y31" s="40"/>
      <c r="Z31" s="40"/>
      <c r="AA31" s="40"/>
      <c r="AB31" t="str">
        <f>IF(LEFT(Jira__325[[#This Row],[Resumen]],3)="POS","POS",IF(LEFT(Jira__325[[#This Row],[Resumen]],3)="BOT","BOT",""))</f>
        <v/>
      </c>
      <c r="AC31" s="9" t="s">
        <v>159</v>
      </c>
      <c r="AE31" s="22" t="str" cm="1">
        <f t="array" ref="AE31">_xlfn.IFS(OR(COUNTIF(P31:V31,Categorías!#REF!)&gt;0, COUNTIF(P31:V31,Categorías!#REF!)&gt;0), "Sprint 21",OR(COUNTIF(P31:V31,Categorías!#REF!)&gt;0, COUNTIF(P31:V31,Categorías!#REF!)&gt;0, COUNTIF(P31:V31,Categorías!#REF!)&gt;0), "Sprint 20",OR(COUNTIF(P31:V31,Categorías!#REF!)&gt;0, COUNTIF(P31:V31,Categorías!#REF!)&gt;0, COUNTIF(P31:V31,Categorías!#REF!)&gt;0), "Sprint 19",OR(COUNTIF(P31:V31,Categorías!#REF!)&gt;0, COUNTIF(P31:V31,Categorías!#REF!)&gt;0, COUNTIF(P31:V31,Categorías!#REF!)&gt;0), "Sprint 18",OR(COUNTIF(P31:V31,Categorías!#REF!)&gt;0, COUNTIF(P31:V31,Categorías!#REF!)&gt;0, COUNTIF(P31:V31,Categorías!#REF!)&gt;0, COUNTIF(P31:V31,Categorías!#REF!)&gt;0), "Sprint 17",OR(COUNTIF(P31:V31,Categorías!#REF!)&gt;0, COUNTIF(P31:V31,Categorías!#REF!)&gt;0, COUNTIF(P31:V31,Categorías!#REF!)&gt;0, COUNTIF(P31:V31,Categorías!#REF!)&gt;0), "Sprint 16", OR(COUNTIF(P31:V31,Categorías!#REF!)&gt;0, COUNTIF(P31:V31,Categorías!#REF!)&gt;0, COUNTIF(P31:V31,Categorías!#REF!)&gt;0, COUNTIF(P31:V31,Categorías!#REF!)&gt;0), "Sprint 16",TRUE, "")</f>
        <v/>
      </c>
      <c r="AF3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1" t="str" cm="1">
        <f t="array" ref="AG3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1" s="22" t="str" cm="1">
        <f t="array" ref="AH31">_xlfn.IFS(COUNTIF(P31:V31, Categorías!$A$2)&gt;0, "Funcional", COUNTIF(P31:V31, Categorías!$A$3)&gt;0, "Configuración", COUNTIF(P31:V31, Categorías!$A$4)&gt;0, "Look&amp;Feel", COUNTIF(P31:V31, Categorías!$A$5)&gt;0, "Integración", COUNTIF(P31:V31, Categorías!$A$6)&gt;0, "Contenido/Datos", COUNTIF(P31:V31, Categorías!$A$7)&gt;0, "Eventos_Cosmos", COUNTIF(P31:V31, Categorías!$A$8)&gt;0, "Eventos_iOT", COUNTIF(P31:V31, Categorías!$A$9)&gt;0, "Eventos_Fabric", TRUE, "No encontrado")</f>
        <v>Contenido/Datos</v>
      </c>
    </row>
    <row r="32" spans="1:34" ht="29.25">
      <c r="A32" s="40" t="s">
        <v>128</v>
      </c>
      <c r="B32" s="40" t="s">
        <v>696</v>
      </c>
      <c r="C32" s="40">
        <v>102674</v>
      </c>
      <c r="D32" s="40" t="s">
        <v>697</v>
      </c>
      <c r="E32" s="40">
        <v>87100</v>
      </c>
      <c r="F32" s="40" t="s">
        <v>1039</v>
      </c>
      <c r="G32" s="40" t="s">
        <v>1040</v>
      </c>
      <c r="H32" s="40" t="s">
        <v>36</v>
      </c>
      <c r="I32" s="40" t="s">
        <v>27</v>
      </c>
      <c r="J32" s="40" t="s">
        <v>637</v>
      </c>
      <c r="K32" s="40"/>
      <c r="L32" s="40"/>
      <c r="M32" s="40"/>
      <c r="N32" s="40"/>
      <c r="O32" s="40"/>
      <c r="P32" s="40" t="s">
        <v>139</v>
      </c>
      <c r="Q32" s="40" t="s">
        <v>691</v>
      </c>
      <c r="R32" s="40"/>
      <c r="S32" s="40"/>
      <c r="T32" s="40"/>
      <c r="U32" s="40"/>
      <c r="V32" s="40"/>
      <c r="W32" s="40" t="s">
        <v>217</v>
      </c>
      <c r="X32" s="53">
        <v>45947.628472222219</v>
      </c>
      <c r="Y32" s="40"/>
      <c r="Z32" s="40"/>
      <c r="AA32" s="40"/>
      <c r="AB32" t="str">
        <f>IF(LEFT(Jira__325[[#This Row],[Resumen]],3)="POS","POS",IF(LEFT(Jira__325[[#This Row],[Resumen]],3)="BOT","BOT",""))</f>
        <v>BOT</v>
      </c>
      <c r="AC32" s="9" t="s">
        <v>159</v>
      </c>
      <c r="AE32" s="22" t="str" cm="1">
        <f t="array" ref="AE32">_xlfn.IFS(OR(COUNTIF(P32:V32,Categorías!#REF!)&gt;0, COUNTIF(P32:V32,Categorías!#REF!)&gt;0), "Sprint 21",OR(COUNTIF(P32:V32,Categorías!#REF!)&gt;0, COUNTIF(P32:V32,Categorías!#REF!)&gt;0, COUNTIF(P32:V32,Categorías!#REF!)&gt;0), "Sprint 20",OR(COUNTIF(P32:V32,Categorías!#REF!)&gt;0, COUNTIF(P32:V32,Categorías!#REF!)&gt;0, COUNTIF(P32:V32,Categorías!#REF!)&gt;0), "Sprint 19",OR(COUNTIF(P32:V32,Categorías!#REF!)&gt;0, COUNTIF(P32:V32,Categorías!#REF!)&gt;0, COUNTIF(P32:V32,Categorías!#REF!)&gt;0), "Sprint 18",OR(COUNTIF(P32:V32,Categorías!#REF!)&gt;0, COUNTIF(P32:V32,Categorías!#REF!)&gt;0, COUNTIF(P32:V32,Categorías!#REF!)&gt;0, COUNTIF(P32:V32,Categorías!#REF!)&gt;0), "Sprint 17",OR(COUNTIF(P32:V32,Categorías!#REF!)&gt;0, COUNTIF(P32:V32,Categorías!#REF!)&gt;0, COUNTIF(P32:V32,Categorías!#REF!)&gt;0, COUNTIF(P32:V32,Categorías!#REF!)&gt;0), "Sprint 16", OR(COUNTIF(P32:V32,Categorías!#REF!)&gt;0, COUNTIF(P32:V32,Categorías!#REF!)&gt;0, COUNTIF(P32:V32,Categorías!#REF!)&gt;0, COUNTIF(P32:V32,Categorías!#REF!)&gt;0), "Sprint 16",TRUE, "")</f>
        <v/>
      </c>
      <c r="AF3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2" t="str" cm="1">
        <f t="array" ref="AG3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2" s="22" t="str" cm="1">
        <f t="array" ref="AH32">_xlfn.IFS(COUNTIF(P32:V32, Categorías!$A$2)&gt;0, "Funcional", COUNTIF(P32:V32, Categorías!$A$3)&gt;0, "Configuración", COUNTIF(P32:V32, Categorías!$A$4)&gt;0, "Look&amp;Feel", COUNTIF(P32:V32, Categorías!$A$5)&gt;0, "Integración", COUNTIF(P32:V32, Categorías!$A$6)&gt;0, "Contenido/Datos", COUNTIF(P32:V32, Categorías!$A$7)&gt;0, "Eventos_Cosmos", COUNTIF(P32:V32, Categorías!$A$8)&gt;0, "Eventos_iOT", COUNTIF(P32:V32, Categorías!$A$9)&gt;0, "Eventos_Fabric", TRUE, "No encontrado")</f>
        <v>Funcional</v>
      </c>
    </row>
    <row r="33" spans="1:34" ht="29.25">
      <c r="A33" s="40" t="s">
        <v>128</v>
      </c>
      <c r="B33" s="40" t="s">
        <v>699</v>
      </c>
      <c r="C33" s="40">
        <v>102586</v>
      </c>
      <c r="D33" s="40" t="s">
        <v>700</v>
      </c>
      <c r="E33" s="40">
        <v>87100</v>
      </c>
      <c r="F33" s="40" t="s">
        <v>1039</v>
      </c>
      <c r="G33" s="40" t="s">
        <v>1040</v>
      </c>
      <c r="H33" s="40" t="s">
        <v>37</v>
      </c>
      <c r="I33" s="40" t="s">
        <v>27</v>
      </c>
      <c r="J33" s="40"/>
      <c r="K33" s="40"/>
      <c r="L33" s="40"/>
      <c r="M33" s="40"/>
      <c r="N33" s="40"/>
      <c r="O33" s="40"/>
      <c r="P33" s="40" t="s">
        <v>132</v>
      </c>
      <c r="Q33" s="40" t="s">
        <v>691</v>
      </c>
      <c r="R33" s="40"/>
      <c r="S33" s="40"/>
      <c r="T33" s="40"/>
      <c r="U33" s="40"/>
      <c r="V33" s="40"/>
      <c r="W33" s="40" t="s">
        <v>217</v>
      </c>
      <c r="X33" s="53">
        <v>45947.398611111108</v>
      </c>
      <c r="Y33" s="40"/>
      <c r="Z33" s="40"/>
      <c r="AA33" s="40"/>
      <c r="AB33" t="str">
        <f>IF(LEFT(Jira__325[[#This Row],[Resumen]],3)="POS","POS",IF(LEFT(Jira__325[[#This Row],[Resumen]],3)="BOT","BOT",""))</f>
        <v>POS</v>
      </c>
      <c r="AC33" s="9" t="s">
        <v>159</v>
      </c>
      <c r="AE33" s="22" t="str" cm="1">
        <f t="array" ref="AE33">_xlfn.IFS(OR(COUNTIF(P33:V33,Categorías!#REF!)&gt;0, COUNTIF(P33:V33,Categorías!#REF!)&gt;0), "Sprint 21",OR(COUNTIF(P33:V33,Categorías!#REF!)&gt;0, COUNTIF(P33:V33,Categorías!#REF!)&gt;0, COUNTIF(P33:V33,Categorías!#REF!)&gt;0), "Sprint 20",OR(COUNTIF(P33:V33,Categorías!#REF!)&gt;0, COUNTIF(P33:V33,Categorías!#REF!)&gt;0, COUNTIF(P33:V33,Categorías!#REF!)&gt;0), "Sprint 19",OR(COUNTIF(P33:V33,Categorías!#REF!)&gt;0, COUNTIF(P33:V33,Categorías!#REF!)&gt;0, COUNTIF(P33:V33,Categorías!#REF!)&gt;0), "Sprint 18",OR(COUNTIF(P33:V33,Categorías!#REF!)&gt;0, COUNTIF(P33:V33,Categorías!#REF!)&gt;0, COUNTIF(P33:V33,Categorías!#REF!)&gt;0, COUNTIF(P33:V33,Categorías!#REF!)&gt;0), "Sprint 17",OR(COUNTIF(P33:V33,Categorías!#REF!)&gt;0, COUNTIF(P33:V33,Categorías!#REF!)&gt;0, COUNTIF(P33:V33,Categorías!#REF!)&gt;0, COUNTIF(P33:V33,Categorías!#REF!)&gt;0), "Sprint 16", OR(COUNTIF(P33:V33,Categorías!#REF!)&gt;0, COUNTIF(P33:V33,Categorías!#REF!)&gt;0, COUNTIF(P33:V33,Categorías!#REF!)&gt;0, COUNTIF(P33:V33,Categorías!#REF!)&gt;0), "Sprint 16",TRUE, "")</f>
        <v/>
      </c>
      <c r="AF3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3" t="str" cm="1">
        <f t="array" ref="AG3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3" s="22" t="str" cm="1">
        <f t="array" ref="AH33">_xlfn.IFS(COUNTIF(P33:V33, Categorías!$A$2)&gt;0, "Funcional", COUNTIF(P33:V33, Categorías!$A$3)&gt;0, "Configuración", COUNTIF(P33:V33, Categorías!$A$4)&gt;0, "Look&amp;Feel", COUNTIF(P33:V33, Categorías!$A$5)&gt;0, "Integración", COUNTIF(P33:V33, Categorías!$A$6)&gt;0, "Contenido/Datos", COUNTIF(P33:V33, Categorías!$A$7)&gt;0, "Eventos_Cosmos", COUNTIF(P33:V33, Categorías!$A$8)&gt;0, "Eventos_iOT", COUNTIF(P33:V33, Categorías!$A$9)&gt;0, "Eventos_Fabric", TRUE, "No encontrado")</f>
        <v>Look&amp;Feel</v>
      </c>
    </row>
    <row r="34" spans="1:34" ht="29.25">
      <c r="A34" s="40" t="s">
        <v>128</v>
      </c>
      <c r="B34" s="40" t="s">
        <v>701</v>
      </c>
      <c r="C34" s="40">
        <v>102584</v>
      </c>
      <c r="D34" s="40" t="s">
        <v>702</v>
      </c>
      <c r="E34" s="40">
        <v>87100</v>
      </c>
      <c r="F34" s="40" t="s">
        <v>1039</v>
      </c>
      <c r="G34" s="40" t="s">
        <v>1040</v>
      </c>
      <c r="H34" s="40" t="s">
        <v>37</v>
      </c>
      <c r="I34" s="40" t="s">
        <v>27</v>
      </c>
      <c r="J34" s="40"/>
      <c r="K34" s="40"/>
      <c r="L34" s="40"/>
      <c r="M34" s="40"/>
      <c r="N34" s="40"/>
      <c r="O34" s="40"/>
      <c r="P34" s="40" t="s">
        <v>132</v>
      </c>
      <c r="Q34" s="40" t="s">
        <v>691</v>
      </c>
      <c r="R34" s="40"/>
      <c r="S34" s="40"/>
      <c r="T34" s="40"/>
      <c r="U34" s="40"/>
      <c r="V34" s="40"/>
      <c r="W34" s="40" t="s">
        <v>217</v>
      </c>
      <c r="X34" s="53">
        <v>45947.382638888892</v>
      </c>
      <c r="Y34" s="40"/>
      <c r="Z34" s="40"/>
      <c r="AA34" s="40"/>
      <c r="AB34" t="str">
        <f>IF(LEFT(Jira__325[[#This Row],[Resumen]],3)="POS","POS",IF(LEFT(Jira__325[[#This Row],[Resumen]],3)="BOT","BOT",""))</f>
        <v>POS</v>
      </c>
      <c r="AC34" s="9" t="s">
        <v>136</v>
      </c>
      <c r="AE34" s="22" t="str" cm="1">
        <f t="array" ref="AE34">_xlfn.IFS(OR(COUNTIF(P34:V34,Categorías!#REF!)&gt;0, COUNTIF(P34:V34,Categorías!#REF!)&gt;0), "Sprint 21",OR(COUNTIF(P34:V34,Categorías!#REF!)&gt;0, COUNTIF(P34:V34,Categorías!#REF!)&gt;0, COUNTIF(P34:V34,Categorías!#REF!)&gt;0), "Sprint 20",OR(COUNTIF(P34:V34,Categorías!#REF!)&gt;0, COUNTIF(P34:V34,Categorías!#REF!)&gt;0, COUNTIF(P34:V34,Categorías!#REF!)&gt;0), "Sprint 19",OR(COUNTIF(P34:V34,Categorías!#REF!)&gt;0, COUNTIF(P34:V34,Categorías!#REF!)&gt;0, COUNTIF(P34:V34,Categorías!#REF!)&gt;0), "Sprint 18",OR(COUNTIF(P34:V34,Categorías!#REF!)&gt;0, COUNTIF(P34:V34,Categorías!#REF!)&gt;0, COUNTIF(P34:V34,Categorías!#REF!)&gt;0, COUNTIF(P34:V34,Categorías!#REF!)&gt;0), "Sprint 17",OR(COUNTIF(P34:V34,Categorías!#REF!)&gt;0, COUNTIF(P34:V34,Categorías!#REF!)&gt;0, COUNTIF(P34:V34,Categorías!#REF!)&gt;0, COUNTIF(P34:V34,Categorías!#REF!)&gt;0), "Sprint 16", OR(COUNTIF(P34:V34,Categorías!#REF!)&gt;0, COUNTIF(P34:V34,Categorías!#REF!)&gt;0, COUNTIF(P34:V34,Categorías!#REF!)&gt;0, COUNTIF(P34:V34,Categorías!#REF!)&gt;0), "Sprint 16",TRUE, "")</f>
        <v/>
      </c>
      <c r="AF3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4" t="str" cm="1">
        <f t="array" ref="AG3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4" s="22" t="str" cm="1">
        <f t="array" ref="AH34">_xlfn.IFS(COUNTIF(P34:V34, Categorías!$A$2)&gt;0, "Funcional", COUNTIF(P34:V34, Categorías!$A$3)&gt;0, "Configuración", COUNTIF(P34:V34, Categorías!$A$4)&gt;0, "Look&amp;Feel", COUNTIF(P34:V34, Categorías!$A$5)&gt;0, "Integración", COUNTIF(P34:V34, Categorías!$A$6)&gt;0, "Contenido/Datos", COUNTIF(P34:V34, Categorías!$A$7)&gt;0, "Eventos_Cosmos", COUNTIF(P34:V34, Categorías!$A$8)&gt;0, "Eventos_iOT", COUNTIF(P34:V34, Categorías!$A$9)&gt;0, "Eventos_Fabric", TRUE, "No encontrado")</f>
        <v>Look&amp;Feel</v>
      </c>
    </row>
    <row r="35" spans="1:34" ht="29.25">
      <c r="A35" s="40" t="s">
        <v>128</v>
      </c>
      <c r="B35" s="40" t="s">
        <v>703</v>
      </c>
      <c r="C35" s="40">
        <v>102295</v>
      </c>
      <c r="D35" s="40" t="s">
        <v>704</v>
      </c>
      <c r="E35" s="40">
        <v>87100</v>
      </c>
      <c r="F35" s="40" t="s">
        <v>1039</v>
      </c>
      <c r="G35" s="40" t="s">
        <v>1040</v>
      </c>
      <c r="H35" s="40" t="s">
        <v>37</v>
      </c>
      <c r="I35" s="40" t="s">
        <v>27</v>
      </c>
      <c r="J35" s="40"/>
      <c r="K35" s="40"/>
      <c r="L35" s="40"/>
      <c r="M35" s="40"/>
      <c r="N35" s="40"/>
      <c r="O35" s="40"/>
      <c r="P35" s="40" t="s">
        <v>132</v>
      </c>
      <c r="Q35" s="40" t="s">
        <v>691</v>
      </c>
      <c r="R35" s="40"/>
      <c r="S35" s="40"/>
      <c r="T35" s="40"/>
      <c r="U35" s="40"/>
      <c r="V35" s="40"/>
      <c r="W35" s="40" t="s">
        <v>217</v>
      </c>
      <c r="X35" s="53">
        <v>45946.556944444441</v>
      </c>
      <c r="Y35" s="40"/>
      <c r="Z35" s="40"/>
      <c r="AA35" s="40"/>
      <c r="AB35" t="str">
        <f>IF(LEFT(Jira__325[[#This Row],[Resumen]],3)="POS","POS",IF(LEFT(Jira__325[[#This Row],[Resumen]],3)="BOT","BOT",""))</f>
        <v>BOT</v>
      </c>
      <c r="AC35" s="13" t="s">
        <v>159</v>
      </c>
      <c r="AE35" s="22" t="str" cm="1">
        <f t="array" ref="AE35">_xlfn.IFS(OR(COUNTIF(P35:V35,Categorías!#REF!)&gt;0, COUNTIF(P35:V35,Categorías!#REF!)&gt;0), "Sprint 21",OR(COUNTIF(P35:V35,Categorías!#REF!)&gt;0, COUNTIF(P35:V35,Categorías!#REF!)&gt;0, COUNTIF(P35:V35,Categorías!#REF!)&gt;0), "Sprint 20",OR(COUNTIF(P35:V35,Categorías!#REF!)&gt;0, COUNTIF(P35:V35,Categorías!#REF!)&gt;0, COUNTIF(P35:V35,Categorías!#REF!)&gt;0), "Sprint 19",OR(COUNTIF(P35:V35,Categorías!#REF!)&gt;0, COUNTIF(P35:V35,Categorías!#REF!)&gt;0, COUNTIF(P35:V35,Categorías!#REF!)&gt;0), "Sprint 18",OR(COUNTIF(P35:V35,Categorías!#REF!)&gt;0, COUNTIF(P35:V35,Categorías!#REF!)&gt;0, COUNTIF(P35:V35,Categorías!#REF!)&gt;0, COUNTIF(P35:V35,Categorías!#REF!)&gt;0), "Sprint 17",OR(COUNTIF(P35:V35,Categorías!#REF!)&gt;0, COUNTIF(P35:V35,Categorías!#REF!)&gt;0, COUNTIF(P35:V35,Categorías!#REF!)&gt;0, COUNTIF(P35:V35,Categorías!#REF!)&gt;0), "Sprint 16", OR(COUNTIF(P35:V35,Categorías!#REF!)&gt;0, COUNTIF(P35:V35,Categorías!#REF!)&gt;0, COUNTIF(P35:V35,Categorías!#REF!)&gt;0, COUNTIF(P35:V35,Categorías!#REF!)&gt;0), "Sprint 16",TRUE, "")</f>
        <v/>
      </c>
      <c r="AF3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5" t="str" cm="1">
        <f t="array" ref="AG3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5" s="22" t="str" cm="1">
        <f t="array" ref="AH35">_xlfn.IFS(COUNTIF(P35:V35, Categorías!$A$2)&gt;0, "Funcional", COUNTIF(P35:V35, Categorías!$A$3)&gt;0, "Configuración", COUNTIF(P35:V35, Categorías!$A$4)&gt;0, "Look&amp;Feel", COUNTIF(P35:V35, Categorías!$A$5)&gt;0, "Integración", COUNTIF(P35:V35, Categorías!$A$6)&gt;0, "Contenido/Datos", COUNTIF(P35:V35, Categorías!$A$7)&gt;0, "Eventos_Cosmos", COUNTIF(P35:V35, Categorías!$A$8)&gt;0, "Eventos_iOT", COUNTIF(P35:V35, Categorías!$A$9)&gt;0, "Eventos_Fabric", TRUE, "No encontrado")</f>
        <v>Look&amp;Feel</v>
      </c>
    </row>
    <row r="36" spans="1:34" ht="29.25">
      <c r="A36" s="40" t="s">
        <v>128</v>
      </c>
      <c r="B36" s="40" t="s">
        <v>705</v>
      </c>
      <c r="C36" s="40">
        <v>99976</v>
      </c>
      <c r="D36" s="40" t="s">
        <v>706</v>
      </c>
      <c r="E36" s="40">
        <v>87100</v>
      </c>
      <c r="F36" s="40" t="s">
        <v>1039</v>
      </c>
      <c r="G36" s="40" t="s">
        <v>1040</v>
      </c>
      <c r="H36" s="40" t="s">
        <v>37</v>
      </c>
      <c r="I36" s="40" t="s">
        <v>27</v>
      </c>
      <c r="J36" s="40" t="s">
        <v>1041</v>
      </c>
      <c r="K36" s="40"/>
      <c r="L36" s="40"/>
      <c r="M36" s="40"/>
      <c r="N36" s="40"/>
      <c r="O36" s="40"/>
      <c r="P36" s="40" t="s">
        <v>139</v>
      </c>
      <c r="Q36" s="40" t="s">
        <v>709</v>
      </c>
      <c r="R36" s="40"/>
      <c r="S36" s="40"/>
      <c r="T36" s="40"/>
      <c r="U36" s="40"/>
      <c r="V36" s="40"/>
      <c r="W36" s="40" t="s">
        <v>217</v>
      </c>
      <c r="X36" s="53">
        <v>45937.668749999997</v>
      </c>
      <c r="Y36" s="40"/>
      <c r="Z36" s="40"/>
      <c r="AA36" s="40"/>
      <c r="AB36" t="str">
        <f>IF(LEFT(Jira__325[[#This Row],[Resumen]],3)="POS","POS",IF(LEFT(Jira__325[[#This Row],[Resumen]],3)="BOT","BOT",""))</f>
        <v>BOT</v>
      </c>
      <c r="AC36" s="9" t="s">
        <v>136</v>
      </c>
      <c r="AE36" s="22" t="str" cm="1">
        <f t="array" ref="AE36">_xlfn.IFS(OR(COUNTIF(P36:V36,Categorías!#REF!)&gt;0, COUNTIF(P36:V36,Categorías!#REF!)&gt;0), "Sprint 21",OR(COUNTIF(P36:V36,Categorías!#REF!)&gt;0, COUNTIF(P36:V36,Categorías!#REF!)&gt;0, COUNTIF(P36:V36,Categorías!#REF!)&gt;0), "Sprint 20",OR(COUNTIF(P36:V36,Categorías!#REF!)&gt;0, COUNTIF(P36:V36,Categorías!#REF!)&gt;0, COUNTIF(P36:V36,Categorías!#REF!)&gt;0), "Sprint 19",OR(COUNTIF(P36:V36,Categorías!#REF!)&gt;0, COUNTIF(P36:V36,Categorías!#REF!)&gt;0, COUNTIF(P36:V36,Categorías!#REF!)&gt;0), "Sprint 18",OR(COUNTIF(P36:V36,Categorías!#REF!)&gt;0, COUNTIF(P36:V36,Categorías!#REF!)&gt;0, COUNTIF(P36:V36,Categorías!#REF!)&gt;0, COUNTIF(P36:V36,Categorías!#REF!)&gt;0), "Sprint 17",OR(COUNTIF(P36:V36,Categorías!#REF!)&gt;0, COUNTIF(P36:V36,Categorías!#REF!)&gt;0, COUNTIF(P36:V36,Categorías!#REF!)&gt;0, COUNTIF(P36:V36,Categorías!#REF!)&gt;0), "Sprint 16", OR(COUNTIF(P36:V36,Categorías!#REF!)&gt;0, COUNTIF(P36:V36,Categorías!#REF!)&gt;0, COUNTIF(P36:V36,Categorías!#REF!)&gt;0, COUNTIF(P36:V36,Categorías!#REF!)&gt;0), "Sprint 16",TRUE, "")</f>
        <v/>
      </c>
      <c r="AF3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6" t="str" cm="1">
        <f t="array" ref="AG3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6" s="22" t="str" cm="1">
        <f t="array" ref="AH36">_xlfn.IFS(COUNTIF(P36:V36, Categorías!$A$2)&gt;0, "Funcional", COUNTIF(P36:V36, Categorías!$A$3)&gt;0, "Configuración", COUNTIF(P36:V36, Categorías!$A$4)&gt;0, "Look&amp;Feel", COUNTIF(P36:V36, Categorías!$A$5)&gt;0, "Integración", COUNTIF(P36:V36, Categorías!$A$6)&gt;0, "Contenido/Datos", COUNTIF(P36:V36, Categorías!$A$7)&gt;0, "Eventos_Cosmos", COUNTIF(P36:V36, Categorías!$A$8)&gt;0, "Eventos_iOT", COUNTIF(P36:V36, Categorías!$A$9)&gt;0, "Eventos_Fabric", TRUE, "No encontrado")</f>
        <v>Funcional</v>
      </c>
    </row>
    <row r="37" spans="1:34" ht="29.25">
      <c r="A37" s="40" t="s">
        <v>128</v>
      </c>
      <c r="B37" s="40" t="s">
        <v>707</v>
      </c>
      <c r="C37" s="40">
        <v>99972</v>
      </c>
      <c r="D37" s="40" t="s">
        <v>708</v>
      </c>
      <c r="E37" s="40">
        <v>87100</v>
      </c>
      <c r="F37" s="40" t="s">
        <v>1039</v>
      </c>
      <c r="G37" s="40" t="s">
        <v>1040</v>
      </c>
      <c r="H37" s="40" t="s">
        <v>36</v>
      </c>
      <c r="I37" s="40" t="s">
        <v>27</v>
      </c>
      <c r="J37" s="40" t="s">
        <v>637</v>
      </c>
      <c r="K37" s="40"/>
      <c r="L37" s="40"/>
      <c r="M37" s="40"/>
      <c r="N37" s="40"/>
      <c r="O37" s="40"/>
      <c r="P37" s="40" t="s">
        <v>287</v>
      </c>
      <c r="Q37" s="40" t="s">
        <v>132</v>
      </c>
      <c r="R37" s="40" t="s">
        <v>709</v>
      </c>
      <c r="S37" s="40"/>
      <c r="T37" s="40"/>
      <c r="U37" s="40"/>
      <c r="V37" s="40"/>
      <c r="W37" s="40" t="s">
        <v>134</v>
      </c>
      <c r="X37" s="53">
        <v>45937.665277777778</v>
      </c>
      <c r="Y37" s="40" t="s">
        <v>710</v>
      </c>
      <c r="Z37" s="40"/>
      <c r="AA37" s="40"/>
      <c r="AB37" t="str">
        <f>IF(LEFT(Jira__325[[#This Row],[Resumen]],3)="POS","POS",IF(LEFT(Jira__325[[#This Row],[Resumen]],3)="BOT","BOT",""))</f>
        <v>POS</v>
      </c>
      <c r="AC37" s="13" t="s">
        <v>320</v>
      </c>
      <c r="AE37" s="22" t="str" cm="1">
        <f t="array" ref="AE37">_xlfn.IFS(OR(COUNTIF(P37:V37,Categorías!#REF!)&gt;0, COUNTIF(P37:V37,Categorías!#REF!)&gt;0), "Sprint 21",OR(COUNTIF(P37:V37,Categorías!#REF!)&gt;0, COUNTIF(P37:V37,Categorías!#REF!)&gt;0, COUNTIF(P37:V37,Categorías!#REF!)&gt;0), "Sprint 20",OR(COUNTIF(P37:V37,Categorías!#REF!)&gt;0, COUNTIF(P37:V37,Categorías!#REF!)&gt;0, COUNTIF(P37:V37,Categorías!#REF!)&gt;0), "Sprint 19",OR(COUNTIF(P37:V37,Categorías!#REF!)&gt;0, COUNTIF(P37:V37,Categorías!#REF!)&gt;0, COUNTIF(P37:V37,Categorías!#REF!)&gt;0), "Sprint 18",OR(COUNTIF(P37:V37,Categorías!#REF!)&gt;0, COUNTIF(P37:V37,Categorías!#REF!)&gt;0, COUNTIF(P37:V37,Categorías!#REF!)&gt;0, COUNTIF(P37:V37,Categorías!#REF!)&gt;0), "Sprint 17",OR(COUNTIF(P37:V37,Categorías!#REF!)&gt;0, COUNTIF(P37:V37,Categorías!#REF!)&gt;0, COUNTIF(P37:V37,Categorías!#REF!)&gt;0, COUNTIF(P37:V37,Categorías!#REF!)&gt;0), "Sprint 16", OR(COUNTIF(P37:V37,Categorías!#REF!)&gt;0, COUNTIF(P37:V37,Categorías!#REF!)&gt;0, COUNTIF(P37:V37,Categorías!#REF!)&gt;0, COUNTIF(P37:V37,Categorías!#REF!)&gt;0), "Sprint 16",TRUE, "")</f>
        <v/>
      </c>
      <c r="AF3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37" t="str" cm="1">
        <f t="array" ref="AG3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37" s="22" t="str" cm="1">
        <f t="array" ref="AH37">_xlfn.IFS(COUNTIF(P37:V37, Categorías!$A$2)&gt;0, "Funcional", COUNTIF(P37:V37, Categorías!$A$3)&gt;0, "Configuración", COUNTIF(P37:V37, Categorías!$A$4)&gt;0, "Look&amp;Feel", COUNTIF(P37:V37, Categorías!$A$5)&gt;0, "Integración", COUNTIF(P37:V37, Categorías!$A$6)&gt;0, "Contenido/Datos", COUNTIF(P37:V37, Categorías!$A$7)&gt;0, "Eventos_Cosmos", COUNTIF(P37:V37, Categorías!$A$8)&gt;0, "Eventos_iOT", COUNTIF(P37:V37, Categorías!$A$9)&gt;0, "Eventos_Fabric", TRUE, "No encontrado")</f>
        <v>Look&amp;Feel</v>
      </c>
    </row>
    <row r="38" spans="1:34" ht="29.25">
      <c r="A38" s="40" t="s">
        <v>128</v>
      </c>
      <c r="B38" s="40" t="s">
        <v>711</v>
      </c>
      <c r="C38" s="40">
        <v>99963</v>
      </c>
      <c r="D38" s="40" t="s">
        <v>712</v>
      </c>
      <c r="E38" s="40">
        <v>87100</v>
      </c>
      <c r="F38" s="40" t="s">
        <v>1039</v>
      </c>
      <c r="G38" s="40" t="s">
        <v>1040</v>
      </c>
      <c r="H38" s="40" t="s">
        <v>36</v>
      </c>
      <c r="I38" s="40" t="s">
        <v>27</v>
      </c>
      <c r="J38" s="40" t="s">
        <v>637</v>
      </c>
      <c r="K38" s="40"/>
      <c r="L38" s="40"/>
      <c r="M38" s="40"/>
      <c r="N38" s="40"/>
      <c r="O38" s="40"/>
      <c r="P38" s="40" t="s">
        <v>287</v>
      </c>
      <c r="Q38" s="40" t="s">
        <v>132</v>
      </c>
      <c r="R38" s="40" t="s">
        <v>709</v>
      </c>
      <c r="S38" s="40"/>
      <c r="T38" s="40"/>
      <c r="U38" s="40"/>
      <c r="V38" s="40"/>
      <c r="W38" s="40" t="s">
        <v>134</v>
      </c>
      <c r="X38" s="53">
        <v>45937.654166666667</v>
      </c>
      <c r="Y38" s="40" t="s">
        <v>710</v>
      </c>
      <c r="Z38" s="40"/>
      <c r="AA38" s="40"/>
      <c r="AB38" t="str">
        <f>IF(LEFT(Jira__325[[#This Row],[Resumen]],3)="POS","POS",IF(LEFT(Jira__325[[#This Row],[Resumen]],3)="BOT","BOT",""))</f>
        <v>POS</v>
      </c>
      <c r="AC38" s="9" t="s">
        <v>159</v>
      </c>
      <c r="AE38" s="22" t="str" cm="1">
        <f t="array" ref="AE38">_xlfn.IFS(OR(COUNTIF(P38:V38,Categorías!#REF!)&gt;0, COUNTIF(P38:V38,Categorías!#REF!)&gt;0), "Sprint 21",OR(COUNTIF(P38:V38,Categorías!#REF!)&gt;0, COUNTIF(P38:V38,Categorías!#REF!)&gt;0, COUNTIF(P38:V38,Categorías!#REF!)&gt;0), "Sprint 20",OR(COUNTIF(P38:V38,Categorías!#REF!)&gt;0, COUNTIF(P38:V38,Categorías!#REF!)&gt;0, COUNTIF(P38:V38,Categorías!#REF!)&gt;0), "Sprint 19",OR(COUNTIF(P38:V38,Categorías!#REF!)&gt;0, COUNTIF(P38:V38,Categorías!#REF!)&gt;0, COUNTIF(P38:V38,Categorías!#REF!)&gt;0), "Sprint 18",OR(COUNTIF(P38:V38,Categorías!#REF!)&gt;0, COUNTIF(P38:V38,Categorías!#REF!)&gt;0, COUNTIF(P38:V38,Categorías!#REF!)&gt;0, COUNTIF(P38:V38,Categorías!#REF!)&gt;0), "Sprint 17",OR(COUNTIF(P38:V38,Categorías!#REF!)&gt;0, COUNTIF(P38:V38,Categorías!#REF!)&gt;0, COUNTIF(P38:V38,Categorías!#REF!)&gt;0, COUNTIF(P38:V38,Categorías!#REF!)&gt;0), "Sprint 16", OR(COUNTIF(P38:V38,Categorías!#REF!)&gt;0, COUNTIF(P38:V38,Categorías!#REF!)&gt;0, COUNTIF(P38:V38,Categorías!#REF!)&gt;0, COUNTIF(P38:V38,Categorías!#REF!)&gt;0), "Sprint 16",TRUE, "")</f>
        <v/>
      </c>
      <c r="AF3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38" t="str" cm="1">
        <f t="array" ref="AG3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38" s="22" t="str" cm="1">
        <f t="array" ref="AH38">_xlfn.IFS(COUNTIF(P38:V38, Categorías!$A$2)&gt;0, "Funcional", COUNTIF(P38:V38, Categorías!$A$3)&gt;0, "Configuración", COUNTIF(P38:V38, Categorías!$A$4)&gt;0, "Look&amp;Feel", COUNTIF(P38:V38, Categorías!$A$5)&gt;0, "Integración", COUNTIF(P38:V38, Categorías!$A$6)&gt;0, "Contenido/Datos", COUNTIF(P38:V38, Categorías!$A$7)&gt;0, "Eventos_Cosmos", COUNTIF(P38:V38, Categorías!$A$8)&gt;0, "Eventos_iOT", COUNTIF(P38:V38, Categorías!$A$9)&gt;0, "Eventos_Fabric", TRUE, "No encontrado")</f>
        <v>Look&amp;Feel</v>
      </c>
    </row>
    <row r="39" spans="1:34" ht="29.25">
      <c r="A39" s="40" t="s">
        <v>128</v>
      </c>
      <c r="B39" s="40" t="s">
        <v>713</v>
      </c>
      <c r="C39" s="40">
        <v>99800</v>
      </c>
      <c r="D39" s="40" t="s">
        <v>714</v>
      </c>
      <c r="E39" s="40">
        <v>87100</v>
      </c>
      <c r="F39" s="40" t="s">
        <v>1039</v>
      </c>
      <c r="G39" s="40" t="s">
        <v>1040</v>
      </c>
      <c r="H39" s="40" t="s">
        <v>41</v>
      </c>
      <c r="I39" s="40" t="s">
        <v>27</v>
      </c>
      <c r="J39" s="40" t="s">
        <v>637</v>
      </c>
      <c r="K39" s="40"/>
      <c r="L39" s="40"/>
      <c r="M39" s="40"/>
      <c r="N39" s="40"/>
      <c r="O39" s="40"/>
      <c r="P39" s="40" t="s">
        <v>139</v>
      </c>
      <c r="Q39" s="40" t="s">
        <v>709</v>
      </c>
      <c r="R39" s="40"/>
      <c r="S39" s="40"/>
      <c r="T39" s="40"/>
      <c r="U39" s="40"/>
      <c r="V39" s="40"/>
      <c r="W39" s="40" t="s">
        <v>217</v>
      </c>
      <c r="X39" s="53">
        <v>45937.372916666667</v>
      </c>
      <c r="Y39" s="40"/>
      <c r="Z39" s="40"/>
      <c r="AA39" s="40"/>
      <c r="AB39" t="str">
        <f>IF(LEFT(Jira__325[[#This Row],[Resumen]],3)="POS","POS",IF(LEFT(Jira__325[[#This Row],[Resumen]],3)="BOT","BOT",""))</f>
        <v>BOT</v>
      </c>
      <c r="AC39" s="9" t="s">
        <v>218</v>
      </c>
      <c r="AE39" s="22" t="str" cm="1">
        <f t="array" ref="AE39">_xlfn.IFS(OR(COUNTIF(P39:V39,Categorías!#REF!)&gt;0, COUNTIF(P39:V39,Categorías!#REF!)&gt;0), "Sprint 21",OR(COUNTIF(P39:V39,Categorías!#REF!)&gt;0, COUNTIF(P39:V39,Categorías!#REF!)&gt;0, COUNTIF(P39:V39,Categorías!#REF!)&gt;0), "Sprint 20",OR(COUNTIF(P39:V39,Categorías!#REF!)&gt;0, COUNTIF(P39:V39,Categorías!#REF!)&gt;0, COUNTIF(P39:V39,Categorías!#REF!)&gt;0), "Sprint 19",OR(COUNTIF(P39:V39,Categorías!#REF!)&gt;0, COUNTIF(P39:V39,Categorías!#REF!)&gt;0, COUNTIF(P39:V39,Categorías!#REF!)&gt;0), "Sprint 18",OR(COUNTIF(P39:V39,Categorías!#REF!)&gt;0, COUNTIF(P39:V39,Categorías!#REF!)&gt;0, COUNTIF(P39:V39,Categorías!#REF!)&gt;0, COUNTIF(P39:V39,Categorías!#REF!)&gt;0), "Sprint 17",OR(COUNTIF(P39:V39,Categorías!#REF!)&gt;0, COUNTIF(P39:V39,Categorías!#REF!)&gt;0, COUNTIF(P39:V39,Categorías!#REF!)&gt;0, COUNTIF(P39:V39,Categorías!#REF!)&gt;0), "Sprint 16", OR(COUNTIF(P39:V39,Categorías!#REF!)&gt;0, COUNTIF(P39:V39,Categorías!#REF!)&gt;0, COUNTIF(P39:V39,Categorías!#REF!)&gt;0, COUNTIF(P39:V39,Categorías!#REF!)&gt;0), "Sprint 16",TRUE, "")</f>
        <v/>
      </c>
      <c r="AF3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39" t="str" cm="1">
        <f t="array" ref="AG3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39" s="22" t="str" cm="1">
        <f t="array" ref="AH39">_xlfn.IFS(COUNTIF(P39:V39, Categorías!$A$2)&gt;0, "Funcional", COUNTIF(P39:V39, Categorías!$A$3)&gt;0, "Configuración", COUNTIF(P39:V39, Categorías!$A$4)&gt;0, "Look&amp;Feel", COUNTIF(P39:V39, Categorías!$A$5)&gt;0, "Integración", COUNTIF(P39:V39, Categorías!$A$6)&gt;0, "Contenido/Datos", COUNTIF(P39:V39, Categorías!$A$7)&gt;0, "Eventos_Cosmos", COUNTIF(P39:V39, Categorías!$A$8)&gt;0, "Eventos_iOT", COUNTIF(P39:V39, Categorías!$A$9)&gt;0, "Eventos_Fabric", TRUE, "No encontrado")</f>
        <v>Funcional</v>
      </c>
    </row>
    <row r="40" spans="1:34" ht="29.25">
      <c r="A40" s="40" t="s">
        <v>128</v>
      </c>
      <c r="B40" s="40" t="s">
        <v>715</v>
      </c>
      <c r="C40" s="40">
        <v>99744</v>
      </c>
      <c r="D40" s="40" t="s">
        <v>716</v>
      </c>
      <c r="E40" s="40">
        <v>87100</v>
      </c>
      <c r="F40" s="40" t="s">
        <v>1039</v>
      </c>
      <c r="G40" s="40" t="s">
        <v>1040</v>
      </c>
      <c r="H40" s="40" t="s">
        <v>36</v>
      </c>
      <c r="I40" s="40" t="s">
        <v>24</v>
      </c>
      <c r="J40" s="40" t="s">
        <v>637</v>
      </c>
      <c r="K40" s="40"/>
      <c r="L40" s="40"/>
      <c r="M40" s="40"/>
      <c r="N40" s="40"/>
      <c r="O40" s="40"/>
      <c r="P40" s="40" t="s">
        <v>139</v>
      </c>
      <c r="Q40" s="40" t="s">
        <v>709</v>
      </c>
      <c r="R40" s="40"/>
      <c r="S40" s="40"/>
      <c r="T40" s="40"/>
      <c r="U40" s="40"/>
      <c r="V40" s="40"/>
      <c r="W40" s="40" t="s">
        <v>217</v>
      </c>
      <c r="X40" s="53">
        <v>45936.698611111111</v>
      </c>
      <c r="Y40" s="40"/>
      <c r="Z40" s="40"/>
      <c r="AA40" s="40"/>
      <c r="AB40" t="str">
        <f>IF(LEFT(Jira__325[[#This Row],[Resumen]],3)="POS","POS",IF(LEFT(Jira__325[[#This Row],[Resumen]],3)="BOT","BOT",""))</f>
        <v>BOT</v>
      </c>
      <c r="AC40" s="12" t="s">
        <v>24</v>
      </c>
      <c r="AD40" s="22" t="s">
        <v>320</v>
      </c>
      <c r="AE40" s="22" t="str" cm="1">
        <f t="array" ref="AE40">_xlfn.IFS(OR(COUNTIF(P40:V40,Categorías!#REF!)&gt;0, COUNTIF(P40:V40,Categorías!#REF!)&gt;0), "Sprint 21",OR(COUNTIF(P40:V40,Categorías!#REF!)&gt;0, COUNTIF(P40:V40,Categorías!#REF!)&gt;0, COUNTIF(P40:V40,Categorías!#REF!)&gt;0), "Sprint 20",OR(COUNTIF(P40:V40,Categorías!#REF!)&gt;0, COUNTIF(P40:V40,Categorías!#REF!)&gt;0, COUNTIF(P40:V40,Categorías!#REF!)&gt;0), "Sprint 19",OR(COUNTIF(P40:V40,Categorías!#REF!)&gt;0, COUNTIF(P40:V40,Categorías!#REF!)&gt;0, COUNTIF(P40:V40,Categorías!#REF!)&gt;0), "Sprint 18",OR(COUNTIF(P40:V40,Categorías!#REF!)&gt;0, COUNTIF(P40:V40,Categorías!#REF!)&gt;0, COUNTIF(P40:V40,Categorías!#REF!)&gt;0, COUNTIF(P40:V40,Categorías!#REF!)&gt;0), "Sprint 17",OR(COUNTIF(P40:V40,Categorías!#REF!)&gt;0, COUNTIF(P40:V40,Categorías!#REF!)&gt;0, COUNTIF(P40:V40,Categorías!#REF!)&gt;0, COUNTIF(P40:V40,Categorías!#REF!)&gt;0), "Sprint 16", OR(COUNTIF(P40:V40,Categorías!#REF!)&gt;0, COUNTIF(P40:V40,Categorías!#REF!)&gt;0, COUNTIF(P40:V40,Categorías!#REF!)&gt;0, COUNTIF(P40:V40,Categorías!#REF!)&gt;0), "Sprint 16",TRUE, "")</f>
        <v/>
      </c>
      <c r="AF4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0" t="str" cm="1">
        <f t="array" ref="AG4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0" s="22" t="str" cm="1">
        <f t="array" ref="AH40">_xlfn.IFS(COUNTIF(P40:V40, Categorías!$A$2)&gt;0, "Funcional", COUNTIF(P40:V40, Categorías!$A$3)&gt;0, "Configuración", COUNTIF(P40:V40, Categorías!$A$4)&gt;0, "Look&amp;Feel", COUNTIF(P40:V40, Categorías!$A$5)&gt;0, "Integración", COUNTIF(P40:V40, Categorías!$A$6)&gt;0, "Contenido/Datos", COUNTIF(P40:V40, Categorías!$A$7)&gt;0, "Eventos_Cosmos", COUNTIF(P40:V40, Categorías!$A$8)&gt;0, "Eventos_iOT", COUNTIF(P40:V40, Categorías!$A$9)&gt;0, "Eventos_Fabric", TRUE, "No encontrado")</f>
        <v>Funcional</v>
      </c>
    </row>
    <row r="41" spans="1:34" ht="29.25">
      <c r="A41" s="40" t="s">
        <v>128</v>
      </c>
      <c r="B41" s="40" t="s">
        <v>717</v>
      </c>
      <c r="C41" s="40">
        <v>99727</v>
      </c>
      <c r="D41" s="40" t="s">
        <v>718</v>
      </c>
      <c r="E41" s="40">
        <v>87100</v>
      </c>
      <c r="F41" s="40" t="s">
        <v>1039</v>
      </c>
      <c r="G41" s="40" t="s">
        <v>1040</v>
      </c>
      <c r="H41" s="40" t="s">
        <v>37</v>
      </c>
      <c r="I41" s="40" t="s">
        <v>27</v>
      </c>
      <c r="J41" s="40" t="s">
        <v>1041</v>
      </c>
      <c r="K41" s="40"/>
      <c r="L41" s="40"/>
      <c r="M41" s="40"/>
      <c r="N41" s="40"/>
      <c r="O41" s="40"/>
      <c r="P41" s="40" t="s">
        <v>132</v>
      </c>
      <c r="Q41" s="40" t="s">
        <v>709</v>
      </c>
      <c r="R41" s="40"/>
      <c r="S41" s="40"/>
      <c r="T41" s="40"/>
      <c r="U41" s="40"/>
      <c r="V41" s="40"/>
      <c r="W41" s="40" t="s">
        <v>217</v>
      </c>
      <c r="X41" s="53">
        <v>45936.668749999997</v>
      </c>
      <c r="Y41" s="40"/>
      <c r="Z41" s="40"/>
      <c r="AA41" s="40"/>
      <c r="AB41" t="str">
        <f>IF(LEFT(Jira__325[[#This Row],[Resumen]],3)="POS","POS",IF(LEFT(Jira__325[[#This Row],[Resumen]],3)="BOT","BOT",""))</f>
        <v>BOT</v>
      </c>
      <c r="AC41" s="9" t="s">
        <v>595</v>
      </c>
      <c r="AE41" s="22" t="str" cm="1">
        <f t="array" ref="AE41">_xlfn.IFS(OR(COUNTIF(P41:V41,Categorías!#REF!)&gt;0, COUNTIF(P41:V41,Categorías!#REF!)&gt;0), "Sprint 21",OR(COUNTIF(P41:V41,Categorías!#REF!)&gt;0, COUNTIF(P41:V41,Categorías!#REF!)&gt;0, COUNTIF(P41:V41,Categorías!#REF!)&gt;0), "Sprint 20",OR(COUNTIF(P41:V41,Categorías!#REF!)&gt;0, COUNTIF(P41:V41,Categorías!#REF!)&gt;0, COUNTIF(P41:V41,Categorías!#REF!)&gt;0), "Sprint 19",OR(COUNTIF(P41:V41,Categorías!#REF!)&gt;0, COUNTIF(P41:V41,Categorías!#REF!)&gt;0, COUNTIF(P41:V41,Categorías!#REF!)&gt;0), "Sprint 18",OR(COUNTIF(P41:V41,Categorías!#REF!)&gt;0, COUNTIF(P41:V41,Categorías!#REF!)&gt;0, COUNTIF(P41:V41,Categorías!#REF!)&gt;0, COUNTIF(P41:V41,Categorías!#REF!)&gt;0), "Sprint 17",OR(COUNTIF(P41:V41,Categorías!#REF!)&gt;0, COUNTIF(P41:V41,Categorías!#REF!)&gt;0, COUNTIF(P41:V41,Categorías!#REF!)&gt;0, COUNTIF(P41:V41,Categorías!#REF!)&gt;0), "Sprint 16", OR(COUNTIF(P41:V41,Categorías!#REF!)&gt;0, COUNTIF(P41:V41,Categorías!#REF!)&gt;0, COUNTIF(P41:V41,Categorías!#REF!)&gt;0, COUNTIF(P41:V41,Categorías!#REF!)&gt;0), "Sprint 16",TRUE, "")</f>
        <v/>
      </c>
      <c r="AF4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1" t="str" cm="1">
        <f t="array" ref="AG4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1" s="22" t="str" cm="1">
        <f t="array" ref="AH41">_xlfn.IFS(COUNTIF(P41:V41, Categorías!$A$2)&gt;0, "Funcional", COUNTIF(P41:V41, Categorías!$A$3)&gt;0, "Configuración", COUNTIF(P41:V41, Categorías!$A$4)&gt;0, "Look&amp;Feel", COUNTIF(P41:V41, Categorías!$A$5)&gt;0, "Integración", COUNTIF(P41:V41, Categorías!$A$6)&gt;0, "Contenido/Datos", COUNTIF(P41:V41, Categorías!$A$7)&gt;0, "Eventos_Cosmos", COUNTIF(P41:V41, Categorías!$A$8)&gt;0, "Eventos_iOT", COUNTIF(P41:V41, Categorías!$A$9)&gt;0, "Eventos_Fabric", TRUE, "No encontrado")</f>
        <v>Look&amp;Feel</v>
      </c>
    </row>
    <row r="42" spans="1:34" ht="29.25">
      <c r="A42" s="40" t="s">
        <v>128</v>
      </c>
      <c r="B42" s="40" t="s">
        <v>719</v>
      </c>
      <c r="C42" s="40">
        <v>99706</v>
      </c>
      <c r="D42" s="40" t="s">
        <v>720</v>
      </c>
      <c r="E42" s="40">
        <v>87100</v>
      </c>
      <c r="F42" s="40" t="s">
        <v>1039</v>
      </c>
      <c r="G42" s="40" t="s">
        <v>1040</v>
      </c>
      <c r="H42" s="40" t="s">
        <v>36</v>
      </c>
      <c r="I42" s="40" t="s">
        <v>24</v>
      </c>
      <c r="J42" s="40" t="s">
        <v>721</v>
      </c>
      <c r="K42" s="40" t="s">
        <v>637</v>
      </c>
      <c r="L42" s="40"/>
      <c r="M42" s="40"/>
      <c r="N42" s="40"/>
      <c r="O42" s="40"/>
      <c r="P42" s="40" t="s">
        <v>139</v>
      </c>
      <c r="Q42" s="40" t="s">
        <v>709</v>
      </c>
      <c r="R42" s="40"/>
      <c r="S42" s="40"/>
      <c r="T42" s="40"/>
      <c r="U42" s="40"/>
      <c r="V42" s="40"/>
      <c r="W42" s="40" t="s">
        <v>134</v>
      </c>
      <c r="X42" s="53">
        <v>45936.61041666667</v>
      </c>
      <c r="Y42" s="40"/>
      <c r="Z42" s="40"/>
      <c r="AA42" s="40"/>
      <c r="AB42" t="str">
        <f>IF(LEFT(Jira__325[[#This Row],[Resumen]],3)="POS","POS",IF(LEFT(Jira__325[[#This Row],[Resumen]],3)="BOT","BOT",""))</f>
        <v>BOT</v>
      </c>
      <c r="AC42" s="9" t="s">
        <v>136</v>
      </c>
      <c r="AE42" s="22" t="str" cm="1">
        <f t="array" ref="AE42">_xlfn.IFS(OR(COUNTIF(P42:V42,Categorías!#REF!)&gt;0, COUNTIF(P42:V42,Categorías!#REF!)&gt;0), "Sprint 21",OR(COUNTIF(P42:V42,Categorías!#REF!)&gt;0, COUNTIF(P42:V42,Categorías!#REF!)&gt;0, COUNTIF(P42:V42,Categorías!#REF!)&gt;0), "Sprint 20",OR(COUNTIF(P42:V42,Categorías!#REF!)&gt;0, COUNTIF(P42:V42,Categorías!#REF!)&gt;0, COUNTIF(P42:V42,Categorías!#REF!)&gt;0), "Sprint 19",OR(COUNTIF(P42:V42,Categorías!#REF!)&gt;0, COUNTIF(P42:V42,Categorías!#REF!)&gt;0, COUNTIF(P42:V42,Categorías!#REF!)&gt;0), "Sprint 18",OR(COUNTIF(P42:V42,Categorías!#REF!)&gt;0, COUNTIF(P42:V42,Categorías!#REF!)&gt;0, COUNTIF(P42:V42,Categorías!#REF!)&gt;0, COUNTIF(P42:V42,Categorías!#REF!)&gt;0), "Sprint 17",OR(COUNTIF(P42:V42,Categorías!#REF!)&gt;0, COUNTIF(P42:V42,Categorías!#REF!)&gt;0, COUNTIF(P42:V42,Categorías!#REF!)&gt;0, COUNTIF(P42:V42,Categorías!#REF!)&gt;0), "Sprint 16", OR(COUNTIF(P42:V42,Categorías!#REF!)&gt;0, COUNTIF(P42:V42,Categorías!#REF!)&gt;0, COUNTIF(P42:V42,Categorías!#REF!)&gt;0, COUNTIF(P42:V42,Categorías!#REF!)&gt;0), "Sprint 16",TRUE, "")</f>
        <v/>
      </c>
      <c r="AF4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2" t="str" cm="1">
        <f t="array" ref="AG4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2" s="22" t="str" cm="1">
        <f t="array" ref="AH42">_xlfn.IFS(COUNTIF(P42:V42, Categorías!$A$2)&gt;0, "Funcional", COUNTIF(P42:V42, Categorías!$A$3)&gt;0, "Configuración", COUNTIF(P42:V42, Categorías!$A$4)&gt;0, "Look&amp;Feel", COUNTIF(P42:V42, Categorías!$A$5)&gt;0, "Integración", COUNTIF(P42:V42, Categorías!$A$6)&gt;0, "Contenido/Datos", COUNTIF(P42:V42, Categorías!$A$7)&gt;0, "Eventos_Cosmos", COUNTIF(P42:V42, Categorías!$A$8)&gt;0, "Eventos_iOT", COUNTIF(P42:V42, Categorías!$A$9)&gt;0, "Eventos_Fabric", TRUE, "No encontrado")</f>
        <v>Funcional</v>
      </c>
    </row>
    <row r="43" spans="1:34" ht="29.25">
      <c r="A43" s="40" t="s">
        <v>128</v>
      </c>
      <c r="B43" s="40" t="s">
        <v>722</v>
      </c>
      <c r="C43" s="40">
        <v>99292</v>
      </c>
      <c r="D43" s="40" t="s">
        <v>1047</v>
      </c>
      <c r="E43" s="40">
        <v>87100</v>
      </c>
      <c r="F43" s="40" t="s">
        <v>1039</v>
      </c>
      <c r="G43" s="40" t="s">
        <v>1040</v>
      </c>
      <c r="H43" s="40" t="s">
        <v>36</v>
      </c>
      <c r="I43" s="40" t="s">
        <v>27</v>
      </c>
      <c r="J43" s="40" t="s">
        <v>637</v>
      </c>
      <c r="K43" s="40"/>
      <c r="L43" s="40"/>
      <c r="M43" s="40"/>
      <c r="N43" s="40"/>
      <c r="O43" s="40"/>
      <c r="P43" s="40" t="s">
        <v>139</v>
      </c>
      <c r="Q43" s="40" t="s">
        <v>709</v>
      </c>
      <c r="R43" s="40"/>
      <c r="S43" s="40"/>
      <c r="T43" s="40"/>
      <c r="U43" s="40"/>
      <c r="V43" s="40"/>
      <c r="W43" s="40" t="s">
        <v>217</v>
      </c>
      <c r="X43" s="53">
        <v>45933.638888888891</v>
      </c>
      <c r="Y43" s="40"/>
      <c r="Z43" s="40"/>
      <c r="AA43" s="40"/>
      <c r="AB43" t="str">
        <f>IF(LEFT(Jira__325[[#This Row],[Resumen]],3)="POS","POS",IF(LEFT(Jira__325[[#This Row],[Resumen]],3)="BOT","BOT",""))</f>
        <v>POS</v>
      </c>
      <c r="AC43" s="9" t="s">
        <v>159</v>
      </c>
      <c r="AE43" s="22" t="str" cm="1">
        <f t="array" ref="AE43">_xlfn.IFS(OR(COUNTIF(P43:V43,Categorías!#REF!)&gt;0, COUNTIF(P43:V43,Categorías!#REF!)&gt;0), "Sprint 21",OR(COUNTIF(P43:V43,Categorías!#REF!)&gt;0, COUNTIF(P43:V43,Categorías!#REF!)&gt;0, COUNTIF(P43:V43,Categorías!#REF!)&gt;0), "Sprint 20",OR(COUNTIF(P43:V43,Categorías!#REF!)&gt;0, COUNTIF(P43:V43,Categorías!#REF!)&gt;0, COUNTIF(P43:V43,Categorías!#REF!)&gt;0), "Sprint 19",OR(COUNTIF(P43:V43,Categorías!#REF!)&gt;0, COUNTIF(P43:V43,Categorías!#REF!)&gt;0, COUNTIF(P43:V43,Categorías!#REF!)&gt;0), "Sprint 18",OR(COUNTIF(P43:V43,Categorías!#REF!)&gt;0, COUNTIF(P43:V43,Categorías!#REF!)&gt;0, COUNTIF(P43:V43,Categorías!#REF!)&gt;0, COUNTIF(P43:V43,Categorías!#REF!)&gt;0), "Sprint 17",OR(COUNTIF(P43:V43,Categorías!#REF!)&gt;0, COUNTIF(P43:V43,Categorías!#REF!)&gt;0, COUNTIF(P43:V43,Categorías!#REF!)&gt;0, COUNTIF(P43:V43,Categorías!#REF!)&gt;0), "Sprint 16", OR(COUNTIF(P43:V43,Categorías!#REF!)&gt;0, COUNTIF(P43:V43,Categorías!#REF!)&gt;0, COUNTIF(P43:V43,Categorías!#REF!)&gt;0, COUNTIF(P43:V43,Categorías!#REF!)&gt;0), "Sprint 16",TRUE, "")</f>
        <v/>
      </c>
      <c r="AF4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3" t="str" cm="1">
        <f t="array" ref="AG4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3" s="22" t="str" cm="1">
        <f t="array" ref="AH43">_xlfn.IFS(COUNTIF(P43:V43, Categorías!$A$2)&gt;0, "Funcional", COUNTIF(P43:V43, Categorías!$A$3)&gt;0, "Configuración", COUNTIF(P43:V43, Categorías!$A$4)&gt;0, "Look&amp;Feel", COUNTIF(P43:V43, Categorías!$A$5)&gt;0, "Integración", COUNTIF(P43:V43, Categorías!$A$6)&gt;0, "Contenido/Datos", COUNTIF(P43:V43, Categorías!$A$7)&gt;0, "Eventos_Cosmos", COUNTIF(P43:V43, Categorías!$A$8)&gt;0, "Eventos_iOT", COUNTIF(P43:V43, Categorías!$A$9)&gt;0, "Eventos_Fabric", TRUE, "No encontrado")</f>
        <v>Funcional</v>
      </c>
    </row>
    <row r="44" spans="1:34" ht="29.25">
      <c r="A44" s="40" t="s">
        <v>128</v>
      </c>
      <c r="B44" s="40" t="s">
        <v>724</v>
      </c>
      <c r="C44" s="40">
        <v>99290</v>
      </c>
      <c r="D44" s="40" t="s">
        <v>1048</v>
      </c>
      <c r="E44" s="40">
        <v>87100</v>
      </c>
      <c r="F44" s="40" t="s">
        <v>1039</v>
      </c>
      <c r="G44" s="40" t="s">
        <v>1040</v>
      </c>
      <c r="H44" s="40" t="s">
        <v>37</v>
      </c>
      <c r="I44" s="40" t="s">
        <v>27</v>
      </c>
      <c r="J44" s="40" t="s">
        <v>1041</v>
      </c>
      <c r="K44" s="40"/>
      <c r="L44" s="40"/>
      <c r="M44" s="40"/>
      <c r="N44" s="40"/>
      <c r="O44" s="40"/>
      <c r="P44" s="40" t="s">
        <v>139</v>
      </c>
      <c r="Q44" s="40" t="s">
        <v>709</v>
      </c>
      <c r="R44" s="40"/>
      <c r="S44" s="40"/>
      <c r="T44" s="40"/>
      <c r="U44" s="40"/>
      <c r="V44" s="40"/>
      <c r="W44" s="40" t="s">
        <v>217</v>
      </c>
      <c r="X44" s="53">
        <v>45933.629861111112</v>
      </c>
      <c r="Y44" s="40"/>
      <c r="Z44" s="40"/>
      <c r="AA44" s="40"/>
      <c r="AB44" t="str">
        <f>IF(LEFT(Jira__325[[#This Row],[Resumen]],3)="POS","POS",IF(LEFT(Jira__325[[#This Row],[Resumen]],3)="BOT","BOT",""))</f>
        <v>POS</v>
      </c>
      <c r="AC44" s="9" t="s">
        <v>320</v>
      </c>
      <c r="AE44" s="22" t="str" cm="1">
        <f t="array" ref="AE44">_xlfn.IFS(OR(COUNTIF(P44:V44,Categorías!#REF!)&gt;0, COUNTIF(P44:V44,Categorías!#REF!)&gt;0), "Sprint 21",OR(COUNTIF(P44:V44,Categorías!#REF!)&gt;0, COUNTIF(P44:V44,Categorías!#REF!)&gt;0, COUNTIF(P44:V44,Categorías!#REF!)&gt;0), "Sprint 20",OR(COUNTIF(P44:V44,Categorías!#REF!)&gt;0, COUNTIF(P44:V44,Categorías!#REF!)&gt;0, COUNTIF(P44:V44,Categorías!#REF!)&gt;0), "Sprint 19",OR(COUNTIF(P44:V44,Categorías!#REF!)&gt;0, COUNTIF(P44:V44,Categorías!#REF!)&gt;0, COUNTIF(P44:V44,Categorías!#REF!)&gt;0), "Sprint 18",OR(COUNTIF(P44:V44,Categorías!#REF!)&gt;0, COUNTIF(P44:V44,Categorías!#REF!)&gt;0, COUNTIF(P44:V44,Categorías!#REF!)&gt;0, COUNTIF(P44:V44,Categorías!#REF!)&gt;0), "Sprint 17",OR(COUNTIF(P44:V44,Categorías!#REF!)&gt;0, COUNTIF(P44:V44,Categorías!#REF!)&gt;0, COUNTIF(P44:V44,Categorías!#REF!)&gt;0, COUNTIF(P44:V44,Categorías!#REF!)&gt;0), "Sprint 16", OR(COUNTIF(P44:V44,Categorías!#REF!)&gt;0, COUNTIF(P44:V44,Categorías!#REF!)&gt;0, COUNTIF(P44:V44,Categorías!#REF!)&gt;0, COUNTIF(P44:V44,Categorías!#REF!)&gt;0), "Sprint 16",TRUE, "")</f>
        <v/>
      </c>
      <c r="AF4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4" t="str" cm="1">
        <f t="array" ref="AG4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4" s="22" t="str" cm="1">
        <f t="array" ref="AH44">_xlfn.IFS(COUNTIF(P44:V44, Categorías!$A$2)&gt;0, "Funcional", COUNTIF(P44:V44, Categorías!$A$3)&gt;0, "Configuración", COUNTIF(P44:V44, Categorías!$A$4)&gt;0, "Look&amp;Feel", COUNTIF(P44:V44, Categorías!$A$5)&gt;0, "Integración", COUNTIF(P44:V44, Categorías!$A$6)&gt;0, "Contenido/Datos", COUNTIF(P44:V44, Categorías!$A$7)&gt;0, "Eventos_Cosmos", COUNTIF(P44:V44, Categorías!$A$8)&gt;0, "Eventos_iOT", COUNTIF(P44:V44, Categorías!$A$9)&gt;0, "Eventos_Fabric", TRUE, "No encontrado")</f>
        <v>Funcional</v>
      </c>
    </row>
    <row r="45" spans="1:34" ht="29.25">
      <c r="A45" s="40" t="s">
        <v>128</v>
      </c>
      <c r="B45" s="40" t="s">
        <v>726</v>
      </c>
      <c r="C45" s="40">
        <v>99283</v>
      </c>
      <c r="D45" s="40" t="s">
        <v>727</v>
      </c>
      <c r="E45" s="40">
        <v>87100</v>
      </c>
      <c r="F45" s="40" t="s">
        <v>1039</v>
      </c>
      <c r="G45" s="40" t="s">
        <v>1040</v>
      </c>
      <c r="H45" s="40" t="s">
        <v>37</v>
      </c>
      <c r="I45" s="40" t="s">
        <v>27</v>
      </c>
      <c r="J45" s="40" t="s">
        <v>1041</v>
      </c>
      <c r="K45" s="40"/>
      <c r="L45" s="40"/>
      <c r="M45" s="40"/>
      <c r="N45" s="40"/>
      <c r="O45" s="40"/>
      <c r="P45" s="40" t="s">
        <v>132</v>
      </c>
      <c r="Q45" s="40" t="s">
        <v>709</v>
      </c>
      <c r="R45" s="40"/>
      <c r="S45" s="40"/>
      <c r="T45" s="40"/>
      <c r="U45" s="40"/>
      <c r="V45" s="40"/>
      <c r="W45" s="40" t="s">
        <v>217</v>
      </c>
      <c r="X45" s="53">
        <v>45933.606249999997</v>
      </c>
      <c r="Y45" s="40"/>
      <c r="Z45" s="40"/>
      <c r="AA45" s="40"/>
      <c r="AB45" t="str">
        <f>IF(LEFT(Jira__325[[#This Row],[Resumen]],3)="POS","POS",IF(LEFT(Jira__325[[#This Row],[Resumen]],3)="BOT","BOT",""))</f>
        <v>POS</v>
      </c>
      <c r="AC45" s="9" t="s">
        <v>320</v>
      </c>
      <c r="AE45" s="22" t="str" cm="1">
        <f t="array" ref="AE45">_xlfn.IFS(OR(COUNTIF(P45:V45,Categorías!#REF!)&gt;0, COUNTIF(P45:V45,Categorías!#REF!)&gt;0), "Sprint 21",OR(COUNTIF(P45:V45,Categorías!#REF!)&gt;0, COUNTIF(P45:V45,Categorías!#REF!)&gt;0, COUNTIF(P45:V45,Categorías!#REF!)&gt;0), "Sprint 20",OR(COUNTIF(P45:V45,Categorías!#REF!)&gt;0, COUNTIF(P45:V45,Categorías!#REF!)&gt;0, COUNTIF(P45:V45,Categorías!#REF!)&gt;0), "Sprint 19",OR(COUNTIF(P45:V45,Categorías!#REF!)&gt;0, COUNTIF(P45:V45,Categorías!#REF!)&gt;0, COUNTIF(P45:V45,Categorías!#REF!)&gt;0), "Sprint 18",OR(COUNTIF(P45:V45,Categorías!#REF!)&gt;0, COUNTIF(P45:V45,Categorías!#REF!)&gt;0, COUNTIF(P45:V45,Categorías!#REF!)&gt;0, COUNTIF(P45:V45,Categorías!#REF!)&gt;0), "Sprint 17",OR(COUNTIF(P45:V45,Categorías!#REF!)&gt;0, COUNTIF(P45:V45,Categorías!#REF!)&gt;0, COUNTIF(P45:V45,Categorías!#REF!)&gt;0, COUNTIF(P45:V45,Categorías!#REF!)&gt;0), "Sprint 16", OR(COUNTIF(P45:V45,Categorías!#REF!)&gt;0, COUNTIF(P45:V45,Categorías!#REF!)&gt;0, COUNTIF(P45:V45,Categorías!#REF!)&gt;0, COUNTIF(P45:V45,Categorías!#REF!)&gt;0), "Sprint 16",TRUE, "")</f>
        <v/>
      </c>
      <c r="AF4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5" t="str" cm="1">
        <f t="array" ref="AG4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5" s="22" t="str" cm="1">
        <f t="array" ref="AH45">_xlfn.IFS(COUNTIF(P45:V45, Categorías!$A$2)&gt;0, "Funcional", COUNTIF(P45:V45, Categorías!$A$3)&gt;0, "Configuración", COUNTIF(P45:V45, Categorías!$A$4)&gt;0, "Look&amp;Feel", COUNTIF(P45:V45, Categorías!$A$5)&gt;0, "Integración", COUNTIF(P45:V45, Categorías!$A$6)&gt;0, "Contenido/Datos", COUNTIF(P45:V45, Categorías!$A$7)&gt;0, "Eventos_Cosmos", COUNTIF(P45:V45, Categorías!$A$8)&gt;0, "Eventos_iOT", COUNTIF(P45:V45, Categorías!$A$9)&gt;0, "Eventos_Fabric", TRUE, "No encontrado")</f>
        <v>Look&amp;Feel</v>
      </c>
    </row>
    <row r="46" spans="1:34" ht="29.25">
      <c r="A46" s="40" t="s">
        <v>128</v>
      </c>
      <c r="B46" s="40" t="s">
        <v>728</v>
      </c>
      <c r="C46" s="40">
        <v>99159</v>
      </c>
      <c r="D46" s="40" t="s">
        <v>729</v>
      </c>
      <c r="E46" s="40" t="s">
        <v>1049</v>
      </c>
      <c r="F46" s="40" t="s">
        <v>1049</v>
      </c>
      <c r="G46" s="40" t="s">
        <v>1049</v>
      </c>
      <c r="H46" s="40" t="s">
        <v>37</v>
      </c>
      <c r="I46" s="40" t="s">
        <v>27</v>
      </c>
      <c r="J46" s="40" t="s">
        <v>1041</v>
      </c>
      <c r="K46" s="40"/>
      <c r="L46" s="40"/>
      <c r="M46" s="40"/>
      <c r="N46" s="40"/>
      <c r="O46" s="40"/>
      <c r="P46" s="40" t="s">
        <v>132</v>
      </c>
      <c r="Q46" s="40" t="s">
        <v>709</v>
      </c>
      <c r="R46" s="40"/>
      <c r="S46" s="40"/>
      <c r="T46" s="40"/>
      <c r="U46" s="40"/>
      <c r="V46" s="40"/>
      <c r="W46" s="40" t="s">
        <v>217</v>
      </c>
      <c r="X46" s="53">
        <v>45933.372916666667</v>
      </c>
      <c r="Y46" s="40"/>
      <c r="Z46" s="40"/>
      <c r="AA46" s="40"/>
      <c r="AB46" t="str">
        <f>IF(LEFT(Jira__325[[#This Row],[Resumen]],3)="POS","POS",IF(LEFT(Jira__325[[#This Row],[Resumen]],3)="BOT","BOT",""))</f>
        <v>BOT</v>
      </c>
      <c r="AC46" s="9" t="s">
        <v>320</v>
      </c>
      <c r="AE46" s="22" t="str" cm="1">
        <f t="array" ref="AE46">_xlfn.IFS(OR(COUNTIF(P46:V46,Categorías!#REF!)&gt;0, COUNTIF(P46:V46,Categorías!#REF!)&gt;0), "Sprint 21",OR(COUNTIF(P46:V46,Categorías!#REF!)&gt;0, COUNTIF(P46:V46,Categorías!#REF!)&gt;0, COUNTIF(P46:V46,Categorías!#REF!)&gt;0), "Sprint 20",OR(COUNTIF(P46:V46,Categorías!#REF!)&gt;0, COUNTIF(P46:V46,Categorías!#REF!)&gt;0, COUNTIF(P46:V46,Categorías!#REF!)&gt;0), "Sprint 19",OR(COUNTIF(P46:V46,Categorías!#REF!)&gt;0, COUNTIF(P46:V46,Categorías!#REF!)&gt;0, COUNTIF(P46:V46,Categorías!#REF!)&gt;0), "Sprint 18",OR(COUNTIF(P46:V46,Categorías!#REF!)&gt;0, COUNTIF(P46:V46,Categorías!#REF!)&gt;0, COUNTIF(P46:V46,Categorías!#REF!)&gt;0, COUNTIF(P46:V46,Categorías!#REF!)&gt;0), "Sprint 17",OR(COUNTIF(P46:V46,Categorías!#REF!)&gt;0, COUNTIF(P46:V46,Categorías!#REF!)&gt;0, COUNTIF(P46:V46,Categorías!#REF!)&gt;0, COUNTIF(P46:V46,Categorías!#REF!)&gt;0), "Sprint 16", OR(COUNTIF(P46:V46,Categorías!#REF!)&gt;0, COUNTIF(P46:V46,Categorías!#REF!)&gt;0, COUNTIF(P46:V46,Categorías!#REF!)&gt;0, COUNTIF(P46:V46,Categorías!#REF!)&gt;0), "Sprint 16",TRUE, "")</f>
        <v/>
      </c>
      <c r="AF4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6" t="str" cm="1">
        <f t="array" ref="AG4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6" s="22" t="str" cm="1">
        <f t="array" ref="AH46">_xlfn.IFS(COUNTIF(P46:V46, Categorías!$A$2)&gt;0, "Funcional", COUNTIF(P46:V46, Categorías!$A$3)&gt;0, "Configuración", COUNTIF(P46:V46, Categorías!$A$4)&gt;0, "Look&amp;Feel", COUNTIF(P46:V46, Categorías!$A$5)&gt;0, "Integración", COUNTIF(P46:V46, Categorías!$A$6)&gt;0, "Contenido/Datos", COUNTIF(P46:V46, Categorías!$A$7)&gt;0, "Eventos_Cosmos", COUNTIF(P46:V46, Categorías!$A$8)&gt;0, "Eventos_iOT", COUNTIF(P46:V46, Categorías!$A$9)&gt;0, "Eventos_Fabric", TRUE, "No encontrado")</f>
        <v>Look&amp;Feel</v>
      </c>
    </row>
    <row r="47" spans="1:34" ht="29.25">
      <c r="A47" s="40" t="s">
        <v>128</v>
      </c>
      <c r="B47" s="40" t="s">
        <v>730</v>
      </c>
      <c r="C47" s="40">
        <v>99086</v>
      </c>
      <c r="D47" s="40" t="s">
        <v>731</v>
      </c>
      <c r="E47" s="40" t="s">
        <v>1049</v>
      </c>
      <c r="F47" s="40" t="s">
        <v>1049</v>
      </c>
      <c r="G47" s="40" t="s">
        <v>1049</v>
      </c>
      <c r="H47" s="40" t="s">
        <v>36</v>
      </c>
      <c r="I47" s="40" t="s">
        <v>51</v>
      </c>
      <c r="J47" s="40" t="s">
        <v>637</v>
      </c>
      <c r="K47" s="40"/>
      <c r="L47" s="40"/>
      <c r="M47" s="40"/>
      <c r="N47" s="40"/>
      <c r="O47" s="40"/>
      <c r="P47" s="40" t="s">
        <v>139</v>
      </c>
      <c r="Q47" s="40" t="s">
        <v>709</v>
      </c>
      <c r="R47" s="40"/>
      <c r="S47" s="40"/>
      <c r="T47" s="40"/>
      <c r="U47" s="40"/>
      <c r="V47" s="40"/>
      <c r="W47" s="40" t="s">
        <v>217</v>
      </c>
      <c r="X47" s="53">
        <v>45932.694444444445</v>
      </c>
      <c r="Y47" s="40"/>
      <c r="Z47" s="40"/>
      <c r="AA47" s="40"/>
      <c r="AB47" t="str">
        <f>IF(LEFT(Jira__325[[#This Row],[Resumen]],3)="POS","POS",IF(LEFT(Jira__325[[#This Row],[Resumen]],3)="BOT","BOT",""))</f>
        <v>POS</v>
      </c>
      <c r="AC47" s="13" t="s">
        <v>320</v>
      </c>
      <c r="AE47" s="22" t="str" cm="1">
        <f t="array" ref="AE47">_xlfn.IFS(OR(COUNTIF(P47:V47,Categorías!#REF!)&gt;0, COUNTIF(P47:V47,Categorías!#REF!)&gt;0), "Sprint 21",OR(COUNTIF(P47:V47,Categorías!#REF!)&gt;0, COUNTIF(P47:V47,Categorías!#REF!)&gt;0, COUNTIF(P47:V47,Categorías!#REF!)&gt;0), "Sprint 20",OR(COUNTIF(P47:V47,Categorías!#REF!)&gt;0, COUNTIF(P47:V47,Categorías!#REF!)&gt;0, COUNTIF(P47:V47,Categorías!#REF!)&gt;0), "Sprint 19",OR(COUNTIF(P47:V47,Categorías!#REF!)&gt;0, COUNTIF(P47:V47,Categorías!#REF!)&gt;0, COUNTIF(P47:V47,Categorías!#REF!)&gt;0), "Sprint 18",OR(COUNTIF(P47:V47,Categorías!#REF!)&gt;0, COUNTIF(P47:V47,Categorías!#REF!)&gt;0, COUNTIF(P47:V47,Categorías!#REF!)&gt;0, COUNTIF(P47:V47,Categorías!#REF!)&gt;0), "Sprint 17",OR(COUNTIF(P47:V47,Categorías!#REF!)&gt;0, COUNTIF(P47:V47,Categorías!#REF!)&gt;0, COUNTIF(P47:V47,Categorías!#REF!)&gt;0, COUNTIF(P47:V47,Categorías!#REF!)&gt;0), "Sprint 16", OR(COUNTIF(P47:V47,Categorías!#REF!)&gt;0, COUNTIF(P47:V47,Categorías!#REF!)&gt;0, COUNTIF(P47:V47,Categorías!#REF!)&gt;0, COUNTIF(P47:V47,Categorías!#REF!)&gt;0), "Sprint 16",TRUE, "")</f>
        <v/>
      </c>
      <c r="AF4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7" t="str" cm="1">
        <f t="array" ref="AG4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7" s="22" t="str" cm="1">
        <f t="array" ref="AH47">_xlfn.IFS(COUNTIF(P47:V47, Categorías!$A$2)&gt;0, "Funcional", COUNTIF(P47:V47, Categorías!$A$3)&gt;0, "Configuración", COUNTIF(P47:V47, Categorías!$A$4)&gt;0, "Look&amp;Feel", COUNTIF(P47:V47, Categorías!$A$5)&gt;0, "Integración", COUNTIF(P47:V47, Categorías!$A$6)&gt;0, "Contenido/Datos", COUNTIF(P47:V47, Categorías!$A$7)&gt;0, "Eventos_Cosmos", COUNTIF(P47:V47, Categorías!$A$8)&gt;0, "Eventos_iOT", COUNTIF(P47:V47, Categorías!$A$9)&gt;0, "Eventos_Fabric", TRUE, "No encontrado")</f>
        <v>Funcional</v>
      </c>
    </row>
    <row r="48" spans="1:34" ht="29.25">
      <c r="A48" s="40" t="s">
        <v>128</v>
      </c>
      <c r="B48" s="40" t="s">
        <v>733</v>
      </c>
      <c r="C48" s="40">
        <v>99070</v>
      </c>
      <c r="D48" s="40" t="s">
        <v>734</v>
      </c>
      <c r="E48" s="40" t="s">
        <v>1049</v>
      </c>
      <c r="F48" s="40" t="s">
        <v>1049</v>
      </c>
      <c r="G48" s="40" t="s">
        <v>1049</v>
      </c>
      <c r="H48" s="40" t="s">
        <v>36</v>
      </c>
      <c r="I48" s="40" t="s">
        <v>27</v>
      </c>
      <c r="J48" s="40" t="s">
        <v>637</v>
      </c>
      <c r="K48" s="40"/>
      <c r="L48" s="40"/>
      <c r="M48" s="40"/>
      <c r="N48" s="40"/>
      <c r="O48" s="40"/>
      <c r="P48" s="40" t="s">
        <v>139</v>
      </c>
      <c r="Q48" s="40" t="s">
        <v>709</v>
      </c>
      <c r="R48" s="40"/>
      <c r="S48" s="40"/>
      <c r="T48" s="40"/>
      <c r="U48" s="40"/>
      <c r="V48" s="40"/>
      <c r="W48" s="40" t="s">
        <v>217</v>
      </c>
      <c r="X48" s="53">
        <v>45932.672222222223</v>
      </c>
      <c r="Y48" s="40"/>
      <c r="Z48" s="40"/>
      <c r="AA48" s="40"/>
      <c r="AB48" t="str">
        <f>IF(LEFT(Jira__325[[#This Row],[Resumen]],3)="POS","POS",IF(LEFT(Jira__325[[#This Row],[Resumen]],3)="BOT","BOT",""))</f>
        <v>POS</v>
      </c>
      <c r="AC48" s="9" t="s">
        <v>136</v>
      </c>
      <c r="AE48" s="22" t="str" cm="1">
        <f t="array" ref="AE48">_xlfn.IFS(OR(COUNTIF(P48:V48,Categorías!#REF!)&gt;0, COUNTIF(P48:V48,Categorías!#REF!)&gt;0), "Sprint 21",OR(COUNTIF(P48:V48,Categorías!#REF!)&gt;0, COUNTIF(P48:V48,Categorías!#REF!)&gt;0, COUNTIF(P48:V48,Categorías!#REF!)&gt;0), "Sprint 20",OR(COUNTIF(P48:V48,Categorías!#REF!)&gt;0, COUNTIF(P48:V48,Categorías!#REF!)&gt;0, COUNTIF(P48:V48,Categorías!#REF!)&gt;0), "Sprint 19",OR(COUNTIF(P48:V48,Categorías!#REF!)&gt;0, COUNTIF(P48:V48,Categorías!#REF!)&gt;0, COUNTIF(P48:V48,Categorías!#REF!)&gt;0), "Sprint 18",OR(COUNTIF(P48:V48,Categorías!#REF!)&gt;0, COUNTIF(P48:V48,Categorías!#REF!)&gt;0, COUNTIF(P48:V48,Categorías!#REF!)&gt;0, COUNTIF(P48:V48,Categorías!#REF!)&gt;0), "Sprint 17",OR(COUNTIF(P48:V48,Categorías!#REF!)&gt;0, COUNTIF(P48:V48,Categorías!#REF!)&gt;0, COUNTIF(P48:V48,Categorías!#REF!)&gt;0, COUNTIF(P48:V48,Categorías!#REF!)&gt;0), "Sprint 16", OR(COUNTIF(P48:V48,Categorías!#REF!)&gt;0, COUNTIF(P48:V48,Categorías!#REF!)&gt;0, COUNTIF(P48:V48,Categorías!#REF!)&gt;0, COUNTIF(P48:V48,Categorías!#REF!)&gt;0), "Sprint 16",TRUE, "")</f>
        <v/>
      </c>
      <c r="AF4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8" t="str" cm="1">
        <f t="array" ref="AG4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8" s="22" t="str" cm="1">
        <f t="array" ref="AH48">_xlfn.IFS(COUNTIF(P48:V48, Categorías!$A$2)&gt;0, "Funcional", COUNTIF(P48:V48, Categorías!$A$3)&gt;0, "Configuración", COUNTIF(P48:V48, Categorías!$A$4)&gt;0, "Look&amp;Feel", COUNTIF(P48:V48, Categorías!$A$5)&gt;0, "Integración", COUNTIF(P48:V48, Categorías!$A$6)&gt;0, "Contenido/Datos", COUNTIF(P48:V48, Categorías!$A$7)&gt;0, "Eventos_Cosmos", COUNTIF(P48:V48, Categorías!$A$8)&gt;0, "Eventos_iOT", COUNTIF(P48:V48, Categorías!$A$9)&gt;0, "Eventos_Fabric", TRUE, "No encontrado")</f>
        <v>Funcional</v>
      </c>
    </row>
    <row r="49" spans="1:34" ht="29.25">
      <c r="A49" s="40" t="s">
        <v>128</v>
      </c>
      <c r="B49" s="40" t="s">
        <v>736</v>
      </c>
      <c r="C49" s="40">
        <v>99024</v>
      </c>
      <c r="D49" s="40" t="s">
        <v>737</v>
      </c>
      <c r="E49" s="40" t="s">
        <v>1049</v>
      </c>
      <c r="F49" s="40" t="s">
        <v>1049</v>
      </c>
      <c r="G49" s="40" t="s">
        <v>1049</v>
      </c>
      <c r="H49" s="40" t="s">
        <v>36</v>
      </c>
      <c r="I49" s="40" t="s">
        <v>27</v>
      </c>
      <c r="J49" s="40" t="s">
        <v>637</v>
      </c>
      <c r="K49" s="40"/>
      <c r="L49" s="40"/>
      <c r="M49" s="40"/>
      <c r="N49" s="40"/>
      <c r="O49" s="40"/>
      <c r="P49" s="40" t="s">
        <v>139</v>
      </c>
      <c r="Q49" s="40" t="s">
        <v>709</v>
      </c>
      <c r="R49" s="40"/>
      <c r="S49" s="40"/>
      <c r="T49" s="40"/>
      <c r="U49" s="40"/>
      <c r="V49" s="40"/>
      <c r="W49" s="40" t="s">
        <v>217</v>
      </c>
      <c r="X49" s="53">
        <v>45932.606249999997</v>
      </c>
      <c r="Y49" s="40"/>
      <c r="Z49" s="40"/>
      <c r="AA49" s="40"/>
      <c r="AB49" t="str">
        <f>IF(LEFT(Jira__325[[#This Row],[Resumen]],3)="POS","POS",IF(LEFT(Jira__325[[#This Row],[Resumen]],3)="BOT","BOT",""))</f>
        <v>POS</v>
      </c>
      <c r="AC49" s="9" t="s">
        <v>320</v>
      </c>
      <c r="AE49" s="22" t="str" cm="1">
        <f t="array" ref="AE49">_xlfn.IFS(OR(COUNTIF(P49:V49,Categorías!#REF!)&gt;0, COUNTIF(P49:V49,Categorías!#REF!)&gt;0), "Sprint 21",OR(COUNTIF(P49:V49,Categorías!#REF!)&gt;0, COUNTIF(P49:V49,Categorías!#REF!)&gt;0, COUNTIF(P49:V49,Categorías!#REF!)&gt;0), "Sprint 20",OR(COUNTIF(P49:V49,Categorías!#REF!)&gt;0, COUNTIF(P49:V49,Categorías!#REF!)&gt;0, COUNTIF(P49:V49,Categorías!#REF!)&gt;0), "Sprint 19",OR(COUNTIF(P49:V49,Categorías!#REF!)&gt;0, COUNTIF(P49:V49,Categorías!#REF!)&gt;0, COUNTIF(P49:V49,Categorías!#REF!)&gt;0), "Sprint 18",OR(COUNTIF(P49:V49,Categorías!#REF!)&gt;0, COUNTIF(P49:V49,Categorías!#REF!)&gt;0, COUNTIF(P49:V49,Categorías!#REF!)&gt;0, COUNTIF(P49:V49,Categorías!#REF!)&gt;0), "Sprint 17",OR(COUNTIF(P49:V49,Categorías!#REF!)&gt;0, COUNTIF(P49:V49,Categorías!#REF!)&gt;0, COUNTIF(P49:V49,Categorías!#REF!)&gt;0, COUNTIF(P49:V49,Categorías!#REF!)&gt;0), "Sprint 16", OR(COUNTIF(P49:V49,Categorías!#REF!)&gt;0, COUNTIF(P49:V49,Categorías!#REF!)&gt;0, COUNTIF(P49:V49,Categorías!#REF!)&gt;0, COUNTIF(P49:V49,Categorías!#REF!)&gt;0), "Sprint 16",TRUE, "")</f>
        <v/>
      </c>
      <c r="AF4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49" t="str" cm="1">
        <f t="array" ref="AG4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49" s="22" t="str" cm="1">
        <f t="array" ref="AH49">_xlfn.IFS(COUNTIF(P49:V49, Categorías!$A$2)&gt;0, "Funcional", COUNTIF(P49:V49, Categorías!$A$3)&gt;0, "Configuración", COUNTIF(P49:V49, Categorías!$A$4)&gt;0, "Look&amp;Feel", COUNTIF(P49:V49, Categorías!$A$5)&gt;0, "Integración", COUNTIF(P49:V49, Categorías!$A$6)&gt;0, "Contenido/Datos", COUNTIF(P49:V49, Categorías!$A$7)&gt;0, "Eventos_Cosmos", COUNTIF(P49:V49, Categorías!$A$8)&gt;0, "Eventos_iOT", COUNTIF(P49:V49, Categorías!$A$9)&gt;0, "Eventos_Fabric", TRUE, "No encontrado")</f>
        <v>Funcional</v>
      </c>
    </row>
    <row r="50" spans="1:34" ht="29.25">
      <c r="A50" s="40" t="s">
        <v>128</v>
      </c>
      <c r="B50" s="40" t="s">
        <v>738</v>
      </c>
      <c r="C50" s="40">
        <v>99022</v>
      </c>
      <c r="D50" s="40" t="s">
        <v>739</v>
      </c>
      <c r="E50" s="40" t="s">
        <v>1049</v>
      </c>
      <c r="F50" s="40" t="s">
        <v>1049</v>
      </c>
      <c r="G50" s="40" t="s">
        <v>1049</v>
      </c>
      <c r="H50" s="40" t="s">
        <v>41</v>
      </c>
      <c r="I50" s="40" t="s">
        <v>246</v>
      </c>
      <c r="J50" s="40" t="s">
        <v>637</v>
      </c>
      <c r="K50" s="40"/>
      <c r="L50" s="40"/>
      <c r="M50" s="40"/>
      <c r="N50" s="40"/>
      <c r="O50" s="40"/>
      <c r="P50" s="40" t="s">
        <v>139</v>
      </c>
      <c r="Q50" s="40" t="s">
        <v>709</v>
      </c>
      <c r="R50" s="40"/>
      <c r="S50" s="40"/>
      <c r="T50" s="40"/>
      <c r="U50" s="40"/>
      <c r="V50" s="40"/>
      <c r="W50" s="40" t="s">
        <v>217</v>
      </c>
      <c r="X50" s="53">
        <v>45932.595138888886</v>
      </c>
      <c r="Y50" s="40"/>
      <c r="Z50" s="40"/>
      <c r="AA50" s="40"/>
      <c r="AB50" t="str">
        <f>IF(LEFT(Jira__325[[#This Row],[Resumen]],3)="POS","POS",IF(LEFT(Jira__325[[#This Row],[Resumen]],3)="BOT","BOT",""))</f>
        <v>POS</v>
      </c>
      <c r="AC50" s="9" t="s">
        <v>136</v>
      </c>
      <c r="AE50" s="22" t="str" cm="1">
        <f t="array" ref="AE50">_xlfn.IFS(OR(COUNTIF(P50:V50,Categorías!#REF!)&gt;0, COUNTIF(P50:V50,Categorías!#REF!)&gt;0), "Sprint 21",OR(COUNTIF(P50:V50,Categorías!#REF!)&gt;0, COUNTIF(P50:V50,Categorías!#REF!)&gt;0, COUNTIF(P50:V50,Categorías!#REF!)&gt;0), "Sprint 20",OR(COUNTIF(P50:V50,Categorías!#REF!)&gt;0, COUNTIF(P50:V50,Categorías!#REF!)&gt;0, COUNTIF(P50:V50,Categorías!#REF!)&gt;0), "Sprint 19",OR(COUNTIF(P50:V50,Categorías!#REF!)&gt;0, COUNTIF(P50:V50,Categorías!#REF!)&gt;0, COUNTIF(P50:V50,Categorías!#REF!)&gt;0), "Sprint 18",OR(COUNTIF(P50:V50,Categorías!#REF!)&gt;0, COUNTIF(P50:V50,Categorías!#REF!)&gt;0, COUNTIF(P50:V50,Categorías!#REF!)&gt;0, COUNTIF(P50:V50,Categorías!#REF!)&gt;0), "Sprint 17",OR(COUNTIF(P50:V50,Categorías!#REF!)&gt;0, COUNTIF(P50:V50,Categorías!#REF!)&gt;0, COUNTIF(P50:V50,Categorías!#REF!)&gt;0, COUNTIF(P50:V50,Categorías!#REF!)&gt;0), "Sprint 16", OR(COUNTIF(P50:V50,Categorías!#REF!)&gt;0, COUNTIF(P50:V50,Categorías!#REF!)&gt;0, COUNTIF(P50:V50,Categorías!#REF!)&gt;0, COUNTIF(P50:V50,Categorías!#REF!)&gt;0), "Sprint 16",TRUE, "")</f>
        <v/>
      </c>
      <c r="AF5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0" t="str" cm="1">
        <f t="array" ref="AG5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0" s="22" t="str" cm="1">
        <f t="array" ref="AH50">_xlfn.IFS(COUNTIF(P50:V50, Categorías!$A$2)&gt;0, "Funcional", COUNTIF(P50:V50, Categorías!$A$3)&gt;0, "Configuración", COUNTIF(P50:V50, Categorías!$A$4)&gt;0, "Look&amp;Feel", COUNTIF(P50:V50, Categorías!$A$5)&gt;0, "Integración", COUNTIF(P50:V50, Categorías!$A$6)&gt;0, "Contenido/Datos", COUNTIF(P50:V50, Categorías!$A$7)&gt;0, "Eventos_Cosmos", COUNTIF(P50:V50, Categorías!$A$8)&gt;0, "Eventos_iOT", COUNTIF(P50:V50, Categorías!$A$9)&gt;0, "Eventos_Fabric", TRUE, "No encontrado")</f>
        <v>Funcional</v>
      </c>
    </row>
    <row r="51" spans="1:34" ht="43.5">
      <c r="A51" s="40" t="s">
        <v>128</v>
      </c>
      <c r="B51" s="40" t="s">
        <v>740</v>
      </c>
      <c r="C51" s="40">
        <v>98875</v>
      </c>
      <c r="D51" s="40" t="s">
        <v>741</v>
      </c>
      <c r="E51" s="40" t="s">
        <v>1049</v>
      </c>
      <c r="F51" s="40" t="s">
        <v>1049</v>
      </c>
      <c r="G51" s="40" t="s">
        <v>1049</v>
      </c>
      <c r="H51" s="40" t="s">
        <v>36</v>
      </c>
      <c r="I51" s="40" t="s">
        <v>24</v>
      </c>
      <c r="J51" s="40" t="s">
        <v>721</v>
      </c>
      <c r="K51" s="40" t="s">
        <v>637</v>
      </c>
      <c r="L51" s="40"/>
      <c r="M51" s="40"/>
      <c r="N51" s="40"/>
      <c r="O51" s="40"/>
      <c r="P51" s="40" t="s">
        <v>139</v>
      </c>
      <c r="Q51" s="40" t="s">
        <v>709</v>
      </c>
      <c r="R51" s="40"/>
      <c r="S51" s="40"/>
      <c r="T51" s="40"/>
      <c r="U51" s="40"/>
      <c r="V51" s="40"/>
      <c r="W51" s="40" t="s">
        <v>217</v>
      </c>
      <c r="X51" s="53">
        <v>45932.38958333333</v>
      </c>
      <c r="Y51" s="40"/>
      <c r="Z51" s="40"/>
      <c r="AA51" s="40"/>
      <c r="AB51" t="str">
        <f>IF(LEFT(Jira__325[[#This Row],[Resumen]],3)="POS","POS",IF(LEFT(Jira__325[[#This Row],[Resumen]],3)="BOT","BOT",""))</f>
        <v>POS</v>
      </c>
      <c r="AC51" s="13" t="s">
        <v>617</v>
      </c>
      <c r="AE51" s="22" t="str" cm="1">
        <f t="array" ref="AE51">_xlfn.IFS(OR(COUNTIF(P51:V51,Categorías!#REF!)&gt;0, COUNTIF(P51:V51,Categorías!#REF!)&gt;0), "Sprint 21",OR(COUNTIF(P51:V51,Categorías!#REF!)&gt;0, COUNTIF(P51:V51,Categorías!#REF!)&gt;0, COUNTIF(P51:V51,Categorías!#REF!)&gt;0), "Sprint 20",OR(COUNTIF(P51:V51,Categorías!#REF!)&gt;0, COUNTIF(P51:V51,Categorías!#REF!)&gt;0, COUNTIF(P51:V51,Categorías!#REF!)&gt;0), "Sprint 19",OR(COUNTIF(P51:V51,Categorías!#REF!)&gt;0, COUNTIF(P51:V51,Categorías!#REF!)&gt;0, COUNTIF(P51:V51,Categorías!#REF!)&gt;0), "Sprint 18",OR(COUNTIF(P51:V51,Categorías!#REF!)&gt;0, COUNTIF(P51:V51,Categorías!#REF!)&gt;0, COUNTIF(P51:V51,Categorías!#REF!)&gt;0, COUNTIF(P51:V51,Categorías!#REF!)&gt;0), "Sprint 17",OR(COUNTIF(P51:V51,Categorías!#REF!)&gt;0, COUNTIF(P51:V51,Categorías!#REF!)&gt;0, COUNTIF(P51:V51,Categorías!#REF!)&gt;0, COUNTIF(P51:V51,Categorías!#REF!)&gt;0), "Sprint 16", OR(COUNTIF(P51:V51,Categorías!#REF!)&gt;0, COUNTIF(P51:V51,Categorías!#REF!)&gt;0, COUNTIF(P51:V51,Categorías!#REF!)&gt;0, COUNTIF(P51:V51,Categorías!#REF!)&gt;0), "Sprint 16",TRUE, "")</f>
        <v/>
      </c>
      <c r="AF5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1" t="str" cm="1">
        <f t="array" ref="AG5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1" s="22" t="str" cm="1">
        <f t="array" ref="AH51">_xlfn.IFS(COUNTIF(P51:V51, Categorías!$A$2)&gt;0, "Funcional", COUNTIF(P51:V51, Categorías!$A$3)&gt;0, "Configuración", COUNTIF(P51:V51, Categorías!$A$4)&gt;0, "Look&amp;Feel", COUNTIF(P51:V51, Categorías!$A$5)&gt;0, "Integración", COUNTIF(P51:V51, Categorías!$A$6)&gt;0, "Contenido/Datos", COUNTIF(P51:V51, Categorías!$A$7)&gt;0, "Eventos_Cosmos", COUNTIF(P51:V51, Categorías!$A$8)&gt;0, "Eventos_iOT", COUNTIF(P51:V51, Categorías!$A$9)&gt;0, "Eventos_Fabric", TRUE, "No encontrado")</f>
        <v>Funcional</v>
      </c>
    </row>
    <row r="52" spans="1:34" ht="43.5">
      <c r="A52" s="40" t="s">
        <v>128</v>
      </c>
      <c r="B52" s="40" t="s">
        <v>742</v>
      </c>
      <c r="C52" s="40">
        <v>98650</v>
      </c>
      <c r="D52" s="40" t="s">
        <v>743</v>
      </c>
      <c r="E52" s="40" t="s">
        <v>1049</v>
      </c>
      <c r="F52" s="40" t="s">
        <v>1049</v>
      </c>
      <c r="G52" s="40" t="s">
        <v>1049</v>
      </c>
      <c r="H52" s="40" t="s">
        <v>41</v>
      </c>
      <c r="I52" s="40" t="s">
        <v>24</v>
      </c>
      <c r="J52" s="40" t="s">
        <v>721</v>
      </c>
      <c r="K52" s="40" t="s">
        <v>637</v>
      </c>
      <c r="L52" s="40"/>
      <c r="M52" s="40"/>
      <c r="N52" s="40"/>
      <c r="O52" s="40"/>
      <c r="P52" s="40" t="s">
        <v>139</v>
      </c>
      <c r="Q52" s="40" t="s">
        <v>709</v>
      </c>
      <c r="R52" s="40"/>
      <c r="S52" s="40"/>
      <c r="T52" s="40"/>
      <c r="U52" s="40"/>
      <c r="V52" s="40"/>
      <c r="W52" s="40" t="s">
        <v>134</v>
      </c>
      <c r="X52" s="53">
        <v>45931.62777777778</v>
      </c>
      <c r="Y52" s="40"/>
      <c r="Z52" s="40"/>
      <c r="AA52" s="40"/>
      <c r="AB52" t="str">
        <f>IF(LEFT(Jira__325[[#This Row],[Resumen]],3)="POS","POS",IF(LEFT(Jira__325[[#This Row],[Resumen]],3)="BOT","BOT",""))</f>
        <v>BOT</v>
      </c>
      <c r="AC52" s="13" t="s">
        <v>617</v>
      </c>
      <c r="AE52" s="22" t="str" cm="1">
        <f t="array" ref="AE52">_xlfn.IFS(OR(COUNTIF(P52:V52,Categorías!#REF!)&gt;0, COUNTIF(P52:V52,Categorías!#REF!)&gt;0), "Sprint 21",OR(COUNTIF(P52:V52,Categorías!#REF!)&gt;0, COUNTIF(P52:V52,Categorías!#REF!)&gt;0, COUNTIF(P52:V52,Categorías!#REF!)&gt;0), "Sprint 20",OR(COUNTIF(P52:V52,Categorías!#REF!)&gt;0, COUNTIF(P52:V52,Categorías!#REF!)&gt;0, COUNTIF(P52:V52,Categorías!#REF!)&gt;0), "Sprint 19",OR(COUNTIF(P52:V52,Categorías!#REF!)&gt;0, COUNTIF(P52:V52,Categorías!#REF!)&gt;0, COUNTIF(P52:V52,Categorías!#REF!)&gt;0), "Sprint 18",OR(COUNTIF(P52:V52,Categorías!#REF!)&gt;0, COUNTIF(P52:V52,Categorías!#REF!)&gt;0, COUNTIF(P52:V52,Categorías!#REF!)&gt;0, COUNTIF(P52:V52,Categorías!#REF!)&gt;0), "Sprint 17",OR(COUNTIF(P52:V52,Categorías!#REF!)&gt;0, COUNTIF(P52:V52,Categorías!#REF!)&gt;0, COUNTIF(P52:V52,Categorías!#REF!)&gt;0, COUNTIF(P52:V52,Categorías!#REF!)&gt;0), "Sprint 16", OR(COUNTIF(P52:V52,Categorías!#REF!)&gt;0, COUNTIF(P52:V52,Categorías!#REF!)&gt;0, COUNTIF(P52:V52,Categorías!#REF!)&gt;0, COUNTIF(P52:V52,Categorías!#REF!)&gt;0), "Sprint 16",TRUE, "")</f>
        <v/>
      </c>
      <c r="AF5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2" t="str" cm="1">
        <f t="array" ref="AG5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2" s="22" t="str" cm="1">
        <f t="array" ref="AH52">_xlfn.IFS(COUNTIF(P52:V52, Categorías!$A$2)&gt;0, "Funcional", COUNTIF(P52:V52, Categorías!$A$3)&gt;0, "Configuración", COUNTIF(P52:V52, Categorías!$A$4)&gt;0, "Look&amp;Feel", COUNTIF(P52:V52, Categorías!$A$5)&gt;0, "Integración", COUNTIF(P52:V52, Categorías!$A$6)&gt;0, "Contenido/Datos", COUNTIF(P52:V52, Categorías!$A$7)&gt;0, "Eventos_Cosmos", COUNTIF(P52:V52, Categorías!$A$8)&gt;0, "Eventos_iOT", COUNTIF(P52:V52, Categorías!$A$9)&gt;0, "Eventos_Fabric", TRUE, "No encontrado")</f>
        <v>Funcional</v>
      </c>
    </row>
    <row r="53" spans="1:34" ht="29.25">
      <c r="A53" s="40" t="s">
        <v>128</v>
      </c>
      <c r="B53" s="40" t="s">
        <v>744</v>
      </c>
      <c r="C53" s="40">
        <v>98563</v>
      </c>
      <c r="D53" s="40" t="s">
        <v>745</v>
      </c>
      <c r="E53" s="40" t="s">
        <v>1049</v>
      </c>
      <c r="F53" s="40" t="s">
        <v>1049</v>
      </c>
      <c r="G53" s="40" t="s">
        <v>1049</v>
      </c>
      <c r="H53" s="40" t="s">
        <v>36</v>
      </c>
      <c r="I53" s="40" t="s">
        <v>28</v>
      </c>
      <c r="J53" s="40" t="s">
        <v>637</v>
      </c>
      <c r="K53" s="40"/>
      <c r="L53" s="40"/>
      <c r="M53" s="40"/>
      <c r="N53" s="40"/>
      <c r="O53" s="40"/>
      <c r="P53" s="40" t="s">
        <v>287</v>
      </c>
      <c r="Q53" s="40" t="s">
        <v>709</v>
      </c>
      <c r="R53" s="40"/>
      <c r="S53" s="40"/>
      <c r="T53" s="40"/>
      <c r="U53" s="40"/>
      <c r="V53" s="40"/>
      <c r="W53" s="40" t="s">
        <v>134</v>
      </c>
      <c r="X53" s="53">
        <v>45931.461111111108</v>
      </c>
      <c r="Y53" s="40" t="s">
        <v>710</v>
      </c>
      <c r="Z53" s="40"/>
      <c r="AA53" s="40"/>
      <c r="AB53" t="str">
        <f>IF(LEFT(Jira__325[[#This Row],[Resumen]],3)="POS","POS",IF(LEFT(Jira__325[[#This Row],[Resumen]],3)="BOT","BOT",""))</f>
        <v>BOT</v>
      </c>
      <c r="AC53" s="9" t="s">
        <v>136</v>
      </c>
      <c r="AE53" s="22" t="str" cm="1">
        <f t="array" ref="AE53">_xlfn.IFS(OR(COUNTIF(P53:V53,Categorías!#REF!)&gt;0, COUNTIF(P53:V53,Categorías!#REF!)&gt;0), "Sprint 21",OR(COUNTIF(P53:V53,Categorías!#REF!)&gt;0, COUNTIF(P53:V53,Categorías!#REF!)&gt;0, COUNTIF(P53:V53,Categorías!#REF!)&gt;0), "Sprint 20",OR(COUNTIF(P53:V53,Categorías!#REF!)&gt;0, COUNTIF(P53:V53,Categorías!#REF!)&gt;0, COUNTIF(P53:V53,Categorías!#REF!)&gt;0), "Sprint 19",OR(COUNTIF(P53:V53,Categorías!#REF!)&gt;0, COUNTIF(P53:V53,Categorías!#REF!)&gt;0, COUNTIF(P53:V53,Categorías!#REF!)&gt;0), "Sprint 18",OR(COUNTIF(P53:V53,Categorías!#REF!)&gt;0, COUNTIF(P53:V53,Categorías!#REF!)&gt;0, COUNTIF(P53:V53,Categorías!#REF!)&gt;0, COUNTIF(P53:V53,Categorías!#REF!)&gt;0), "Sprint 17",OR(COUNTIF(P53:V53,Categorías!#REF!)&gt;0, COUNTIF(P53:V53,Categorías!#REF!)&gt;0, COUNTIF(P53:V53,Categorías!#REF!)&gt;0, COUNTIF(P53:V53,Categorías!#REF!)&gt;0), "Sprint 16", OR(COUNTIF(P53:V53,Categorías!#REF!)&gt;0, COUNTIF(P53:V53,Categorías!#REF!)&gt;0, COUNTIF(P53:V53,Categorías!#REF!)&gt;0, COUNTIF(P53:V53,Categorías!#REF!)&gt;0), "Sprint 16",TRUE, "")</f>
        <v/>
      </c>
      <c r="AF5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53" t="str" cm="1">
        <f t="array" ref="AG5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53" s="22" t="str" cm="1">
        <f t="array" ref="AH53">_xlfn.IFS(COUNTIF(P53:V53, Categorías!$A$2)&gt;0, "Funcional", COUNTIF(P53:V53, Categorías!$A$3)&gt;0, "Configuración", COUNTIF(P53:V53, Categorías!$A$4)&gt;0, "Look&amp;Feel", COUNTIF(P53:V53, Categorías!$A$5)&gt;0, "Integración", COUNTIF(P53:V53, Categorías!$A$6)&gt;0, "Contenido/Datos", COUNTIF(P53:V53, Categorías!$A$7)&gt;0, "Eventos_Cosmos", COUNTIF(P53:V53, Categorías!$A$8)&gt;0, "Eventos_iOT", COUNTIF(P53:V53, Categorías!$A$9)&gt;0, "Eventos_Fabric", TRUE, "No encontrado")</f>
        <v>Eventos_iOT</v>
      </c>
    </row>
    <row r="54" spans="1:34" ht="29.25">
      <c r="A54" s="40" t="s">
        <v>128</v>
      </c>
      <c r="B54" s="40" t="s">
        <v>746</v>
      </c>
      <c r="C54" s="40">
        <v>98503</v>
      </c>
      <c r="D54" s="40" t="s">
        <v>747</v>
      </c>
      <c r="E54" s="40" t="s">
        <v>1049</v>
      </c>
      <c r="F54" s="40" t="s">
        <v>1049</v>
      </c>
      <c r="G54" s="40" t="s">
        <v>1049</v>
      </c>
      <c r="H54" s="40" t="s">
        <v>36</v>
      </c>
      <c r="I54" s="40" t="s">
        <v>23</v>
      </c>
      <c r="J54" s="40" t="s">
        <v>637</v>
      </c>
      <c r="K54" s="40"/>
      <c r="L54" s="40"/>
      <c r="M54" s="40"/>
      <c r="N54" s="40"/>
      <c r="O54" s="40"/>
      <c r="P54" s="40" t="s">
        <v>139</v>
      </c>
      <c r="Q54" s="40" t="s">
        <v>709</v>
      </c>
      <c r="R54" s="40"/>
      <c r="S54" s="40"/>
      <c r="T54" s="40"/>
      <c r="U54" s="40"/>
      <c r="V54" s="40"/>
      <c r="W54" s="40" t="s">
        <v>217</v>
      </c>
      <c r="X54" s="53">
        <v>45931.367361111108</v>
      </c>
      <c r="Y54" s="40"/>
      <c r="Z54" s="40"/>
      <c r="AA54" s="40"/>
      <c r="AB54" t="str">
        <f>IF(LEFT(Jira__325[[#This Row],[Resumen]],3)="POS","POS",IF(LEFT(Jira__325[[#This Row],[Resumen]],3)="BOT","BOT",""))</f>
        <v>BOT</v>
      </c>
      <c r="AC54" s="9" t="s">
        <v>136</v>
      </c>
      <c r="AE54" s="22" t="str" cm="1">
        <f t="array" ref="AE54">_xlfn.IFS(OR(COUNTIF(P54:V54,Categorías!#REF!)&gt;0, COUNTIF(P54:V54,Categorías!#REF!)&gt;0), "Sprint 21",OR(COUNTIF(P54:V54,Categorías!#REF!)&gt;0, COUNTIF(P54:V54,Categorías!#REF!)&gt;0, COUNTIF(P54:V54,Categorías!#REF!)&gt;0), "Sprint 20",OR(COUNTIF(P54:V54,Categorías!#REF!)&gt;0, COUNTIF(P54:V54,Categorías!#REF!)&gt;0, COUNTIF(P54:V54,Categorías!#REF!)&gt;0), "Sprint 19",OR(COUNTIF(P54:V54,Categorías!#REF!)&gt;0, COUNTIF(P54:V54,Categorías!#REF!)&gt;0, COUNTIF(P54:V54,Categorías!#REF!)&gt;0), "Sprint 18",OR(COUNTIF(P54:V54,Categorías!#REF!)&gt;0, COUNTIF(P54:V54,Categorías!#REF!)&gt;0, COUNTIF(P54:V54,Categorías!#REF!)&gt;0, COUNTIF(P54:V54,Categorías!#REF!)&gt;0), "Sprint 17",OR(COUNTIF(P54:V54,Categorías!#REF!)&gt;0, COUNTIF(P54:V54,Categorías!#REF!)&gt;0, COUNTIF(P54:V54,Categorías!#REF!)&gt;0, COUNTIF(P54:V54,Categorías!#REF!)&gt;0), "Sprint 16", OR(COUNTIF(P54:V54,Categorías!#REF!)&gt;0, COUNTIF(P54:V54,Categorías!#REF!)&gt;0, COUNTIF(P54:V54,Categorías!#REF!)&gt;0, COUNTIF(P54:V54,Categorías!#REF!)&gt;0), "Sprint 16",TRUE, "")</f>
        <v/>
      </c>
      <c r="AF5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4" t="str" cm="1">
        <f t="array" ref="AG5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4" s="22" t="str" cm="1">
        <f t="array" ref="AH54">_xlfn.IFS(COUNTIF(P54:V54, Categorías!$A$2)&gt;0, "Funcional", COUNTIF(P54:V54, Categorías!$A$3)&gt;0, "Configuración", COUNTIF(P54:V54, Categorías!$A$4)&gt;0, "Look&amp;Feel", COUNTIF(P54:V54, Categorías!$A$5)&gt;0, "Integración", COUNTIF(P54:V54, Categorías!$A$6)&gt;0, "Contenido/Datos", COUNTIF(P54:V54, Categorías!$A$7)&gt;0, "Eventos_Cosmos", COUNTIF(P54:V54, Categorías!$A$8)&gt;0, "Eventos_iOT", COUNTIF(P54:V54, Categorías!$A$9)&gt;0, "Eventos_Fabric", TRUE, "No encontrado")</f>
        <v>Funcional</v>
      </c>
    </row>
    <row r="55" spans="1:34" ht="29.25">
      <c r="A55" s="40" t="s">
        <v>128</v>
      </c>
      <c r="B55" s="40" t="s">
        <v>748</v>
      </c>
      <c r="C55" s="40">
        <v>97844</v>
      </c>
      <c r="D55" s="40" t="s">
        <v>1050</v>
      </c>
      <c r="E55" s="40" t="s">
        <v>1049</v>
      </c>
      <c r="F55" s="40" t="s">
        <v>1049</v>
      </c>
      <c r="G55" s="40" t="s">
        <v>1049</v>
      </c>
      <c r="H55" s="40" t="s">
        <v>36</v>
      </c>
      <c r="I55" s="40" t="s">
        <v>28</v>
      </c>
      <c r="J55" s="40" t="s">
        <v>637</v>
      </c>
      <c r="K55" s="40"/>
      <c r="L55" s="40"/>
      <c r="M55" s="40"/>
      <c r="N55" s="40"/>
      <c r="O55" s="40"/>
      <c r="P55" s="40" t="s">
        <v>132</v>
      </c>
      <c r="Q55" s="40" t="s">
        <v>750</v>
      </c>
      <c r="R55" s="40"/>
      <c r="S55" s="40"/>
      <c r="T55" s="40"/>
      <c r="U55" s="40"/>
      <c r="V55" s="40"/>
      <c r="W55" s="40" t="s">
        <v>217</v>
      </c>
      <c r="X55" s="53">
        <v>45929.380555555559</v>
      </c>
      <c r="Y55" s="40"/>
      <c r="Z55" s="40"/>
      <c r="AA55" s="40"/>
      <c r="AB55" t="str">
        <f>IF(LEFT(Jira__325[[#This Row],[Resumen]],3)="POS","POS",IF(LEFT(Jira__325[[#This Row],[Resumen]],3)="BOT","BOT",""))</f>
        <v>BOT</v>
      </c>
      <c r="AC55" s="9" t="s">
        <v>136</v>
      </c>
      <c r="AE55" s="22" t="str" cm="1">
        <f t="array" ref="AE55">_xlfn.IFS(OR(COUNTIF(P55:V55,Categorías!#REF!)&gt;0, COUNTIF(P55:V55,Categorías!#REF!)&gt;0), "Sprint 21",OR(COUNTIF(P55:V55,Categorías!#REF!)&gt;0, COUNTIF(P55:V55,Categorías!#REF!)&gt;0, COUNTIF(P55:V55,Categorías!#REF!)&gt;0), "Sprint 20",OR(COUNTIF(P55:V55,Categorías!#REF!)&gt;0, COUNTIF(P55:V55,Categorías!#REF!)&gt;0, COUNTIF(P55:V55,Categorías!#REF!)&gt;0), "Sprint 19",OR(COUNTIF(P55:V55,Categorías!#REF!)&gt;0, COUNTIF(P55:V55,Categorías!#REF!)&gt;0, COUNTIF(P55:V55,Categorías!#REF!)&gt;0), "Sprint 18",OR(COUNTIF(P55:V55,Categorías!#REF!)&gt;0, COUNTIF(P55:V55,Categorías!#REF!)&gt;0, COUNTIF(P55:V55,Categorías!#REF!)&gt;0, COUNTIF(P55:V55,Categorías!#REF!)&gt;0), "Sprint 17",OR(COUNTIF(P55:V55,Categorías!#REF!)&gt;0, COUNTIF(P55:V55,Categorías!#REF!)&gt;0, COUNTIF(P55:V55,Categorías!#REF!)&gt;0, COUNTIF(P55:V55,Categorías!#REF!)&gt;0), "Sprint 16", OR(COUNTIF(P55:V55,Categorías!#REF!)&gt;0, COUNTIF(P55:V55,Categorías!#REF!)&gt;0, COUNTIF(P55:V55,Categorías!#REF!)&gt;0, COUNTIF(P55:V55,Categorías!#REF!)&gt;0), "Sprint 16",TRUE, "")</f>
        <v/>
      </c>
      <c r="AF5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5" t="str" cm="1">
        <f t="array" ref="AG5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5" s="22" t="str" cm="1">
        <f t="array" ref="AH55">_xlfn.IFS(COUNTIF(P55:V55, Categorías!$A$2)&gt;0, "Funcional", COUNTIF(P55:V55, Categorías!$A$3)&gt;0, "Configuración", COUNTIF(P55:V55, Categorías!$A$4)&gt;0, "Look&amp;Feel", COUNTIF(P55:V55, Categorías!$A$5)&gt;0, "Integración", COUNTIF(P55:V55, Categorías!$A$6)&gt;0, "Contenido/Datos", COUNTIF(P55:V55, Categorías!$A$7)&gt;0, "Eventos_Cosmos", COUNTIF(P55:V55, Categorías!$A$8)&gt;0, "Eventos_iOT", COUNTIF(P55:V55, Categorías!$A$9)&gt;0, "Eventos_Fabric", TRUE, "No encontrado")</f>
        <v>Look&amp;Feel</v>
      </c>
    </row>
    <row r="56" spans="1:34" ht="29.25">
      <c r="A56" s="40" t="s">
        <v>128</v>
      </c>
      <c r="B56" s="40" t="s">
        <v>751</v>
      </c>
      <c r="C56" s="40">
        <v>97661</v>
      </c>
      <c r="D56" s="40" t="s">
        <v>752</v>
      </c>
      <c r="E56" s="40" t="s">
        <v>1049</v>
      </c>
      <c r="F56" s="40" t="s">
        <v>1049</v>
      </c>
      <c r="G56" s="40" t="s">
        <v>1049</v>
      </c>
      <c r="H56" s="40" t="s">
        <v>36</v>
      </c>
      <c r="I56" s="40" t="s">
        <v>27</v>
      </c>
      <c r="J56" s="40" t="s">
        <v>753</v>
      </c>
      <c r="K56" s="40" t="s">
        <v>637</v>
      </c>
      <c r="L56" s="40"/>
      <c r="M56" s="40"/>
      <c r="N56" s="40"/>
      <c r="O56" s="40"/>
      <c r="P56" s="40" t="s">
        <v>139</v>
      </c>
      <c r="Q56" s="40" t="s">
        <v>750</v>
      </c>
      <c r="R56" s="40"/>
      <c r="S56" s="40"/>
      <c r="T56" s="40"/>
      <c r="U56" s="40"/>
      <c r="V56" s="40"/>
      <c r="W56" s="40" t="s">
        <v>217</v>
      </c>
      <c r="X56" s="53">
        <v>45926.625</v>
      </c>
      <c r="Y56" s="40"/>
      <c r="Z56" s="40"/>
      <c r="AA56" s="40"/>
      <c r="AB56" t="str">
        <f>IF(LEFT(Jira__325[[#This Row],[Resumen]],3)="POS","POS",IF(LEFT(Jira__325[[#This Row],[Resumen]],3)="BOT","BOT",""))</f>
        <v>POS</v>
      </c>
      <c r="AC56" s="9" t="s">
        <v>218</v>
      </c>
      <c r="AE56" s="22" t="str" cm="1">
        <f t="array" ref="AE56">_xlfn.IFS(OR(COUNTIF(P56:V56,Categorías!#REF!)&gt;0, COUNTIF(P56:V56,Categorías!#REF!)&gt;0), "Sprint 21",OR(COUNTIF(P56:V56,Categorías!#REF!)&gt;0, COUNTIF(P56:V56,Categorías!#REF!)&gt;0, COUNTIF(P56:V56,Categorías!#REF!)&gt;0), "Sprint 20",OR(COUNTIF(P56:V56,Categorías!#REF!)&gt;0, COUNTIF(P56:V56,Categorías!#REF!)&gt;0, COUNTIF(P56:V56,Categorías!#REF!)&gt;0), "Sprint 19",OR(COUNTIF(P56:V56,Categorías!#REF!)&gt;0, COUNTIF(P56:V56,Categorías!#REF!)&gt;0, COUNTIF(P56:V56,Categorías!#REF!)&gt;0), "Sprint 18",OR(COUNTIF(P56:V56,Categorías!#REF!)&gt;0, COUNTIF(P56:V56,Categorías!#REF!)&gt;0, COUNTIF(P56:V56,Categorías!#REF!)&gt;0, COUNTIF(P56:V56,Categorías!#REF!)&gt;0), "Sprint 17",OR(COUNTIF(P56:V56,Categorías!#REF!)&gt;0, COUNTIF(P56:V56,Categorías!#REF!)&gt;0, COUNTIF(P56:V56,Categorías!#REF!)&gt;0, COUNTIF(P56:V56,Categorías!#REF!)&gt;0), "Sprint 16", OR(COUNTIF(P56:V56,Categorías!#REF!)&gt;0, COUNTIF(P56:V56,Categorías!#REF!)&gt;0, COUNTIF(P56:V56,Categorías!#REF!)&gt;0, COUNTIF(P56:V56,Categorías!#REF!)&gt;0), "Sprint 16",TRUE, "")</f>
        <v/>
      </c>
      <c r="AF5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6" t="str" cm="1">
        <f t="array" ref="AG5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6" s="22" t="str" cm="1">
        <f t="array" ref="AH56">_xlfn.IFS(COUNTIF(P56:V56, Categorías!$A$2)&gt;0, "Funcional", COUNTIF(P56:V56, Categorías!$A$3)&gt;0, "Configuración", COUNTIF(P56:V56, Categorías!$A$4)&gt;0, "Look&amp;Feel", COUNTIF(P56:V56, Categorías!$A$5)&gt;0, "Integración", COUNTIF(P56:V56, Categorías!$A$6)&gt;0, "Contenido/Datos", COUNTIF(P56:V56, Categorías!$A$7)&gt;0, "Eventos_Cosmos", COUNTIF(P56:V56, Categorías!$A$8)&gt;0, "Eventos_iOT", COUNTIF(P56:V56, Categorías!$A$9)&gt;0, "Eventos_Fabric", TRUE, "No encontrado")</f>
        <v>Funcional</v>
      </c>
    </row>
    <row r="57" spans="1:34" ht="29.25">
      <c r="A57" s="40" t="s">
        <v>128</v>
      </c>
      <c r="B57" s="40" t="s">
        <v>754</v>
      </c>
      <c r="C57" s="40">
        <v>97648</v>
      </c>
      <c r="D57" s="40" t="s">
        <v>755</v>
      </c>
      <c r="E57" s="40">
        <v>79941</v>
      </c>
      <c r="F57" s="40" t="s">
        <v>1045</v>
      </c>
      <c r="G57" s="40" t="s">
        <v>1046</v>
      </c>
      <c r="H57" s="40" t="s">
        <v>36</v>
      </c>
      <c r="I57" s="40" t="s">
        <v>27</v>
      </c>
      <c r="J57" s="40" t="s">
        <v>753</v>
      </c>
      <c r="K57" s="40" t="s">
        <v>637</v>
      </c>
      <c r="L57" s="40"/>
      <c r="M57" s="40"/>
      <c r="N57" s="40"/>
      <c r="O57" s="40"/>
      <c r="P57" s="40" t="s">
        <v>139</v>
      </c>
      <c r="Q57" s="40" t="s">
        <v>750</v>
      </c>
      <c r="R57" s="40"/>
      <c r="S57" s="40"/>
      <c r="T57" s="40"/>
      <c r="U57" s="40"/>
      <c r="V57" s="40"/>
      <c r="W57" s="40" t="s">
        <v>217</v>
      </c>
      <c r="X57" s="53">
        <v>45926.606944444444</v>
      </c>
      <c r="Y57" s="40"/>
      <c r="Z57" s="40"/>
      <c r="AA57" s="40"/>
      <c r="AB57" t="str">
        <f>IF(LEFT(Jira__325[[#This Row],[Resumen]],3)="POS","POS",IF(LEFT(Jira__325[[#This Row],[Resumen]],3)="BOT","BOT",""))</f>
        <v>POS</v>
      </c>
      <c r="AC57" s="9" t="s">
        <v>218</v>
      </c>
      <c r="AE57" s="22" t="str" cm="1">
        <f t="array" ref="AE57">_xlfn.IFS(OR(COUNTIF(P57:V57,Categorías!#REF!)&gt;0, COUNTIF(P57:V57,Categorías!#REF!)&gt;0), "Sprint 21",OR(COUNTIF(P57:V57,Categorías!#REF!)&gt;0, COUNTIF(P57:V57,Categorías!#REF!)&gt;0, COUNTIF(P57:V57,Categorías!#REF!)&gt;0), "Sprint 20",OR(COUNTIF(P57:V57,Categorías!#REF!)&gt;0, COUNTIF(P57:V57,Categorías!#REF!)&gt;0, COUNTIF(P57:V57,Categorías!#REF!)&gt;0), "Sprint 19",OR(COUNTIF(P57:V57,Categorías!#REF!)&gt;0, COUNTIF(P57:V57,Categorías!#REF!)&gt;0, COUNTIF(P57:V57,Categorías!#REF!)&gt;0), "Sprint 18",OR(COUNTIF(P57:V57,Categorías!#REF!)&gt;0, COUNTIF(P57:V57,Categorías!#REF!)&gt;0, COUNTIF(P57:V57,Categorías!#REF!)&gt;0, COUNTIF(P57:V57,Categorías!#REF!)&gt;0), "Sprint 17",OR(COUNTIF(P57:V57,Categorías!#REF!)&gt;0, COUNTIF(P57:V57,Categorías!#REF!)&gt;0, COUNTIF(P57:V57,Categorías!#REF!)&gt;0, COUNTIF(P57:V57,Categorías!#REF!)&gt;0), "Sprint 16", OR(COUNTIF(P57:V57,Categorías!#REF!)&gt;0, COUNTIF(P57:V57,Categorías!#REF!)&gt;0, COUNTIF(P57:V57,Categorías!#REF!)&gt;0, COUNTIF(P57:V57,Categorías!#REF!)&gt;0), "Sprint 16",TRUE, "")</f>
        <v/>
      </c>
      <c r="AF5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57" t="str" cm="1">
        <f t="array" ref="AG5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57" s="22" t="str" cm="1">
        <f t="array" ref="AH57">_xlfn.IFS(COUNTIF(P57:V57, Categorías!$A$2)&gt;0, "Funcional", COUNTIF(P57:V57, Categorías!$A$3)&gt;0, "Configuración", COUNTIF(P57:V57, Categorías!$A$4)&gt;0, "Look&amp;Feel", COUNTIF(P57:V57, Categorías!$A$5)&gt;0, "Integración", COUNTIF(P57:V57, Categorías!$A$6)&gt;0, "Contenido/Datos", COUNTIF(P57:V57, Categorías!$A$7)&gt;0, "Eventos_Cosmos", COUNTIF(P57:V57, Categorías!$A$8)&gt;0, "Eventos_iOT", COUNTIF(P57:V57, Categorías!$A$9)&gt;0, "Eventos_Fabric", TRUE, "No encontrado")</f>
        <v>Funcional</v>
      </c>
    </row>
    <row r="58" spans="1:34" ht="29.25">
      <c r="A58" s="40" t="s">
        <v>128</v>
      </c>
      <c r="B58" s="40" t="s">
        <v>756</v>
      </c>
      <c r="C58" s="40">
        <v>97611</v>
      </c>
      <c r="D58" s="40" t="s">
        <v>757</v>
      </c>
      <c r="E58" s="40">
        <v>87100</v>
      </c>
      <c r="F58" s="40" t="s">
        <v>1039</v>
      </c>
      <c r="G58" s="40" t="s">
        <v>1040</v>
      </c>
      <c r="H58" s="40" t="s">
        <v>37</v>
      </c>
      <c r="I58" s="40" t="s">
        <v>24</v>
      </c>
      <c r="J58" s="40" t="s">
        <v>1041</v>
      </c>
      <c r="K58" s="40"/>
      <c r="L58" s="40"/>
      <c r="M58" s="40"/>
      <c r="N58" s="40"/>
      <c r="O58" s="40"/>
      <c r="P58" s="40" t="s">
        <v>490</v>
      </c>
      <c r="Q58" s="40" t="s">
        <v>758</v>
      </c>
      <c r="R58" s="40"/>
      <c r="S58" s="40"/>
      <c r="T58" s="40"/>
      <c r="U58" s="40"/>
      <c r="V58" s="40"/>
      <c r="W58" s="40" t="s">
        <v>759</v>
      </c>
      <c r="X58" s="53">
        <v>45926.549305555556</v>
      </c>
      <c r="Y58" s="40" t="s">
        <v>760</v>
      </c>
      <c r="Z58" s="40"/>
      <c r="AA58" s="40"/>
      <c r="AB58" t="str">
        <f>IF(LEFT(Jira__325[[#This Row],[Resumen]],3)="POS","POS",IF(LEFT(Jira__325[[#This Row],[Resumen]],3)="BOT","BOT",""))</f>
        <v>POS</v>
      </c>
      <c r="AC58" s="9" t="s">
        <v>218</v>
      </c>
      <c r="AE58" s="22" t="str" cm="1">
        <f t="array" ref="AE58">_xlfn.IFS(OR(COUNTIF(P58:V58,Categorías!#REF!)&gt;0, COUNTIF(P58:V58,Categorías!#REF!)&gt;0), "Sprint 21",OR(COUNTIF(P58:V58,Categorías!#REF!)&gt;0, COUNTIF(P58:V58,Categorías!#REF!)&gt;0, COUNTIF(P58:V58,Categorías!#REF!)&gt;0), "Sprint 20",OR(COUNTIF(P58:V58,Categorías!#REF!)&gt;0, COUNTIF(P58:V58,Categorías!#REF!)&gt;0, COUNTIF(P58:V58,Categorías!#REF!)&gt;0), "Sprint 19",OR(COUNTIF(P58:V58,Categorías!#REF!)&gt;0, COUNTIF(P58:V58,Categorías!#REF!)&gt;0, COUNTIF(P58:V58,Categorías!#REF!)&gt;0), "Sprint 18",OR(COUNTIF(P58:V58,Categorías!#REF!)&gt;0, COUNTIF(P58:V58,Categorías!#REF!)&gt;0, COUNTIF(P58:V58,Categorías!#REF!)&gt;0, COUNTIF(P58:V58,Categorías!#REF!)&gt;0), "Sprint 17",OR(COUNTIF(P58:V58,Categorías!#REF!)&gt;0, COUNTIF(P58:V58,Categorías!#REF!)&gt;0, COUNTIF(P58:V58,Categorías!#REF!)&gt;0, COUNTIF(P58:V58,Categorías!#REF!)&gt;0), "Sprint 16", OR(COUNTIF(P58:V58,Categorías!#REF!)&gt;0, COUNTIF(P58:V58,Categorías!#REF!)&gt;0, COUNTIF(P58:V58,Categorías!#REF!)&gt;0, COUNTIF(P58:V58,Categorías!#REF!)&gt;0), "Sprint 16",TRUE, "")</f>
        <v/>
      </c>
      <c r="AF5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58" t="str" cm="1">
        <f t="array" ref="AG5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58" s="22" t="str" cm="1">
        <f t="array" ref="AH58">_xlfn.IFS(COUNTIF(P58:V58, Categorías!$A$2)&gt;0, "Funcional", COUNTIF(P58:V58, Categorías!$A$3)&gt;0, "Configuración", COUNTIF(P58:V58, Categorías!$A$4)&gt;0, "Look&amp;Feel", COUNTIF(P58:V58, Categorías!$A$5)&gt;0, "Integración", COUNTIF(P58:V58, Categorías!$A$6)&gt;0, "Contenido/Datos", COUNTIF(P58:V58, Categorías!$A$7)&gt;0, "Eventos_Cosmos", COUNTIF(P58:V58, Categorías!$A$8)&gt;0, "Eventos_iOT", COUNTIF(P58:V58, Categorías!$A$9)&gt;0, "Eventos_Fabric", TRUE, "No encontrado")</f>
        <v>Contenido/Datos</v>
      </c>
    </row>
    <row r="59" spans="1:34" ht="29.25">
      <c r="A59" s="40" t="s">
        <v>128</v>
      </c>
      <c r="B59" s="40" t="s">
        <v>761</v>
      </c>
      <c r="C59" s="40">
        <v>97011</v>
      </c>
      <c r="D59" s="40" t="s">
        <v>762</v>
      </c>
      <c r="E59" s="40">
        <v>87100</v>
      </c>
      <c r="F59" s="40" t="s">
        <v>1039</v>
      </c>
      <c r="G59" s="40" t="s">
        <v>1040</v>
      </c>
      <c r="H59" s="40" t="s">
        <v>36</v>
      </c>
      <c r="I59" s="40" t="s">
        <v>27</v>
      </c>
      <c r="J59" s="40" t="s">
        <v>753</v>
      </c>
      <c r="K59" s="40" t="s">
        <v>637</v>
      </c>
      <c r="L59" s="40"/>
      <c r="M59" s="40"/>
      <c r="N59" s="40"/>
      <c r="O59" s="40"/>
      <c r="P59" s="40" t="s">
        <v>287</v>
      </c>
      <c r="Q59" s="40" t="s">
        <v>750</v>
      </c>
      <c r="R59" s="40"/>
      <c r="S59" s="40"/>
      <c r="T59" s="40"/>
      <c r="U59" s="40"/>
      <c r="V59" s="40"/>
      <c r="W59" s="40" t="s">
        <v>134</v>
      </c>
      <c r="X59" s="53">
        <v>45924.770138888889</v>
      </c>
      <c r="Y59" s="40" t="s">
        <v>760</v>
      </c>
      <c r="Z59" s="40"/>
      <c r="AA59" s="40"/>
      <c r="AB59" t="str">
        <f>IF(LEFT(Jira__325[[#This Row],[Resumen]],3)="POS","POS",IF(LEFT(Jira__325[[#This Row],[Resumen]],3)="BOT","BOT",""))</f>
        <v>POS</v>
      </c>
      <c r="AC59" s="9" t="s">
        <v>218</v>
      </c>
      <c r="AE59" s="22" t="str" cm="1">
        <f t="array" ref="AE59">_xlfn.IFS(OR(COUNTIF(P59:V59,Categorías!#REF!)&gt;0, COUNTIF(P59:V59,Categorías!#REF!)&gt;0), "Sprint 21",OR(COUNTIF(P59:V59,Categorías!#REF!)&gt;0, COUNTIF(P59:V59,Categorías!#REF!)&gt;0, COUNTIF(P59:V59,Categorías!#REF!)&gt;0), "Sprint 20",OR(COUNTIF(P59:V59,Categorías!#REF!)&gt;0, COUNTIF(P59:V59,Categorías!#REF!)&gt;0, COUNTIF(P59:V59,Categorías!#REF!)&gt;0), "Sprint 19",OR(COUNTIF(P59:V59,Categorías!#REF!)&gt;0, COUNTIF(P59:V59,Categorías!#REF!)&gt;0, COUNTIF(P59:V59,Categorías!#REF!)&gt;0), "Sprint 18",OR(COUNTIF(P59:V59,Categorías!#REF!)&gt;0, COUNTIF(P59:V59,Categorías!#REF!)&gt;0, COUNTIF(P59:V59,Categorías!#REF!)&gt;0, COUNTIF(P59:V59,Categorías!#REF!)&gt;0), "Sprint 17",OR(COUNTIF(P59:V59,Categorías!#REF!)&gt;0, COUNTIF(P59:V59,Categorías!#REF!)&gt;0, COUNTIF(P59:V59,Categorías!#REF!)&gt;0, COUNTIF(P59:V59,Categorías!#REF!)&gt;0), "Sprint 16", OR(COUNTIF(P59:V59,Categorías!#REF!)&gt;0, COUNTIF(P59:V59,Categorías!#REF!)&gt;0, COUNTIF(P59:V59,Categorías!#REF!)&gt;0, COUNTIF(P59:V59,Categorías!#REF!)&gt;0), "Sprint 16",TRUE, "")</f>
        <v/>
      </c>
      <c r="AF5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59" t="str" cm="1">
        <f t="array" ref="AG5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59" s="22" t="str" cm="1">
        <f t="array" ref="AH59">_xlfn.IFS(COUNTIF(P59:V59, Categorías!$A$2)&gt;0, "Funcional", COUNTIF(P59:V59, Categorías!$A$3)&gt;0, "Configuración", COUNTIF(P59:V59, Categorías!$A$4)&gt;0, "Look&amp;Feel", COUNTIF(P59:V59, Categorías!$A$5)&gt;0, "Integración", COUNTIF(P59:V59, Categorías!$A$6)&gt;0, "Contenido/Datos", COUNTIF(P59:V59, Categorías!$A$7)&gt;0, "Eventos_Cosmos", COUNTIF(P59:V59, Categorías!$A$8)&gt;0, "Eventos_iOT", COUNTIF(P59:V59, Categorías!$A$9)&gt;0, "Eventos_Fabric", TRUE, "No encontrado")</f>
        <v>Eventos_iOT</v>
      </c>
    </row>
    <row r="60" spans="1:34" ht="29.25">
      <c r="A60" s="40" t="s">
        <v>128</v>
      </c>
      <c r="B60" s="40" t="s">
        <v>763</v>
      </c>
      <c r="C60" s="40">
        <v>96997</v>
      </c>
      <c r="D60" s="40" t="s">
        <v>764</v>
      </c>
      <c r="E60" s="40">
        <v>87100</v>
      </c>
      <c r="F60" s="40" t="s">
        <v>1039</v>
      </c>
      <c r="G60" s="40" t="s">
        <v>1040</v>
      </c>
      <c r="H60" s="40" t="s">
        <v>37</v>
      </c>
      <c r="I60" s="40" t="s">
        <v>27</v>
      </c>
      <c r="J60" s="40" t="s">
        <v>753</v>
      </c>
      <c r="K60" s="40" t="s">
        <v>1041</v>
      </c>
      <c r="L60" s="40"/>
      <c r="M60" s="40"/>
      <c r="N60" s="40"/>
      <c r="O60" s="40"/>
      <c r="P60" s="40" t="s">
        <v>287</v>
      </c>
      <c r="Q60" s="40" t="s">
        <v>750</v>
      </c>
      <c r="R60" s="40"/>
      <c r="S60" s="40"/>
      <c r="T60" s="40"/>
      <c r="U60" s="40"/>
      <c r="V60" s="40"/>
      <c r="W60" s="40" t="s">
        <v>134</v>
      </c>
      <c r="X60" s="53">
        <v>45924.736805555556</v>
      </c>
      <c r="Y60" s="40" t="s">
        <v>760</v>
      </c>
      <c r="Z60" s="40"/>
      <c r="AA60" s="40"/>
      <c r="AB60" t="str">
        <f>IF(LEFT(Jira__325[[#This Row],[Resumen]],3)="POS","POS",IF(LEFT(Jira__325[[#This Row],[Resumen]],3)="BOT","BOT",""))</f>
        <v>POS</v>
      </c>
      <c r="AC60" s="9" t="s">
        <v>218</v>
      </c>
      <c r="AE60" s="22" t="str" cm="1">
        <f t="array" ref="AE60">_xlfn.IFS(OR(COUNTIF(P60:V60,Categorías!#REF!)&gt;0, COUNTIF(P60:V60,Categorías!#REF!)&gt;0), "Sprint 21",OR(COUNTIF(P60:V60,Categorías!#REF!)&gt;0, COUNTIF(P60:V60,Categorías!#REF!)&gt;0, COUNTIF(P60:V60,Categorías!#REF!)&gt;0), "Sprint 20",OR(COUNTIF(P60:V60,Categorías!#REF!)&gt;0, COUNTIF(P60:V60,Categorías!#REF!)&gt;0, COUNTIF(P60:V60,Categorías!#REF!)&gt;0), "Sprint 19",OR(COUNTIF(P60:V60,Categorías!#REF!)&gt;0, COUNTIF(P60:V60,Categorías!#REF!)&gt;0, COUNTIF(P60:V60,Categorías!#REF!)&gt;0), "Sprint 18",OR(COUNTIF(P60:V60,Categorías!#REF!)&gt;0, COUNTIF(P60:V60,Categorías!#REF!)&gt;0, COUNTIF(P60:V60,Categorías!#REF!)&gt;0, COUNTIF(P60:V60,Categorías!#REF!)&gt;0), "Sprint 17",OR(COUNTIF(P60:V60,Categorías!#REF!)&gt;0, COUNTIF(P60:V60,Categorías!#REF!)&gt;0, COUNTIF(P60:V60,Categorías!#REF!)&gt;0, COUNTIF(P60:V60,Categorías!#REF!)&gt;0), "Sprint 16", OR(COUNTIF(P60:V60,Categorías!#REF!)&gt;0, COUNTIF(P60:V60,Categorías!#REF!)&gt;0, COUNTIF(P60:V60,Categorías!#REF!)&gt;0, COUNTIF(P60:V60,Categorías!#REF!)&gt;0), "Sprint 16",TRUE, "")</f>
        <v/>
      </c>
      <c r="AF6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60" t="str" cm="1">
        <f t="array" ref="AG6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60" s="22" t="str" cm="1">
        <f t="array" ref="AH60">_xlfn.IFS(COUNTIF(P60:V60, Categorías!$A$2)&gt;0, "Funcional", COUNTIF(P60:V60, Categorías!$A$3)&gt;0, "Configuración", COUNTIF(P60:V60, Categorías!$A$4)&gt;0, "Look&amp;Feel", COUNTIF(P60:V60, Categorías!$A$5)&gt;0, "Integración", COUNTIF(P60:V60, Categorías!$A$6)&gt;0, "Contenido/Datos", COUNTIF(P60:V60, Categorías!$A$7)&gt;0, "Eventos_Cosmos", COUNTIF(P60:V60, Categorías!$A$8)&gt;0, "Eventos_iOT", COUNTIF(P60:V60, Categorías!$A$9)&gt;0, "Eventos_Fabric", TRUE, "No encontrado")</f>
        <v>Eventos_iOT</v>
      </c>
    </row>
    <row r="61" spans="1:34" ht="29.25">
      <c r="A61" s="40" t="s">
        <v>128</v>
      </c>
      <c r="B61" s="40" t="s">
        <v>765</v>
      </c>
      <c r="C61" s="40">
        <v>96996</v>
      </c>
      <c r="D61" s="40" t="s">
        <v>766</v>
      </c>
      <c r="E61" s="40">
        <v>87100</v>
      </c>
      <c r="F61" s="40" t="s">
        <v>1039</v>
      </c>
      <c r="G61" s="40" t="s">
        <v>1040</v>
      </c>
      <c r="H61" s="40" t="s">
        <v>36</v>
      </c>
      <c r="I61" s="40" t="s">
        <v>26</v>
      </c>
      <c r="J61" s="40" t="s">
        <v>753</v>
      </c>
      <c r="K61" s="40" t="s">
        <v>1041</v>
      </c>
      <c r="L61" s="40"/>
      <c r="M61" s="40"/>
      <c r="N61" s="40"/>
      <c r="O61" s="40"/>
      <c r="P61" s="40" t="s">
        <v>139</v>
      </c>
      <c r="Q61" s="40" t="s">
        <v>758</v>
      </c>
      <c r="R61" s="40" t="s">
        <v>204</v>
      </c>
      <c r="S61" s="40" t="s">
        <v>154</v>
      </c>
      <c r="T61" s="40"/>
      <c r="U61" s="40"/>
      <c r="V61" s="40"/>
      <c r="W61" s="40" t="s">
        <v>767</v>
      </c>
      <c r="X61" s="53">
        <v>45924.73541666667</v>
      </c>
      <c r="Y61" s="40" t="s">
        <v>710</v>
      </c>
      <c r="Z61" s="40"/>
      <c r="AA61" s="40"/>
      <c r="AB61" t="str">
        <f>IF(LEFT(Jira__325[[#This Row],[Resumen]],3)="POS","POS",IF(LEFT(Jira__325[[#This Row],[Resumen]],3)="BOT","BOT",""))</f>
        <v>BOT</v>
      </c>
      <c r="AC61" s="9" t="s">
        <v>218</v>
      </c>
      <c r="AE61" s="22" t="str" cm="1">
        <f t="array" ref="AE61">_xlfn.IFS(OR(COUNTIF(P61:V61,Categorías!#REF!)&gt;0, COUNTIF(P61:V61,Categorías!#REF!)&gt;0), "Sprint 21",OR(COUNTIF(P61:V61,Categorías!#REF!)&gt;0, COUNTIF(P61:V61,Categorías!#REF!)&gt;0, COUNTIF(P61:V61,Categorías!#REF!)&gt;0), "Sprint 20",OR(COUNTIF(P61:V61,Categorías!#REF!)&gt;0, COUNTIF(P61:V61,Categorías!#REF!)&gt;0, COUNTIF(P61:V61,Categorías!#REF!)&gt;0), "Sprint 19",OR(COUNTIF(P61:V61,Categorías!#REF!)&gt;0, COUNTIF(P61:V61,Categorías!#REF!)&gt;0, COUNTIF(P61:V61,Categorías!#REF!)&gt;0), "Sprint 18",OR(COUNTIF(P61:V61,Categorías!#REF!)&gt;0, COUNTIF(P61:V61,Categorías!#REF!)&gt;0, COUNTIF(P61:V61,Categorías!#REF!)&gt;0, COUNTIF(P61:V61,Categorías!#REF!)&gt;0), "Sprint 17",OR(COUNTIF(P61:V61,Categorías!#REF!)&gt;0, COUNTIF(P61:V61,Categorías!#REF!)&gt;0, COUNTIF(P61:V61,Categorías!#REF!)&gt;0, COUNTIF(P61:V61,Categorías!#REF!)&gt;0), "Sprint 16", OR(COUNTIF(P61:V61,Categorías!#REF!)&gt;0, COUNTIF(P61:V61,Categorías!#REF!)&gt;0, COUNTIF(P61:V61,Categorías!#REF!)&gt;0, COUNTIF(P61:V61,Categorías!#REF!)&gt;0), "Sprint 16",TRUE, "")</f>
        <v/>
      </c>
      <c r="AF6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61" t="str" cm="1">
        <f t="array" ref="AG6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61" s="22" t="str" cm="1">
        <f t="array" ref="AH61">_xlfn.IFS(COUNTIF(P61:V61, Categorías!$A$2)&gt;0, "Funcional", COUNTIF(P61:V61, Categorías!$A$3)&gt;0, "Configuración", COUNTIF(P61:V61, Categorías!$A$4)&gt;0, "Look&amp;Feel", COUNTIF(P61:V61, Categorías!$A$5)&gt;0, "Integración", COUNTIF(P61:V61, Categorías!$A$6)&gt;0, "Contenido/Datos", COUNTIF(P61:V61, Categorías!$A$7)&gt;0, "Eventos_Cosmos", COUNTIF(P61:V61, Categorías!$A$8)&gt;0, "Eventos_iOT", COUNTIF(P61:V61, Categorías!$A$9)&gt;0, "Eventos_Fabric", TRUE, "No encontrado")</f>
        <v>Funcional</v>
      </c>
    </row>
    <row r="62" spans="1:34" ht="29.25">
      <c r="A62" s="40" t="s">
        <v>128</v>
      </c>
      <c r="B62" s="40" t="s">
        <v>768</v>
      </c>
      <c r="C62" s="40">
        <v>96993</v>
      </c>
      <c r="D62" s="40" t="s">
        <v>769</v>
      </c>
      <c r="E62" s="40">
        <v>87100</v>
      </c>
      <c r="F62" s="40" t="s">
        <v>1039</v>
      </c>
      <c r="G62" s="40" t="s">
        <v>1040</v>
      </c>
      <c r="H62" s="40" t="s">
        <v>37</v>
      </c>
      <c r="I62" s="40" t="s">
        <v>27</v>
      </c>
      <c r="J62" s="40" t="s">
        <v>753</v>
      </c>
      <c r="K62" s="40" t="s">
        <v>1041</v>
      </c>
      <c r="L62" s="40"/>
      <c r="M62" s="40"/>
      <c r="N62" s="40"/>
      <c r="O62" s="40"/>
      <c r="P62" s="40" t="s">
        <v>287</v>
      </c>
      <c r="Q62" s="40" t="s">
        <v>750</v>
      </c>
      <c r="R62" s="40"/>
      <c r="S62" s="40"/>
      <c r="T62" s="40"/>
      <c r="U62" s="40"/>
      <c r="V62" s="40"/>
      <c r="W62" s="40" t="s">
        <v>134</v>
      </c>
      <c r="X62" s="53">
        <v>45924.728472222225</v>
      </c>
      <c r="Y62" s="40" t="s">
        <v>760</v>
      </c>
      <c r="Z62" s="40"/>
      <c r="AA62" s="40"/>
      <c r="AB62" t="str">
        <f>IF(LEFT(Jira__325[[#This Row],[Resumen]],3)="POS","POS",IF(LEFT(Jira__325[[#This Row],[Resumen]],3)="BOT","BOT",""))</f>
        <v>BOT</v>
      </c>
      <c r="AC62" s="9" t="s">
        <v>218</v>
      </c>
      <c r="AE62" s="22" t="str" cm="1">
        <f t="array" ref="AE62">_xlfn.IFS(OR(COUNTIF(P62:V62,Categorías!#REF!)&gt;0, COUNTIF(P62:V62,Categorías!#REF!)&gt;0), "Sprint 21",OR(COUNTIF(P62:V62,Categorías!#REF!)&gt;0, COUNTIF(P62:V62,Categorías!#REF!)&gt;0, COUNTIF(P62:V62,Categorías!#REF!)&gt;0), "Sprint 20",OR(COUNTIF(P62:V62,Categorías!#REF!)&gt;0, COUNTIF(P62:V62,Categorías!#REF!)&gt;0, COUNTIF(P62:V62,Categorías!#REF!)&gt;0), "Sprint 19",OR(COUNTIF(P62:V62,Categorías!#REF!)&gt;0, COUNTIF(P62:V62,Categorías!#REF!)&gt;0, COUNTIF(P62:V62,Categorías!#REF!)&gt;0), "Sprint 18",OR(COUNTIF(P62:V62,Categorías!#REF!)&gt;0, COUNTIF(P62:V62,Categorías!#REF!)&gt;0, COUNTIF(P62:V62,Categorías!#REF!)&gt;0, COUNTIF(P62:V62,Categorías!#REF!)&gt;0), "Sprint 17",OR(COUNTIF(P62:V62,Categorías!#REF!)&gt;0, COUNTIF(P62:V62,Categorías!#REF!)&gt;0, COUNTIF(P62:V62,Categorías!#REF!)&gt;0, COUNTIF(P62:V62,Categorías!#REF!)&gt;0), "Sprint 16", OR(COUNTIF(P62:V62,Categorías!#REF!)&gt;0, COUNTIF(P62:V62,Categorías!#REF!)&gt;0, COUNTIF(P62:V62,Categorías!#REF!)&gt;0, COUNTIF(P62:V62,Categorías!#REF!)&gt;0), "Sprint 16",TRUE, "")</f>
        <v/>
      </c>
      <c r="AF6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62" t="str" cm="1">
        <f t="array" ref="AG6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62" s="22" t="str" cm="1">
        <f t="array" ref="AH62">_xlfn.IFS(COUNTIF(P62:V62, Categorías!$A$2)&gt;0, "Funcional", COUNTIF(P62:V62, Categorías!$A$3)&gt;0, "Configuración", COUNTIF(P62:V62, Categorías!$A$4)&gt;0, "Look&amp;Feel", COUNTIF(P62:V62, Categorías!$A$5)&gt;0, "Integración", COUNTIF(P62:V62, Categorías!$A$6)&gt;0, "Contenido/Datos", COUNTIF(P62:V62, Categorías!$A$7)&gt;0, "Eventos_Cosmos", COUNTIF(P62:V62, Categorías!$A$8)&gt;0, "Eventos_iOT", COUNTIF(P62:V62, Categorías!$A$9)&gt;0, "Eventos_Fabric", TRUE, "No encontrado")</f>
        <v>Eventos_iOT</v>
      </c>
    </row>
    <row r="63" spans="1:34" ht="29.25">
      <c r="A63" s="40" t="s">
        <v>128</v>
      </c>
      <c r="B63" s="40" t="s">
        <v>771</v>
      </c>
      <c r="C63" s="40">
        <v>96991</v>
      </c>
      <c r="D63" s="40" t="s">
        <v>772</v>
      </c>
      <c r="E63" s="40">
        <v>87100</v>
      </c>
      <c r="F63" s="40" t="s">
        <v>1039</v>
      </c>
      <c r="G63" s="40" t="s">
        <v>1040</v>
      </c>
      <c r="H63" s="40" t="s">
        <v>40</v>
      </c>
      <c r="I63" s="40" t="s">
        <v>27</v>
      </c>
      <c r="J63" s="40" t="s">
        <v>1041</v>
      </c>
      <c r="K63" s="40"/>
      <c r="L63" s="40"/>
      <c r="M63" s="40"/>
      <c r="N63" s="40"/>
      <c r="O63" s="40"/>
      <c r="P63" s="40" t="s">
        <v>132</v>
      </c>
      <c r="Q63" s="40" t="s">
        <v>758</v>
      </c>
      <c r="R63" s="40"/>
      <c r="S63" s="40"/>
      <c r="T63" s="40"/>
      <c r="U63" s="40"/>
      <c r="V63" s="40"/>
      <c r="W63" s="40" t="s">
        <v>767</v>
      </c>
      <c r="X63" s="53">
        <v>45924.727777777778</v>
      </c>
      <c r="Y63" s="40"/>
      <c r="Z63" s="40"/>
      <c r="AA63" s="40"/>
      <c r="AB63" t="str">
        <f>IF(LEFT(Jira__325[[#This Row],[Resumen]],3)="POS","POS",IF(LEFT(Jira__325[[#This Row],[Resumen]],3)="BOT","BOT",""))</f>
        <v>BOT</v>
      </c>
      <c r="AC63" s="9" t="s">
        <v>218</v>
      </c>
      <c r="AE63" s="22" t="str" cm="1">
        <f t="array" ref="AE63">_xlfn.IFS(OR(COUNTIF(P63:V63,Categorías!#REF!)&gt;0, COUNTIF(P63:V63,Categorías!#REF!)&gt;0), "Sprint 21",OR(COUNTIF(P63:V63,Categorías!#REF!)&gt;0, COUNTIF(P63:V63,Categorías!#REF!)&gt;0, COUNTIF(P63:V63,Categorías!#REF!)&gt;0), "Sprint 20",OR(COUNTIF(P63:V63,Categorías!#REF!)&gt;0, COUNTIF(P63:V63,Categorías!#REF!)&gt;0, COUNTIF(P63:V63,Categorías!#REF!)&gt;0), "Sprint 19",OR(COUNTIF(P63:V63,Categorías!#REF!)&gt;0, COUNTIF(P63:V63,Categorías!#REF!)&gt;0, COUNTIF(P63:V63,Categorías!#REF!)&gt;0), "Sprint 18",OR(COUNTIF(P63:V63,Categorías!#REF!)&gt;0, COUNTIF(P63:V63,Categorías!#REF!)&gt;0, COUNTIF(P63:V63,Categorías!#REF!)&gt;0, COUNTIF(P63:V63,Categorías!#REF!)&gt;0), "Sprint 17",OR(COUNTIF(P63:V63,Categorías!#REF!)&gt;0, COUNTIF(P63:V63,Categorías!#REF!)&gt;0, COUNTIF(P63:V63,Categorías!#REF!)&gt;0, COUNTIF(P63:V63,Categorías!#REF!)&gt;0), "Sprint 16", OR(COUNTIF(P63:V63,Categorías!#REF!)&gt;0, COUNTIF(P63:V63,Categorías!#REF!)&gt;0, COUNTIF(P63:V63,Categorías!#REF!)&gt;0, COUNTIF(P63:V63,Categorías!#REF!)&gt;0), "Sprint 16",TRUE, "")</f>
        <v/>
      </c>
      <c r="AF6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63" t="str" cm="1">
        <f t="array" ref="AG6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63" s="22" t="str" cm="1">
        <f t="array" ref="AH63">_xlfn.IFS(COUNTIF(P63:V63, Categorías!$A$2)&gt;0, "Funcional", COUNTIF(P63:V63, Categorías!$A$3)&gt;0, "Configuración", COUNTIF(P63:V63, Categorías!$A$4)&gt;0, "Look&amp;Feel", COUNTIF(P63:V63, Categorías!$A$5)&gt;0, "Integración", COUNTIF(P63:V63, Categorías!$A$6)&gt;0, "Contenido/Datos", COUNTIF(P63:V63, Categorías!$A$7)&gt;0, "Eventos_Cosmos", COUNTIF(P63:V63, Categorías!$A$8)&gt;0, "Eventos_iOT", COUNTIF(P63:V63, Categorías!$A$9)&gt;0, "Eventos_Fabric", TRUE, "No encontrado")</f>
        <v>Look&amp;Feel</v>
      </c>
    </row>
    <row r="64" spans="1:34" ht="29.25">
      <c r="A64" s="40" t="s">
        <v>128</v>
      </c>
      <c r="B64" s="40" t="s">
        <v>773</v>
      </c>
      <c r="C64" s="40">
        <v>96982</v>
      </c>
      <c r="D64" s="40" t="s">
        <v>774</v>
      </c>
      <c r="E64" s="40">
        <v>87100</v>
      </c>
      <c r="F64" s="40" t="s">
        <v>1039</v>
      </c>
      <c r="G64" s="40" t="s">
        <v>1040</v>
      </c>
      <c r="H64" s="40" t="s">
        <v>37</v>
      </c>
      <c r="I64" s="40" t="s">
        <v>27</v>
      </c>
      <c r="J64" s="40" t="s">
        <v>753</v>
      </c>
      <c r="K64" s="40" t="s">
        <v>1041</v>
      </c>
      <c r="L64" s="40"/>
      <c r="M64" s="40"/>
      <c r="N64" s="40"/>
      <c r="O64" s="40"/>
      <c r="P64" s="40" t="s">
        <v>775</v>
      </c>
      <c r="Q64" s="40" t="s">
        <v>132</v>
      </c>
      <c r="R64" s="40" t="s">
        <v>758</v>
      </c>
      <c r="S64" s="40" t="s">
        <v>204</v>
      </c>
      <c r="T64" s="40" t="s">
        <v>154</v>
      </c>
      <c r="U64" s="40"/>
      <c r="V64" s="40"/>
      <c r="W64" s="40" t="s">
        <v>767</v>
      </c>
      <c r="X64" s="53">
        <v>45924.713194444441</v>
      </c>
      <c r="Y64" s="40" t="s">
        <v>710</v>
      </c>
      <c r="Z64" s="40"/>
      <c r="AA64" s="40"/>
      <c r="AB64" t="str">
        <f>IF(LEFT(Jira__325[[#This Row],[Resumen]],3)="POS","POS",IF(LEFT(Jira__325[[#This Row],[Resumen]],3)="BOT","BOT",""))</f>
        <v>BOT</v>
      </c>
      <c r="AC64" s="9" t="s">
        <v>221</v>
      </c>
      <c r="AE64" s="22" t="str" cm="1">
        <f t="array" ref="AE64">_xlfn.IFS(OR(COUNTIF(P64:V64,Categorías!#REF!)&gt;0, COUNTIF(P64:V64,Categorías!#REF!)&gt;0), "Sprint 21",OR(COUNTIF(P64:V64,Categorías!#REF!)&gt;0, COUNTIF(P64:V64,Categorías!#REF!)&gt;0, COUNTIF(P64:V64,Categorías!#REF!)&gt;0), "Sprint 20",OR(COUNTIF(P64:V64,Categorías!#REF!)&gt;0, COUNTIF(P64:V64,Categorías!#REF!)&gt;0, COUNTIF(P64:V64,Categorías!#REF!)&gt;0), "Sprint 19",OR(COUNTIF(P64:V64,Categorías!#REF!)&gt;0, COUNTIF(P64:V64,Categorías!#REF!)&gt;0, COUNTIF(P64:V64,Categorías!#REF!)&gt;0), "Sprint 18",OR(COUNTIF(P64:V64,Categorías!#REF!)&gt;0, COUNTIF(P64:V64,Categorías!#REF!)&gt;0, COUNTIF(P64:V64,Categorías!#REF!)&gt;0, COUNTIF(P64:V64,Categorías!#REF!)&gt;0), "Sprint 17",OR(COUNTIF(P64:V64,Categorías!#REF!)&gt;0, COUNTIF(P64:V64,Categorías!#REF!)&gt;0, COUNTIF(P64:V64,Categorías!#REF!)&gt;0, COUNTIF(P64:V64,Categorías!#REF!)&gt;0), "Sprint 16", OR(COUNTIF(P64:V64,Categorías!#REF!)&gt;0, COUNTIF(P64:V64,Categorías!#REF!)&gt;0, COUNTIF(P64:V64,Categorías!#REF!)&gt;0, COUNTIF(P64:V64,Categorías!#REF!)&gt;0), "Sprint 16",TRUE, "")</f>
        <v/>
      </c>
      <c r="AF6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64" t="str" cm="1">
        <f t="array" ref="AG6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64" s="22" t="str" cm="1">
        <f t="array" ref="AH64">_xlfn.IFS(COUNTIF(P64:V64, Categorías!$A$2)&gt;0, "Funcional", COUNTIF(P64:V64, Categorías!$A$3)&gt;0, "Configuración", COUNTIF(P64:V64, Categorías!$A$4)&gt;0, "Look&amp;Feel", COUNTIF(P64:V64, Categorías!$A$5)&gt;0, "Integración", COUNTIF(P64:V64, Categorías!$A$6)&gt;0, "Contenido/Datos", COUNTIF(P64:V64, Categorías!$A$7)&gt;0, "Eventos_Cosmos", COUNTIF(P64:V64, Categorías!$A$8)&gt;0, "Eventos_iOT", COUNTIF(P64:V64, Categorías!$A$9)&gt;0, "Eventos_Fabric", TRUE, "No encontrado")</f>
        <v>Look&amp;Feel</v>
      </c>
    </row>
    <row r="65" spans="1:34" ht="29.25">
      <c r="A65" s="40" t="s">
        <v>128</v>
      </c>
      <c r="B65" s="40" t="s">
        <v>776</v>
      </c>
      <c r="C65" s="40">
        <v>96978</v>
      </c>
      <c r="D65" s="40" t="s">
        <v>777</v>
      </c>
      <c r="E65" s="40">
        <v>87100</v>
      </c>
      <c r="F65" s="40" t="s">
        <v>1039</v>
      </c>
      <c r="G65" s="40" t="s">
        <v>1040</v>
      </c>
      <c r="H65" s="40" t="s">
        <v>37</v>
      </c>
      <c r="I65" s="40" t="s">
        <v>27</v>
      </c>
      <c r="J65" s="40" t="s">
        <v>1041</v>
      </c>
      <c r="K65" s="40"/>
      <c r="L65" s="40"/>
      <c r="M65" s="40"/>
      <c r="N65" s="40"/>
      <c r="O65" s="40"/>
      <c r="P65" s="40" t="s">
        <v>132</v>
      </c>
      <c r="Q65" s="40" t="s">
        <v>758</v>
      </c>
      <c r="R65" s="40"/>
      <c r="S65" s="40"/>
      <c r="T65" s="40"/>
      <c r="U65" s="40"/>
      <c r="V65" s="40"/>
      <c r="W65" s="40" t="s">
        <v>759</v>
      </c>
      <c r="X65" s="53">
        <v>45924.706250000003</v>
      </c>
      <c r="Y65" s="40"/>
      <c r="Z65" s="40"/>
      <c r="AA65" s="40"/>
      <c r="AB65" t="str">
        <f>IF(LEFT(Jira__325[[#This Row],[Resumen]],3)="POS","POS",IF(LEFT(Jira__325[[#This Row],[Resumen]],3)="BOT","BOT",""))</f>
        <v>POS</v>
      </c>
      <c r="AC65" s="9" t="s">
        <v>221</v>
      </c>
      <c r="AE65" s="22" t="str" cm="1">
        <f t="array" ref="AE65">_xlfn.IFS(OR(COUNTIF(P65:V65,Categorías!#REF!)&gt;0, COUNTIF(P65:V65,Categorías!#REF!)&gt;0), "Sprint 21",OR(COUNTIF(P65:V65,Categorías!#REF!)&gt;0, COUNTIF(P65:V65,Categorías!#REF!)&gt;0, COUNTIF(P65:V65,Categorías!#REF!)&gt;0), "Sprint 20",OR(COUNTIF(P65:V65,Categorías!#REF!)&gt;0, COUNTIF(P65:V65,Categorías!#REF!)&gt;0, COUNTIF(P65:V65,Categorías!#REF!)&gt;0), "Sprint 19",OR(COUNTIF(P65:V65,Categorías!#REF!)&gt;0, COUNTIF(P65:V65,Categorías!#REF!)&gt;0, COUNTIF(P65:V65,Categorías!#REF!)&gt;0), "Sprint 18",OR(COUNTIF(P65:V65,Categorías!#REF!)&gt;0, COUNTIF(P65:V65,Categorías!#REF!)&gt;0, COUNTIF(P65:V65,Categorías!#REF!)&gt;0, COUNTIF(P65:V65,Categorías!#REF!)&gt;0), "Sprint 17",OR(COUNTIF(P65:V65,Categorías!#REF!)&gt;0, COUNTIF(P65:V65,Categorías!#REF!)&gt;0, COUNTIF(P65:V65,Categorías!#REF!)&gt;0, COUNTIF(P65:V65,Categorías!#REF!)&gt;0), "Sprint 16", OR(COUNTIF(P65:V65,Categorías!#REF!)&gt;0, COUNTIF(P65:V65,Categorías!#REF!)&gt;0, COUNTIF(P65:V65,Categorías!#REF!)&gt;0, COUNTIF(P65:V65,Categorías!#REF!)&gt;0), "Sprint 16",TRUE, "")</f>
        <v/>
      </c>
      <c r="AF6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65" t="str" cm="1">
        <f t="array" ref="AG6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65" s="22" t="str" cm="1">
        <f t="array" ref="AH65">_xlfn.IFS(COUNTIF(P65:V65, Categorías!$A$2)&gt;0, "Funcional", COUNTIF(P65:V65, Categorías!$A$3)&gt;0, "Configuración", COUNTIF(P65:V65, Categorías!$A$4)&gt;0, "Look&amp;Feel", COUNTIF(P65:V65, Categorías!$A$5)&gt;0, "Integración", COUNTIF(P65:V65, Categorías!$A$6)&gt;0, "Contenido/Datos", COUNTIF(P65:V65, Categorías!$A$7)&gt;0, "Eventos_Cosmos", COUNTIF(P65:V65, Categorías!$A$8)&gt;0, "Eventos_iOT", COUNTIF(P65:V65, Categorías!$A$9)&gt;0, "Eventos_Fabric", TRUE, "No encontrado")</f>
        <v>Look&amp;Feel</v>
      </c>
    </row>
    <row r="66" spans="1:34" ht="29.25">
      <c r="A66" s="40" t="s">
        <v>128</v>
      </c>
      <c r="B66" s="40" t="s">
        <v>778</v>
      </c>
      <c r="C66" s="40">
        <v>96732</v>
      </c>
      <c r="D66" s="40" t="s">
        <v>779</v>
      </c>
      <c r="E66" s="40">
        <v>87100</v>
      </c>
      <c r="F66" s="40" t="s">
        <v>1039</v>
      </c>
      <c r="G66" s="40" t="s">
        <v>1040</v>
      </c>
      <c r="H66" s="40" t="s">
        <v>40</v>
      </c>
      <c r="I66" s="40" t="s">
        <v>24</v>
      </c>
      <c r="J66" s="40" t="s">
        <v>1041</v>
      </c>
      <c r="K66" s="40"/>
      <c r="L66" s="40"/>
      <c r="M66" s="40"/>
      <c r="N66" s="40"/>
      <c r="O66" s="40"/>
      <c r="P66" s="40" t="s">
        <v>490</v>
      </c>
      <c r="Q66" s="40" t="s">
        <v>758</v>
      </c>
      <c r="R66" s="40"/>
      <c r="S66" s="40"/>
      <c r="T66" s="40"/>
      <c r="U66" s="40"/>
      <c r="V66" s="40"/>
      <c r="W66" s="40" t="s">
        <v>780</v>
      </c>
      <c r="X66" s="53">
        <v>45923.729166666664</v>
      </c>
      <c r="Y66" s="40"/>
      <c r="Z66" s="40"/>
      <c r="AA66" s="40"/>
      <c r="AB66" t="str">
        <f>IF(LEFT(Jira__325[[#This Row],[Resumen]],3)="POS","POS",IF(LEFT(Jira__325[[#This Row],[Resumen]],3)="BOT","BOT",""))</f>
        <v>POS</v>
      </c>
      <c r="AC66" s="12" t="s">
        <v>24</v>
      </c>
      <c r="AE66" s="22" t="str" cm="1">
        <f t="array" ref="AE66">_xlfn.IFS(OR(COUNTIF(P66:V66,Categorías!#REF!)&gt;0, COUNTIF(P66:V66,Categorías!#REF!)&gt;0), "Sprint 21",OR(COUNTIF(P66:V66,Categorías!#REF!)&gt;0, COUNTIF(P66:V66,Categorías!#REF!)&gt;0, COUNTIF(P66:V66,Categorías!#REF!)&gt;0), "Sprint 20",OR(COUNTIF(P66:V66,Categorías!#REF!)&gt;0, COUNTIF(P66:V66,Categorías!#REF!)&gt;0, COUNTIF(P66:V66,Categorías!#REF!)&gt;0), "Sprint 19",OR(COUNTIF(P66:V66,Categorías!#REF!)&gt;0, COUNTIF(P66:V66,Categorías!#REF!)&gt;0, COUNTIF(P66:V66,Categorías!#REF!)&gt;0), "Sprint 18",OR(COUNTIF(P66:V66,Categorías!#REF!)&gt;0, COUNTIF(P66:V66,Categorías!#REF!)&gt;0, COUNTIF(P66:V66,Categorías!#REF!)&gt;0, COUNTIF(P66:V66,Categorías!#REF!)&gt;0), "Sprint 17",OR(COUNTIF(P66:V66,Categorías!#REF!)&gt;0, COUNTIF(P66:V66,Categorías!#REF!)&gt;0, COUNTIF(P66:V66,Categorías!#REF!)&gt;0, COUNTIF(P66:V66,Categorías!#REF!)&gt;0), "Sprint 16", OR(COUNTIF(P66:V66,Categorías!#REF!)&gt;0, COUNTIF(P66:V66,Categorías!#REF!)&gt;0, COUNTIF(P66:V66,Categorías!#REF!)&gt;0, COUNTIF(P66:V66,Categorías!#REF!)&gt;0), "Sprint 16",TRUE, "")</f>
        <v/>
      </c>
      <c r="AF6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66" t="str" cm="1">
        <f t="array" ref="AG6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66" s="22" t="str" cm="1">
        <f t="array" ref="AH66">_xlfn.IFS(COUNTIF(P66:V66, Categorías!$A$2)&gt;0, "Funcional", COUNTIF(P66:V66, Categorías!$A$3)&gt;0, "Configuración", COUNTIF(P66:V66, Categorías!$A$4)&gt;0, "Look&amp;Feel", COUNTIF(P66:V66, Categorías!$A$5)&gt;0, "Integración", COUNTIF(P66:V66, Categorías!$A$6)&gt;0, "Contenido/Datos", COUNTIF(P66:V66, Categorías!$A$7)&gt;0, "Eventos_Cosmos", COUNTIF(P66:V66, Categorías!$A$8)&gt;0, "Eventos_iOT", COUNTIF(P66:V66, Categorías!$A$9)&gt;0, "Eventos_Fabric", TRUE, "No encontrado")</f>
        <v>Contenido/Datos</v>
      </c>
    </row>
    <row r="67" spans="1:34" ht="29.25">
      <c r="A67" s="40" t="s">
        <v>128</v>
      </c>
      <c r="B67" s="40" t="s">
        <v>781</v>
      </c>
      <c r="C67" s="40">
        <v>96711</v>
      </c>
      <c r="D67" s="40" t="s">
        <v>782</v>
      </c>
      <c r="E67" s="40">
        <v>87100</v>
      </c>
      <c r="F67" s="40" t="s">
        <v>1039</v>
      </c>
      <c r="G67" s="40" t="s">
        <v>1040</v>
      </c>
      <c r="H67" s="40" t="s">
        <v>40</v>
      </c>
      <c r="I67" s="40" t="s">
        <v>27</v>
      </c>
      <c r="J67" s="40" t="s">
        <v>1041</v>
      </c>
      <c r="K67" s="40"/>
      <c r="L67" s="40"/>
      <c r="M67" s="40"/>
      <c r="N67" s="40"/>
      <c r="O67" s="40"/>
      <c r="P67" s="40" t="s">
        <v>229</v>
      </c>
      <c r="Q67" s="40" t="s">
        <v>758</v>
      </c>
      <c r="R67" s="40"/>
      <c r="S67" s="40"/>
      <c r="T67" s="40"/>
      <c r="U67" s="40"/>
      <c r="V67" s="40"/>
      <c r="W67" s="40" t="s">
        <v>780</v>
      </c>
      <c r="X67" s="53">
        <v>45923.706250000003</v>
      </c>
      <c r="Y67" s="40"/>
      <c r="Z67" s="40"/>
      <c r="AA67" s="40"/>
      <c r="AB67" t="str">
        <f>IF(LEFT(Jira__325[[#This Row],[Resumen]],3)="POS","POS",IF(LEFT(Jira__325[[#This Row],[Resumen]],3)="BOT","BOT",""))</f>
        <v>POS</v>
      </c>
      <c r="AC67" s="9" t="s">
        <v>221</v>
      </c>
      <c r="AE67" s="22" t="str" cm="1">
        <f t="array" ref="AE67">_xlfn.IFS(OR(COUNTIF(P67:V67,Categorías!#REF!)&gt;0, COUNTIF(P67:V67,Categorías!#REF!)&gt;0), "Sprint 21",OR(COUNTIF(P67:V67,Categorías!#REF!)&gt;0, COUNTIF(P67:V67,Categorías!#REF!)&gt;0, COUNTIF(P67:V67,Categorías!#REF!)&gt;0), "Sprint 20",OR(COUNTIF(P67:V67,Categorías!#REF!)&gt;0, COUNTIF(P67:V67,Categorías!#REF!)&gt;0, COUNTIF(P67:V67,Categorías!#REF!)&gt;0), "Sprint 19",OR(COUNTIF(P67:V67,Categorías!#REF!)&gt;0, COUNTIF(P67:V67,Categorías!#REF!)&gt;0, COUNTIF(P67:V67,Categorías!#REF!)&gt;0), "Sprint 18",OR(COUNTIF(P67:V67,Categorías!#REF!)&gt;0, COUNTIF(P67:V67,Categorías!#REF!)&gt;0, COUNTIF(P67:V67,Categorías!#REF!)&gt;0, COUNTIF(P67:V67,Categorías!#REF!)&gt;0), "Sprint 17",OR(COUNTIF(P67:V67,Categorías!#REF!)&gt;0, COUNTIF(P67:V67,Categorías!#REF!)&gt;0, COUNTIF(P67:V67,Categorías!#REF!)&gt;0, COUNTIF(P67:V67,Categorías!#REF!)&gt;0), "Sprint 16", OR(COUNTIF(P67:V67,Categorías!#REF!)&gt;0, COUNTIF(P67:V67,Categorías!#REF!)&gt;0, COUNTIF(P67:V67,Categorías!#REF!)&gt;0, COUNTIF(P67:V67,Categorías!#REF!)&gt;0), "Sprint 16",TRUE, "")</f>
        <v/>
      </c>
      <c r="AF6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67" t="str" cm="1">
        <f t="array" ref="AG6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67" s="22" t="str" cm="1">
        <f t="array" ref="AH67">_xlfn.IFS(COUNTIF(P67:V67, Categorías!$A$2)&gt;0, "Funcional", COUNTIF(P67:V67, Categorías!$A$3)&gt;0, "Configuración", COUNTIF(P67:V67, Categorías!$A$4)&gt;0, "Look&amp;Feel", COUNTIF(P67:V67, Categorías!$A$5)&gt;0, "Integración", COUNTIF(P67:V67, Categorías!$A$6)&gt;0, "Contenido/Datos", COUNTIF(P67:V67, Categorías!$A$7)&gt;0, "Eventos_Cosmos", COUNTIF(P67:V67, Categorías!$A$8)&gt;0, "Eventos_iOT", COUNTIF(P67:V67, Categorías!$A$9)&gt;0, "Eventos_Fabric", TRUE, "No encontrado")</f>
        <v>Configuración</v>
      </c>
    </row>
    <row r="68" spans="1:34" ht="29.25">
      <c r="A68" s="40" t="s">
        <v>128</v>
      </c>
      <c r="B68" s="40" t="s">
        <v>783</v>
      </c>
      <c r="C68" s="40">
        <v>96292</v>
      </c>
      <c r="D68" s="40" t="s">
        <v>1051</v>
      </c>
      <c r="E68" s="40">
        <v>87100</v>
      </c>
      <c r="F68" s="40" t="s">
        <v>1039</v>
      </c>
      <c r="G68" s="40" t="s">
        <v>1040</v>
      </c>
      <c r="H68" s="40" t="s">
        <v>40</v>
      </c>
      <c r="I68" s="40" t="s">
        <v>27</v>
      </c>
      <c r="J68" s="40" t="s">
        <v>1041</v>
      </c>
      <c r="K68" s="40"/>
      <c r="L68" s="40"/>
      <c r="M68" s="40"/>
      <c r="N68" s="40"/>
      <c r="O68" s="40"/>
      <c r="P68" s="40" t="s">
        <v>132</v>
      </c>
      <c r="Q68" s="40" t="s">
        <v>758</v>
      </c>
      <c r="R68" s="40"/>
      <c r="S68" s="40"/>
      <c r="T68" s="40"/>
      <c r="U68" s="40"/>
      <c r="V68" s="40"/>
      <c r="W68" s="40" t="s">
        <v>785</v>
      </c>
      <c r="X68" s="53">
        <v>45922.543055555558</v>
      </c>
      <c r="Y68" s="40"/>
      <c r="Z68" s="40"/>
      <c r="AA68" s="40"/>
      <c r="AB68" t="str">
        <f>IF(LEFT(Jira__325[[#This Row],[Resumen]],3)="POS","POS",IF(LEFT(Jira__325[[#This Row],[Resumen]],3)="BOT","BOT",""))</f>
        <v>POS</v>
      </c>
      <c r="AC68" s="9" t="s">
        <v>221</v>
      </c>
      <c r="AE68" s="22" t="str" cm="1">
        <f t="array" ref="AE68">_xlfn.IFS(OR(COUNTIF(P68:V68,Categorías!#REF!)&gt;0, COUNTIF(P68:V68,Categorías!#REF!)&gt;0), "Sprint 21",OR(COUNTIF(P68:V68,Categorías!#REF!)&gt;0, COUNTIF(P68:V68,Categorías!#REF!)&gt;0, COUNTIF(P68:V68,Categorías!#REF!)&gt;0), "Sprint 20",OR(COUNTIF(P68:V68,Categorías!#REF!)&gt;0, COUNTIF(P68:V68,Categorías!#REF!)&gt;0, COUNTIF(P68:V68,Categorías!#REF!)&gt;0), "Sprint 19",OR(COUNTIF(P68:V68,Categorías!#REF!)&gt;0, COUNTIF(P68:V68,Categorías!#REF!)&gt;0, COUNTIF(P68:V68,Categorías!#REF!)&gt;0), "Sprint 18",OR(COUNTIF(P68:V68,Categorías!#REF!)&gt;0, COUNTIF(P68:V68,Categorías!#REF!)&gt;0, COUNTIF(P68:V68,Categorías!#REF!)&gt;0, COUNTIF(P68:V68,Categorías!#REF!)&gt;0), "Sprint 17",OR(COUNTIF(P68:V68,Categorías!#REF!)&gt;0, COUNTIF(P68:V68,Categorías!#REF!)&gt;0, COUNTIF(P68:V68,Categorías!#REF!)&gt;0, COUNTIF(P68:V68,Categorías!#REF!)&gt;0), "Sprint 16", OR(COUNTIF(P68:V68,Categorías!#REF!)&gt;0, COUNTIF(P68:V68,Categorías!#REF!)&gt;0, COUNTIF(P68:V68,Categorías!#REF!)&gt;0, COUNTIF(P68:V68,Categorías!#REF!)&gt;0), "Sprint 16",TRUE, "")</f>
        <v/>
      </c>
      <c r="AF6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68" t="str" cm="1">
        <f t="array" ref="AG6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68" s="22" t="str" cm="1">
        <f t="array" ref="AH68">_xlfn.IFS(COUNTIF(P68:V68, Categorías!$A$2)&gt;0, "Funcional", COUNTIF(P68:V68, Categorías!$A$3)&gt;0, "Configuración", COUNTIF(P68:V68, Categorías!$A$4)&gt;0, "Look&amp;Feel", COUNTIF(P68:V68, Categorías!$A$5)&gt;0, "Integración", COUNTIF(P68:V68, Categorías!$A$6)&gt;0, "Contenido/Datos", COUNTIF(P68:V68, Categorías!$A$7)&gt;0, "Eventos_Cosmos", COUNTIF(P68:V68, Categorías!$A$8)&gt;0, "Eventos_iOT", COUNTIF(P68:V68, Categorías!$A$9)&gt;0, "Eventos_Fabric", TRUE, "No encontrado")</f>
        <v>Look&amp;Feel</v>
      </c>
    </row>
    <row r="69" spans="1:34" ht="29.25">
      <c r="A69" s="40" t="s">
        <v>128</v>
      </c>
      <c r="B69" s="40" t="s">
        <v>786</v>
      </c>
      <c r="C69" s="40">
        <v>96268</v>
      </c>
      <c r="D69" s="40" t="s">
        <v>787</v>
      </c>
      <c r="E69" s="40">
        <v>87100</v>
      </c>
      <c r="F69" s="40" t="s">
        <v>1039</v>
      </c>
      <c r="G69" s="40" t="s">
        <v>1040</v>
      </c>
      <c r="H69" s="40" t="s">
        <v>36</v>
      </c>
      <c r="I69" s="40" t="s">
        <v>28</v>
      </c>
      <c r="J69" s="40" t="s">
        <v>753</v>
      </c>
      <c r="K69" s="40" t="s">
        <v>637</v>
      </c>
      <c r="L69" s="40"/>
      <c r="M69" s="40"/>
      <c r="N69" s="40"/>
      <c r="O69" s="40"/>
      <c r="P69" s="40" t="s">
        <v>287</v>
      </c>
      <c r="Q69" s="40" t="s">
        <v>750</v>
      </c>
      <c r="R69" s="40" t="s">
        <v>204</v>
      </c>
      <c r="S69" s="40" t="s">
        <v>154</v>
      </c>
      <c r="T69" s="40"/>
      <c r="U69" s="40"/>
      <c r="V69" s="40"/>
      <c r="W69" s="40" t="s">
        <v>134</v>
      </c>
      <c r="X69" s="53">
        <v>45922.513194444444</v>
      </c>
      <c r="Y69" s="40" t="s">
        <v>732</v>
      </c>
      <c r="Z69" s="40"/>
      <c r="AA69" s="40"/>
      <c r="AB69" t="str">
        <f>IF(LEFT(Jira__325[[#This Row],[Resumen]],3)="POS","POS",IF(LEFT(Jira__325[[#This Row],[Resumen]],3)="BOT","BOT",""))</f>
        <v>BOT</v>
      </c>
      <c r="AC69" s="9" t="s">
        <v>221</v>
      </c>
      <c r="AE69" s="22" t="str" cm="1">
        <f t="array" ref="AE69">_xlfn.IFS(OR(COUNTIF(P69:V69,Categorías!#REF!)&gt;0, COUNTIF(P69:V69,Categorías!#REF!)&gt;0), "Sprint 21",OR(COUNTIF(P69:V69,Categorías!#REF!)&gt;0, COUNTIF(P69:V69,Categorías!#REF!)&gt;0, COUNTIF(P69:V69,Categorías!#REF!)&gt;0), "Sprint 20",OR(COUNTIF(P69:V69,Categorías!#REF!)&gt;0, COUNTIF(P69:V69,Categorías!#REF!)&gt;0, COUNTIF(P69:V69,Categorías!#REF!)&gt;0), "Sprint 19",OR(COUNTIF(P69:V69,Categorías!#REF!)&gt;0, COUNTIF(P69:V69,Categorías!#REF!)&gt;0, COUNTIF(P69:V69,Categorías!#REF!)&gt;0), "Sprint 18",OR(COUNTIF(P69:V69,Categorías!#REF!)&gt;0, COUNTIF(P69:V69,Categorías!#REF!)&gt;0, COUNTIF(P69:V69,Categorías!#REF!)&gt;0, COUNTIF(P69:V69,Categorías!#REF!)&gt;0), "Sprint 17",OR(COUNTIF(P69:V69,Categorías!#REF!)&gt;0, COUNTIF(P69:V69,Categorías!#REF!)&gt;0, COUNTIF(P69:V69,Categorías!#REF!)&gt;0, COUNTIF(P69:V69,Categorías!#REF!)&gt;0), "Sprint 16", OR(COUNTIF(P69:V69,Categorías!#REF!)&gt;0, COUNTIF(P69:V69,Categorías!#REF!)&gt;0, COUNTIF(P69:V69,Categorías!#REF!)&gt;0, COUNTIF(P69:V69,Categorías!#REF!)&gt;0), "Sprint 16",TRUE, "")</f>
        <v/>
      </c>
      <c r="AF69" s="22" t="s">
        <v>732</v>
      </c>
      <c r="AG69" t="s">
        <v>1052</v>
      </c>
      <c r="AH69" s="22" t="str" cm="1">
        <f t="array" ref="AH69">_xlfn.IFS(COUNTIF(P69:V69, Categorías!$A$2)&gt;0, "Funcional", COUNTIF(P69:V69, Categorías!$A$3)&gt;0, "Configuración", COUNTIF(P69:V69, Categorías!$A$4)&gt;0, "Look&amp;Feel", COUNTIF(P69:V69, Categorías!$A$5)&gt;0, "Integración", COUNTIF(P69:V69, Categorías!$A$6)&gt;0, "Contenido/Datos", COUNTIF(P69:V69, Categorías!$A$7)&gt;0, "Eventos_Cosmos", COUNTIF(P69:V69, Categorías!$A$8)&gt;0, "Eventos_iOT", COUNTIF(P69:V69, Categorías!$A$9)&gt;0, "Eventos_Fabric", TRUE, "No encontrado")</f>
        <v>Eventos_iOT</v>
      </c>
    </row>
    <row r="70" spans="1:34" ht="29.25">
      <c r="A70" s="40" t="s">
        <v>128</v>
      </c>
      <c r="B70" s="40" t="s">
        <v>788</v>
      </c>
      <c r="C70" s="40">
        <v>95951</v>
      </c>
      <c r="D70" s="40" t="s">
        <v>789</v>
      </c>
      <c r="E70" s="40">
        <v>87100</v>
      </c>
      <c r="F70" s="40" t="s">
        <v>1039</v>
      </c>
      <c r="G70" s="40" t="s">
        <v>1040</v>
      </c>
      <c r="H70" s="40" t="s">
        <v>37</v>
      </c>
      <c r="I70" s="40" t="s">
        <v>27</v>
      </c>
      <c r="J70" s="40" t="s">
        <v>1041</v>
      </c>
      <c r="K70" s="40"/>
      <c r="L70" s="40"/>
      <c r="M70" s="40"/>
      <c r="N70" s="40"/>
      <c r="O70" s="40"/>
      <c r="P70" s="40" t="s">
        <v>139</v>
      </c>
      <c r="Q70" s="40" t="s">
        <v>750</v>
      </c>
      <c r="R70" s="40"/>
      <c r="S70" s="40"/>
      <c r="T70" s="40"/>
      <c r="U70" s="40"/>
      <c r="V70" s="40"/>
      <c r="W70" s="40" t="s">
        <v>217</v>
      </c>
      <c r="X70" s="53">
        <v>45919.645833333336</v>
      </c>
      <c r="Y70" s="40"/>
      <c r="Z70" s="40"/>
      <c r="AA70" s="40"/>
      <c r="AB70" t="str">
        <f>IF(LEFT(Jira__325[[#This Row],[Resumen]],3)="POS","POS",IF(LEFT(Jira__325[[#This Row],[Resumen]],3)="BOT","BOT",""))</f>
        <v>BOT</v>
      </c>
      <c r="AC70" s="9" t="s">
        <v>221</v>
      </c>
      <c r="AE70" s="22" t="str" cm="1">
        <f t="array" ref="AE70">_xlfn.IFS(OR(COUNTIF(P70:V70,Categorías!#REF!)&gt;0, COUNTIF(P70:V70,Categorías!#REF!)&gt;0), "Sprint 21",OR(COUNTIF(P70:V70,Categorías!#REF!)&gt;0, COUNTIF(P70:V70,Categorías!#REF!)&gt;0, COUNTIF(P70:V70,Categorías!#REF!)&gt;0), "Sprint 20",OR(COUNTIF(P70:V70,Categorías!#REF!)&gt;0, COUNTIF(P70:V70,Categorías!#REF!)&gt;0, COUNTIF(P70:V70,Categorías!#REF!)&gt;0), "Sprint 19",OR(COUNTIF(P70:V70,Categorías!#REF!)&gt;0, COUNTIF(P70:V70,Categorías!#REF!)&gt;0, COUNTIF(P70:V70,Categorías!#REF!)&gt;0), "Sprint 18",OR(COUNTIF(P70:V70,Categorías!#REF!)&gt;0, COUNTIF(P70:V70,Categorías!#REF!)&gt;0, COUNTIF(P70:V70,Categorías!#REF!)&gt;0, COUNTIF(P70:V70,Categorías!#REF!)&gt;0), "Sprint 17",OR(COUNTIF(P70:V70,Categorías!#REF!)&gt;0, COUNTIF(P70:V70,Categorías!#REF!)&gt;0, COUNTIF(P70:V70,Categorías!#REF!)&gt;0, COUNTIF(P70:V70,Categorías!#REF!)&gt;0), "Sprint 16", OR(COUNTIF(P70:V70,Categorías!#REF!)&gt;0, COUNTIF(P70:V70,Categorías!#REF!)&gt;0, COUNTIF(P70:V70,Categorías!#REF!)&gt;0, COUNTIF(P70:V70,Categorías!#REF!)&gt;0), "Sprint 16",TRUE, "")</f>
        <v/>
      </c>
      <c r="AF7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70" t="str" cm="1">
        <f t="array" ref="AG7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70" s="22" t="str" cm="1">
        <f t="array" ref="AH70">_xlfn.IFS(COUNTIF(P70:V70, Categorías!$A$2)&gt;0, "Funcional", COUNTIF(P70:V70, Categorías!$A$3)&gt;0, "Configuración", COUNTIF(P70:V70, Categorías!$A$4)&gt;0, "Look&amp;Feel", COUNTIF(P70:V70, Categorías!$A$5)&gt;0, "Integración", COUNTIF(P70:V70, Categorías!$A$6)&gt;0, "Contenido/Datos", COUNTIF(P70:V70, Categorías!$A$7)&gt;0, "Eventos_Cosmos", COUNTIF(P70:V70, Categorías!$A$8)&gt;0, "Eventos_iOT", COUNTIF(P70:V70, Categorías!$A$9)&gt;0, "Eventos_Fabric", TRUE, "No encontrado")</f>
        <v>Funcional</v>
      </c>
    </row>
    <row r="71" spans="1:34" ht="29.25">
      <c r="A71" s="40" t="s">
        <v>128</v>
      </c>
      <c r="B71" s="40" t="s">
        <v>790</v>
      </c>
      <c r="C71" s="40">
        <v>95629</v>
      </c>
      <c r="D71" s="40" t="s">
        <v>791</v>
      </c>
      <c r="E71" s="40">
        <v>87100</v>
      </c>
      <c r="F71" s="40" t="s">
        <v>1039</v>
      </c>
      <c r="G71" s="40" t="s">
        <v>1040</v>
      </c>
      <c r="H71" s="40" t="s">
        <v>36</v>
      </c>
      <c r="I71" s="40" t="s">
        <v>28</v>
      </c>
      <c r="J71" s="40" t="s">
        <v>637</v>
      </c>
      <c r="K71" s="40"/>
      <c r="L71" s="40"/>
      <c r="M71" s="40"/>
      <c r="N71" s="40"/>
      <c r="O71" s="40"/>
      <c r="P71" s="40" t="s">
        <v>139</v>
      </c>
      <c r="Q71" s="40" t="s">
        <v>750</v>
      </c>
      <c r="R71" s="40"/>
      <c r="S71" s="40"/>
      <c r="T71" s="40"/>
      <c r="U71" s="40"/>
      <c r="V71" s="40"/>
      <c r="W71" s="40" t="s">
        <v>217</v>
      </c>
      <c r="X71" s="53">
        <v>45918.650694444441</v>
      </c>
      <c r="Y71" s="40"/>
      <c r="Z71" s="40"/>
      <c r="AA71" s="40"/>
      <c r="AB71" t="str">
        <f>IF(LEFT(Jira__325[[#This Row],[Resumen]],3)="POS","POS",IF(LEFT(Jira__325[[#This Row],[Resumen]],3)="BOT","BOT",""))</f>
        <v>BOT</v>
      </c>
      <c r="AC71" s="9" t="s">
        <v>221</v>
      </c>
      <c r="AE71" s="22" t="str" cm="1">
        <f t="array" ref="AE71">_xlfn.IFS(OR(COUNTIF(P71:V71,Categorías!#REF!)&gt;0, COUNTIF(P71:V71,Categorías!#REF!)&gt;0), "Sprint 21",OR(COUNTIF(P71:V71,Categorías!#REF!)&gt;0, COUNTIF(P71:V71,Categorías!#REF!)&gt;0, COUNTIF(P71:V71,Categorías!#REF!)&gt;0), "Sprint 20",OR(COUNTIF(P71:V71,Categorías!#REF!)&gt;0, COUNTIF(P71:V71,Categorías!#REF!)&gt;0, COUNTIF(P71:V71,Categorías!#REF!)&gt;0), "Sprint 19",OR(COUNTIF(P71:V71,Categorías!#REF!)&gt;0, COUNTIF(P71:V71,Categorías!#REF!)&gt;0, COUNTIF(P71:V71,Categorías!#REF!)&gt;0), "Sprint 18",OR(COUNTIF(P71:V71,Categorías!#REF!)&gt;0, COUNTIF(P71:V71,Categorías!#REF!)&gt;0, COUNTIF(P71:V71,Categorías!#REF!)&gt;0, COUNTIF(P71:V71,Categorías!#REF!)&gt;0), "Sprint 17",OR(COUNTIF(P71:V71,Categorías!#REF!)&gt;0, COUNTIF(P71:V71,Categorías!#REF!)&gt;0, COUNTIF(P71:V71,Categorías!#REF!)&gt;0, COUNTIF(P71:V71,Categorías!#REF!)&gt;0), "Sprint 16", OR(COUNTIF(P71:V71,Categorías!#REF!)&gt;0, COUNTIF(P71:V71,Categorías!#REF!)&gt;0, COUNTIF(P71:V71,Categorías!#REF!)&gt;0, COUNTIF(P71:V71,Categorías!#REF!)&gt;0), "Sprint 16",TRUE, "")</f>
        <v/>
      </c>
      <c r="AF7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71" t="str" cm="1">
        <f t="array" ref="AG7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71" s="22" t="str" cm="1">
        <f t="array" ref="AH71">_xlfn.IFS(COUNTIF(P71:V71, Categorías!$A$2)&gt;0, "Funcional", COUNTIF(P71:V71, Categorías!$A$3)&gt;0, "Configuración", COUNTIF(P71:V71, Categorías!$A$4)&gt;0, "Look&amp;Feel", COUNTIF(P71:V71, Categorías!$A$5)&gt;0, "Integración", COUNTIF(P71:V71, Categorías!$A$6)&gt;0, "Contenido/Datos", COUNTIF(P71:V71, Categorías!$A$7)&gt;0, "Eventos_Cosmos", COUNTIF(P71:V71, Categorías!$A$8)&gt;0, "Eventos_iOT", COUNTIF(P71:V71, Categorías!$A$9)&gt;0, "Eventos_Fabric", TRUE, "No encontrado")</f>
        <v>Funcional</v>
      </c>
    </row>
    <row r="72" spans="1:34" ht="29.25">
      <c r="A72" s="40" t="s">
        <v>128</v>
      </c>
      <c r="B72" s="40" t="s">
        <v>792</v>
      </c>
      <c r="C72" s="40">
        <v>95626</v>
      </c>
      <c r="D72" s="40" t="s">
        <v>793</v>
      </c>
      <c r="E72" s="40">
        <v>87100</v>
      </c>
      <c r="F72" s="40" t="s">
        <v>1039</v>
      </c>
      <c r="G72" s="40" t="s">
        <v>1040</v>
      </c>
      <c r="H72" s="40" t="s">
        <v>36</v>
      </c>
      <c r="I72" s="40" t="s">
        <v>28</v>
      </c>
      <c r="J72" s="40" t="s">
        <v>753</v>
      </c>
      <c r="K72" s="40" t="s">
        <v>637</v>
      </c>
      <c r="L72" s="40"/>
      <c r="M72" s="40"/>
      <c r="N72" s="40"/>
      <c r="O72" s="40"/>
      <c r="P72" s="40" t="s">
        <v>139</v>
      </c>
      <c r="Q72" s="40" t="s">
        <v>750</v>
      </c>
      <c r="R72" s="40" t="s">
        <v>204</v>
      </c>
      <c r="S72" s="40" t="s">
        <v>154</v>
      </c>
      <c r="T72" s="40"/>
      <c r="U72" s="40"/>
      <c r="V72" s="40"/>
      <c r="W72" s="40" t="s">
        <v>217</v>
      </c>
      <c r="X72" s="53">
        <v>45918.644444444442</v>
      </c>
      <c r="Y72" s="40" t="s">
        <v>732</v>
      </c>
      <c r="Z72" s="40"/>
      <c r="AA72" s="40"/>
      <c r="AB72" t="str">
        <f>IF(LEFT(Jira__325[[#This Row],[Resumen]],3)="POS","POS",IF(LEFT(Jira__325[[#This Row],[Resumen]],3)="BOT","BOT",""))</f>
        <v>BOT</v>
      </c>
      <c r="AC72" s="9" t="s">
        <v>221</v>
      </c>
      <c r="AE72" s="22" t="str" cm="1">
        <f t="array" ref="AE72">_xlfn.IFS(OR(COUNTIF(P72:V72,Categorías!#REF!)&gt;0, COUNTIF(P72:V72,Categorías!#REF!)&gt;0), "Sprint 21",OR(COUNTIF(P72:V72,Categorías!#REF!)&gt;0, COUNTIF(P72:V72,Categorías!#REF!)&gt;0, COUNTIF(P72:V72,Categorías!#REF!)&gt;0), "Sprint 20",OR(COUNTIF(P72:V72,Categorías!#REF!)&gt;0, COUNTIF(P72:V72,Categorías!#REF!)&gt;0, COUNTIF(P72:V72,Categorías!#REF!)&gt;0), "Sprint 19",OR(COUNTIF(P72:V72,Categorías!#REF!)&gt;0, COUNTIF(P72:V72,Categorías!#REF!)&gt;0, COUNTIF(P72:V72,Categorías!#REF!)&gt;0), "Sprint 18",OR(COUNTIF(P72:V72,Categorías!#REF!)&gt;0, COUNTIF(P72:V72,Categorías!#REF!)&gt;0, COUNTIF(P72:V72,Categorías!#REF!)&gt;0, COUNTIF(P72:V72,Categorías!#REF!)&gt;0), "Sprint 17",OR(COUNTIF(P72:V72,Categorías!#REF!)&gt;0, COUNTIF(P72:V72,Categorías!#REF!)&gt;0, COUNTIF(P72:V72,Categorías!#REF!)&gt;0, COUNTIF(P72:V72,Categorías!#REF!)&gt;0), "Sprint 16", OR(COUNTIF(P72:V72,Categorías!#REF!)&gt;0, COUNTIF(P72:V72,Categorías!#REF!)&gt;0, COUNTIF(P72:V72,Categorías!#REF!)&gt;0, COUNTIF(P72:V72,Categorías!#REF!)&gt;0), "Sprint 16",TRUE, "")</f>
        <v/>
      </c>
      <c r="AF72" s="22" t="s">
        <v>732</v>
      </c>
      <c r="AG72" t="s">
        <v>1052</v>
      </c>
      <c r="AH72" s="22" t="str" cm="1">
        <f t="array" ref="AH72">_xlfn.IFS(COUNTIF(P72:V72, Categorías!$A$2)&gt;0, "Funcional", COUNTIF(P72:V72, Categorías!$A$3)&gt;0, "Configuración", COUNTIF(P72:V72, Categorías!$A$4)&gt;0, "Look&amp;Feel", COUNTIF(P72:V72, Categorías!$A$5)&gt;0, "Integración", COUNTIF(P72:V72, Categorías!$A$6)&gt;0, "Contenido/Datos", COUNTIF(P72:V72, Categorías!$A$7)&gt;0, "Eventos_Cosmos", COUNTIF(P72:V72, Categorías!$A$8)&gt;0, "Eventos_iOT", COUNTIF(P72:V72, Categorías!$A$9)&gt;0, "Eventos_Fabric", TRUE, "No encontrado")</f>
        <v>Funcional</v>
      </c>
    </row>
    <row r="73" spans="1:34" ht="29.25">
      <c r="A73" s="40" t="s">
        <v>128</v>
      </c>
      <c r="B73" s="40" t="s">
        <v>794</v>
      </c>
      <c r="C73" s="40">
        <v>95592</v>
      </c>
      <c r="D73" s="40" t="s">
        <v>795</v>
      </c>
      <c r="E73" s="40">
        <v>87100</v>
      </c>
      <c r="F73" s="40" t="s">
        <v>1039</v>
      </c>
      <c r="G73" s="40" t="s">
        <v>1040</v>
      </c>
      <c r="H73" s="40" t="s">
        <v>37</v>
      </c>
      <c r="I73" s="40" t="s">
        <v>25</v>
      </c>
      <c r="J73" s="40" t="s">
        <v>1041</v>
      </c>
      <c r="K73" s="40"/>
      <c r="L73" s="40"/>
      <c r="M73" s="40"/>
      <c r="N73" s="40"/>
      <c r="O73" s="40"/>
      <c r="P73" s="40" t="s">
        <v>139</v>
      </c>
      <c r="Q73" s="40" t="s">
        <v>750</v>
      </c>
      <c r="R73" s="40"/>
      <c r="S73" s="40"/>
      <c r="T73" s="40"/>
      <c r="U73" s="40"/>
      <c r="V73" s="40"/>
      <c r="W73" s="40" t="s">
        <v>217</v>
      </c>
      <c r="X73" s="53">
        <v>45918.594444444447</v>
      </c>
      <c r="Y73" s="40" t="s">
        <v>710</v>
      </c>
      <c r="Z73" s="40"/>
      <c r="AA73" s="40"/>
      <c r="AB73" t="str">
        <f>IF(LEFT(Jira__325[[#This Row],[Resumen]],3)="POS","POS",IF(LEFT(Jira__325[[#This Row],[Resumen]],3)="BOT","BOT",""))</f>
        <v>BOT</v>
      </c>
      <c r="AC73" s="9" t="s">
        <v>136</v>
      </c>
      <c r="AE73" s="22" t="str" cm="1">
        <f t="array" ref="AE73">_xlfn.IFS(OR(COUNTIF(P73:V73,Categorías!#REF!)&gt;0, COUNTIF(P73:V73,Categorías!#REF!)&gt;0), "Sprint 21",OR(COUNTIF(P73:V73,Categorías!#REF!)&gt;0, COUNTIF(P73:V73,Categorías!#REF!)&gt;0, COUNTIF(P73:V73,Categorías!#REF!)&gt;0), "Sprint 20",OR(COUNTIF(P73:V73,Categorías!#REF!)&gt;0, COUNTIF(P73:V73,Categorías!#REF!)&gt;0, COUNTIF(P73:V73,Categorías!#REF!)&gt;0), "Sprint 19",OR(COUNTIF(P73:V73,Categorías!#REF!)&gt;0, COUNTIF(P73:V73,Categorías!#REF!)&gt;0, COUNTIF(P73:V73,Categorías!#REF!)&gt;0), "Sprint 18",OR(COUNTIF(P73:V73,Categorías!#REF!)&gt;0, COUNTIF(P73:V73,Categorías!#REF!)&gt;0, COUNTIF(P73:V73,Categorías!#REF!)&gt;0, COUNTIF(P73:V73,Categorías!#REF!)&gt;0), "Sprint 17",OR(COUNTIF(P73:V73,Categorías!#REF!)&gt;0, COUNTIF(P73:V73,Categorías!#REF!)&gt;0, COUNTIF(P73:V73,Categorías!#REF!)&gt;0, COUNTIF(P73:V73,Categorías!#REF!)&gt;0), "Sprint 16", OR(COUNTIF(P73:V73,Categorías!#REF!)&gt;0, COUNTIF(P73:V73,Categorías!#REF!)&gt;0, COUNTIF(P73:V73,Categorías!#REF!)&gt;0, COUNTIF(P73:V73,Categorías!#REF!)&gt;0), "Sprint 16",TRUE, "")</f>
        <v/>
      </c>
      <c r="AF7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73" t="str" cm="1">
        <f t="array" ref="AG7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73" s="22" t="str" cm="1">
        <f t="array" ref="AH73">_xlfn.IFS(COUNTIF(P73:V73, Categorías!$A$2)&gt;0, "Funcional", COUNTIF(P73:V73, Categorías!$A$3)&gt;0, "Configuración", COUNTIF(P73:V73, Categorías!$A$4)&gt;0, "Look&amp;Feel", COUNTIF(P73:V73, Categorías!$A$5)&gt;0, "Integración", COUNTIF(P73:V73, Categorías!$A$6)&gt;0, "Contenido/Datos", COUNTIF(P73:V73, Categorías!$A$7)&gt;0, "Eventos_Cosmos", COUNTIF(P73:V73, Categorías!$A$8)&gt;0, "Eventos_iOT", COUNTIF(P73:V73, Categorías!$A$9)&gt;0, "Eventos_Fabric", TRUE, "No encontrado")</f>
        <v>Funcional</v>
      </c>
    </row>
    <row r="74" spans="1:34" ht="29.25">
      <c r="A74" s="40" t="s">
        <v>128</v>
      </c>
      <c r="B74" s="40" t="s">
        <v>796</v>
      </c>
      <c r="C74" s="40">
        <v>95261</v>
      </c>
      <c r="D74" s="40" t="s">
        <v>797</v>
      </c>
      <c r="E74" s="40">
        <v>87100</v>
      </c>
      <c r="F74" s="40" t="s">
        <v>1039</v>
      </c>
      <c r="G74" s="40" t="s">
        <v>1040</v>
      </c>
      <c r="H74" s="40" t="s">
        <v>36</v>
      </c>
      <c r="I74" s="40" t="s">
        <v>26</v>
      </c>
      <c r="J74" s="40" t="s">
        <v>753</v>
      </c>
      <c r="K74" s="40" t="s">
        <v>1041</v>
      </c>
      <c r="L74" s="40"/>
      <c r="M74" s="40"/>
      <c r="N74" s="40"/>
      <c r="O74" s="40"/>
      <c r="P74" s="40" t="s">
        <v>139</v>
      </c>
      <c r="Q74" s="40" t="s">
        <v>750</v>
      </c>
      <c r="R74" s="40" t="s">
        <v>204</v>
      </c>
      <c r="S74" s="40" t="s">
        <v>154</v>
      </c>
      <c r="T74" s="40"/>
      <c r="U74" s="40"/>
      <c r="V74" s="40"/>
      <c r="W74" s="40" t="s">
        <v>217</v>
      </c>
      <c r="X74" s="53">
        <v>45917.64166666667</v>
      </c>
      <c r="Y74" s="40" t="s">
        <v>710</v>
      </c>
      <c r="Z74" s="40"/>
      <c r="AA74" s="40"/>
      <c r="AB74" t="str">
        <f>IF(LEFT(Jira__325[[#This Row],[Resumen]],3)="POS","POS",IF(LEFT(Jira__325[[#This Row],[Resumen]],3)="BOT","BOT",""))</f>
        <v>BOT</v>
      </c>
      <c r="AC74" s="9" t="s">
        <v>136</v>
      </c>
      <c r="AE74" s="22" t="str" cm="1">
        <f t="array" ref="AE74">_xlfn.IFS(OR(COUNTIF(P74:V74,Categorías!#REF!)&gt;0, COUNTIF(P74:V74,Categorías!#REF!)&gt;0), "Sprint 21",OR(COUNTIF(P74:V74,Categorías!#REF!)&gt;0, COUNTIF(P74:V74,Categorías!#REF!)&gt;0, COUNTIF(P74:V74,Categorías!#REF!)&gt;0), "Sprint 20",OR(COUNTIF(P74:V74,Categorías!#REF!)&gt;0, COUNTIF(P74:V74,Categorías!#REF!)&gt;0, COUNTIF(P74:V74,Categorías!#REF!)&gt;0), "Sprint 19",OR(COUNTIF(P74:V74,Categorías!#REF!)&gt;0, COUNTIF(P74:V74,Categorías!#REF!)&gt;0, COUNTIF(P74:V74,Categorías!#REF!)&gt;0), "Sprint 18",OR(COUNTIF(P74:V74,Categorías!#REF!)&gt;0, COUNTIF(P74:V74,Categorías!#REF!)&gt;0, COUNTIF(P74:V74,Categorías!#REF!)&gt;0, COUNTIF(P74:V74,Categorías!#REF!)&gt;0), "Sprint 17",OR(COUNTIF(P74:V74,Categorías!#REF!)&gt;0, COUNTIF(P74:V74,Categorías!#REF!)&gt;0, COUNTIF(P74:V74,Categorías!#REF!)&gt;0, COUNTIF(P74:V74,Categorías!#REF!)&gt;0), "Sprint 16", OR(COUNTIF(P74:V74,Categorías!#REF!)&gt;0, COUNTIF(P74:V74,Categorías!#REF!)&gt;0, COUNTIF(P74:V74,Categorías!#REF!)&gt;0, COUNTIF(P74:V74,Categorías!#REF!)&gt;0), "Sprint 16",TRUE, "")</f>
        <v/>
      </c>
      <c r="AF7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74" t="str" cm="1">
        <f t="array" ref="AG7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74" s="22" t="str" cm="1">
        <f t="array" ref="AH74">_xlfn.IFS(COUNTIF(P74:V74, Categorías!$A$2)&gt;0, "Funcional", COUNTIF(P74:V74, Categorías!$A$3)&gt;0, "Configuración", COUNTIF(P74:V74, Categorías!$A$4)&gt;0, "Look&amp;Feel", COUNTIF(P74:V74, Categorías!$A$5)&gt;0, "Integración", COUNTIF(P74:V74, Categorías!$A$6)&gt;0, "Contenido/Datos", COUNTIF(P74:V74, Categorías!$A$7)&gt;0, "Eventos_Cosmos", COUNTIF(P74:V74, Categorías!$A$8)&gt;0, "Eventos_iOT", COUNTIF(P74:V74, Categorías!$A$9)&gt;0, "Eventos_Fabric", TRUE, "No encontrado")</f>
        <v>Funcional</v>
      </c>
    </row>
    <row r="75" spans="1:34" ht="43.5">
      <c r="A75" s="40" t="s">
        <v>128</v>
      </c>
      <c r="B75" s="40" t="s">
        <v>798</v>
      </c>
      <c r="C75" s="40">
        <v>95037</v>
      </c>
      <c r="D75" s="40" t="s">
        <v>799</v>
      </c>
      <c r="E75" s="40">
        <v>87100</v>
      </c>
      <c r="F75" s="40" t="s">
        <v>1039</v>
      </c>
      <c r="G75" s="40" t="s">
        <v>1040</v>
      </c>
      <c r="H75" s="40" t="s">
        <v>37</v>
      </c>
      <c r="I75" s="40" t="s">
        <v>27</v>
      </c>
      <c r="J75" s="40" t="s">
        <v>1041</v>
      </c>
      <c r="K75" s="40"/>
      <c r="L75" s="40"/>
      <c r="M75" s="40"/>
      <c r="N75" s="40"/>
      <c r="O75" s="40"/>
      <c r="P75" s="40" t="s">
        <v>132</v>
      </c>
      <c r="Q75" s="40" t="s">
        <v>750</v>
      </c>
      <c r="R75" s="40"/>
      <c r="S75" s="40"/>
      <c r="T75" s="40"/>
      <c r="U75" s="40"/>
      <c r="V75" s="40"/>
      <c r="W75" s="40" t="s">
        <v>217</v>
      </c>
      <c r="X75" s="53">
        <v>45916.615277777775</v>
      </c>
      <c r="Y75" s="40"/>
      <c r="Z75" s="40"/>
      <c r="AA75" s="40"/>
      <c r="AB75" t="str">
        <f>IF(LEFT(Jira__325[[#This Row],[Resumen]],3)="POS","POS",IF(LEFT(Jira__325[[#This Row],[Resumen]],3)="BOT","BOT",""))</f>
        <v>POS</v>
      </c>
      <c r="AC75" s="13" t="s">
        <v>617</v>
      </c>
      <c r="AE75" s="22" t="str" cm="1">
        <f t="array" ref="AE75">_xlfn.IFS(OR(COUNTIF(P75:V75,Categorías!#REF!)&gt;0, COUNTIF(P75:V75,Categorías!#REF!)&gt;0), "Sprint 21",OR(COUNTIF(P75:V75,Categorías!#REF!)&gt;0, COUNTIF(P75:V75,Categorías!#REF!)&gt;0, COUNTIF(P75:V75,Categorías!#REF!)&gt;0), "Sprint 20",OR(COUNTIF(P75:V75,Categorías!#REF!)&gt;0, COUNTIF(P75:V75,Categorías!#REF!)&gt;0, COUNTIF(P75:V75,Categorías!#REF!)&gt;0), "Sprint 19",OR(COUNTIF(P75:V75,Categorías!#REF!)&gt;0, COUNTIF(P75:V75,Categorías!#REF!)&gt;0, COUNTIF(P75:V75,Categorías!#REF!)&gt;0), "Sprint 18",OR(COUNTIF(P75:V75,Categorías!#REF!)&gt;0, COUNTIF(P75:V75,Categorías!#REF!)&gt;0, COUNTIF(P75:V75,Categorías!#REF!)&gt;0, COUNTIF(P75:V75,Categorías!#REF!)&gt;0), "Sprint 17",OR(COUNTIF(P75:V75,Categorías!#REF!)&gt;0, COUNTIF(P75:V75,Categorías!#REF!)&gt;0, COUNTIF(P75:V75,Categorías!#REF!)&gt;0, COUNTIF(P75:V75,Categorías!#REF!)&gt;0), "Sprint 16", OR(COUNTIF(P75:V75,Categorías!#REF!)&gt;0, COUNTIF(P75:V75,Categorías!#REF!)&gt;0, COUNTIF(P75:V75,Categorías!#REF!)&gt;0, COUNTIF(P75:V75,Categorías!#REF!)&gt;0), "Sprint 16",TRUE, "")</f>
        <v/>
      </c>
      <c r="AF7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75" t="str" cm="1">
        <f t="array" ref="AG7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75" s="22" t="str" cm="1">
        <f t="array" ref="AH75">_xlfn.IFS(COUNTIF(P75:V75, Categorías!$A$2)&gt;0, "Funcional", COUNTIF(P75:V75, Categorías!$A$3)&gt;0, "Configuración", COUNTIF(P75:V75, Categorías!$A$4)&gt;0, "Look&amp;Feel", COUNTIF(P75:V75, Categorías!$A$5)&gt;0, "Integración", COUNTIF(P75:V75, Categorías!$A$6)&gt;0, "Contenido/Datos", COUNTIF(P75:V75, Categorías!$A$7)&gt;0, "Eventos_Cosmos", COUNTIF(P75:V75, Categorías!$A$8)&gt;0, "Eventos_iOT", COUNTIF(P75:V75, Categorías!$A$9)&gt;0, "Eventos_Fabric", TRUE, "No encontrado")</f>
        <v>Look&amp;Feel</v>
      </c>
    </row>
    <row r="76" spans="1:34" ht="43.5">
      <c r="A76" s="40" t="s">
        <v>128</v>
      </c>
      <c r="B76" s="40" t="s">
        <v>800</v>
      </c>
      <c r="C76" s="40">
        <v>94691</v>
      </c>
      <c r="D76" s="40" t="s">
        <v>801</v>
      </c>
      <c r="E76" s="40">
        <v>87100</v>
      </c>
      <c r="F76" s="40" t="s">
        <v>1039</v>
      </c>
      <c r="G76" s="40" t="s">
        <v>1040</v>
      </c>
      <c r="H76" s="40" t="s">
        <v>36</v>
      </c>
      <c r="I76" s="40" t="s">
        <v>26</v>
      </c>
      <c r="J76" s="40" t="s">
        <v>802</v>
      </c>
      <c r="K76" s="40" t="s">
        <v>753</v>
      </c>
      <c r="L76" s="40" t="s">
        <v>1041</v>
      </c>
      <c r="M76" s="40"/>
      <c r="N76" s="40"/>
      <c r="O76" s="40"/>
      <c r="P76" s="40" t="s">
        <v>803</v>
      </c>
      <c r="Q76" s="40" t="s">
        <v>287</v>
      </c>
      <c r="R76" s="40" t="s">
        <v>804</v>
      </c>
      <c r="S76" s="40" t="s">
        <v>204</v>
      </c>
      <c r="T76" s="40" t="s">
        <v>154</v>
      </c>
      <c r="U76" s="40"/>
      <c r="V76" s="40"/>
      <c r="W76" s="40" t="s">
        <v>134</v>
      </c>
      <c r="X76" s="53">
        <v>45914.655555555553</v>
      </c>
      <c r="Y76" s="40" t="s">
        <v>805</v>
      </c>
      <c r="Z76" s="40" t="s">
        <v>806</v>
      </c>
      <c r="AA76" s="40" t="s">
        <v>760</v>
      </c>
      <c r="AB76" t="str">
        <f>IF(LEFT(Jira__325[[#This Row],[Resumen]],3)="POS","POS",IF(LEFT(Jira__325[[#This Row],[Resumen]],3)="BOT","BOT",""))</f>
        <v>POS</v>
      </c>
      <c r="AC76" s="13" t="s">
        <v>617</v>
      </c>
      <c r="AE76" s="22" t="str" cm="1">
        <f t="array" ref="AE76">_xlfn.IFS(OR(COUNTIF(P76:V76,Categorías!#REF!)&gt;0, COUNTIF(P76:V76,Categorías!#REF!)&gt;0), "Sprint 21",OR(COUNTIF(P76:V76,Categorías!#REF!)&gt;0, COUNTIF(P76:V76,Categorías!#REF!)&gt;0, COUNTIF(P76:V76,Categorías!#REF!)&gt;0), "Sprint 20",OR(COUNTIF(P76:V76,Categorías!#REF!)&gt;0, COUNTIF(P76:V76,Categorías!#REF!)&gt;0, COUNTIF(P76:V76,Categorías!#REF!)&gt;0), "Sprint 19",OR(COUNTIF(P76:V76,Categorías!#REF!)&gt;0, COUNTIF(P76:V76,Categorías!#REF!)&gt;0, COUNTIF(P76:V76,Categorías!#REF!)&gt;0), "Sprint 18",OR(COUNTIF(P76:V76,Categorías!#REF!)&gt;0, COUNTIF(P76:V76,Categorías!#REF!)&gt;0, COUNTIF(P76:V76,Categorías!#REF!)&gt;0, COUNTIF(P76:V76,Categorías!#REF!)&gt;0), "Sprint 17",OR(COUNTIF(P76:V76,Categorías!#REF!)&gt;0, COUNTIF(P76:V76,Categorías!#REF!)&gt;0, COUNTIF(P76:V76,Categorías!#REF!)&gt;0, COUNTIF(P76:V76,Categorías!#REF!)&gt;0), "Sprint 16", OR(COUNTIF(P76:V76,Categorías!#REF!)&gt;0, COUNTIF(P76:V76,Categorías!#REF!)&gt;0, COUNTIF(P76:V76,Categorías!#REF!)&gt;0, COUNTIF(P76:V76,Categorías!#REF!)&gt;0), "Sprint 16",TRUE, "")</f>
        <v/>
      </c>
      <c r="AF7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76" t="str" cm="1">
        <f t="array" ref="AG7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76" s="22" t="str" cm="1">
        <f t="array" ref="AH76">_xlfn.IFS(COUNTIF(P76:V76, Categorías!$A$2)&gt;0, "Funcional", COUNTIF(P76:V76, Categorías!$A$3)&gt;0, "Configuración", COUNTIF(P76:V76, Categorías!$A$4)&gt;0, "Look&amp;Feel", COUNTIF(P76:V76, Categorías!$A$5)&gt;0, "Integración", COUNTIF(P76:V76, Categorías!$A$6)&gt;0, "Contenido/Datos", COUNTIF(P76:V76, Categorías!$A$7)&gt;0, "Eventos_Cosmos", COUNTIF(P76:V76, Categorías!$A$8)&gt;0, "Eventos_iOT", COUNTIF(P76:V76, Categorías!$A$9)&gt;0, "Eventos_Fabric", TRUE, "No encontrado")</f>
        <v>Eventos_iOT</v>
      </c>
    </row>
    <row r="77" spans="1:34" ht="43.5">
      <c r="A77" s="40" t="s">
        <v>128</v>
      </c>
      <c r="B77" s="40" t="s">
        <v>807</v>
      </c>
      <c r="C77" s="40">
        <v>94631</v>
      </c>
      <c r="D77" s="40" t="s">
        <v>808</v>
      </c>
      <c r="E77" s="40">
        <v>87100</v>
      </c>
      <c r="F77" s="40" t="s">
        <v>1039</v>
      </c>
      <c r="G77" s="40" t="s">
        <v>1040</v>
      </c>
      <c r="H77" s="40" t="s">
        <v>36</v>
      </c>
      <c r="I77" s="40" t="s">
        <v>26</v>
      </c>
      <c r="J77" s="40" t="s">
        <v>802</v>
      </c>
      <c r="K77" s="40" t="s">
        <v>753</v>
      </c>
      <c r="L77" s="40" t="s">
        <v>1041</v>
      </c>
      <c r="M77" s="40"/>
      <c r="N77" s="40"/>
      <c r="O77" s="40"/>
      <c r="P77" s="40" t="s">
        <v>803</v>
      </c>
      <c r="Q77" s="40" t="s">
        <v>287</v>
      </c>
      <c r="R77" s="40" t="s">
        <v>804</v>
      </c>
      <c r="S77" s="40" t="s">
        <v>204</v>
      </c>
      <c r="T77" s="40" t="s">
        <v>154</v>
      </c>
      <c r="U77" s="40"/>
      <c r="V77" s="40"/>
      <c r="W77" s="40" t="s">
        <v>134</v>
      </c>
      <c r="X77" s="53">
        <v>45914.128472222219</v>
      </c>
      <c r="Y77" s="40" t="s">
        <v>805</v>
      </c>
      <c r="Z77" s="40" t="s">
        <v>806</v>
      </c>
      <c r="AA77" s="40" t="s">
        <v>760</v>
      </c>
      <c r="AB77" t="str">
        <f>IF(LEFT(Jira__325[[#This Row],[Resumen]],3)="POS","POS",IF(LEFT(Jira__325[[#This Row],[Resumen]],3)="BOT","BOT",""))</f>
        <v>POS</v>
      </c>
      <c r="AC77" s="13" t="s">
        <v>617</v>
      </c>
      <c r="AE77" s="22" t="str" cm="1">
        <f t="array" ref="AE77">_xlfn.IFS(OR(COUNTIF(P77:V77,Categorías!#REF!)&gt;0, COUNTIF(P77:V77,Categorías!#REF!)&gt;0), "Sprint 21",OR(COUNTIF(P77:V77,Categorías!#REF!)&gt;0, COUNTIF(P77:V77,Categorías!#REF!)&gt;0, COUNTIF(P77:V77,Categorías!#REF!)&gt;0), "Sprint 20",OR(COUNTIF(P77:V77,Categorías!#REF!)&gt;0, COUNTIF(P77:V77,Categorías!#REF!)&gt;0, COUNTIF(P77:V77,Categorías!#REF!)&gt;0), "Sprint 19",OR(COUNTIF(P77:V77,Categorías!#REF!)&gt;0, COUNTIF(P77:V77,Categorías!#REF!)&gt;0, COUNTIF(P77:V77,Categorías!#REF!)&gt;0), "Sprint 18",OR(COUNTIF(P77:V77,Categorías!#REF!)&gt;0, COUNTIF(P77:V77,Categorías!#REF!)&gt;0, COUNTIF(P77:V77,Categorías!#REF!)&gt;0, COUNTIF(P77:V77,Categorías!#REF!)&gt;0), "Sprint 17",OR(COUNTIF(P77:V77,Categorías!#REF!)&gt;0, COUNTIF(P77:V77,Categorías!#REF!)&gt;0, COUNTIF(P77:V77,Categorías!#REF!)&gt;0, COUNTIF(P77:V77,Categorías!#REF!)&gt;0), "Sprint 16", OR(COUNTIF(P77:V77,Categorías!#REF!)&gt;0, COUNTIF(P77:V77,Categorías!#REF!)&gt;0, COUNTIF(P77:V77,Categorías!#REF!)&gt;0, COUNTIF(P77:V77,Categorías!#REF!)&gt;0), "Sprint 16",TRUE, "")</f>
        <v/>
      </c>
      <c r="AF7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77" t="str" cm="1">
        <f t="array" ref="AG7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77" s="22" t="str" cm="1">
        <f t="array" ref="AH77">_xlfn.IFS(COUNTIF(P77:V77, Categorías!$A$2)&gt;0, "Funcional", COUNTIF(P77:V77, Categorías!$A$3)&gt;0, "Configuración", COUNTIF(P77:V77, Categorías!$A$4)&gt;0, "Look&amp;Feel", COUNTIF(P77:V77, Categorías!$A$5)&gt;0, "Integración", COUNTIF(P77:V77, Categorías!$A$6)&gt;0, "Contenido/Datos", COUNTIF(P77:V77, Categorías!$A$7)&gt;0, "Eventos_Cosmos", COUNTIF(P77:V77, Categorías!$A$8)&gt;0, "Eventos_iOT", COUNTIF(P77:V77, Categorías!$A$9)&gt;0, "Eventos_Fabric", TRUE, "No encontrado")</f>
        <v>Eventos_iOT</v>
      </c>
    </row>
    <row r="78" spans="1:34" ht="29.25">
      <c r="A78" s="40" t="s">
        <v>128</v>
      </c>
      <c r="B78" s="40" t="s">
        <v>809</v>
      </c>
      <c r="C78" s="40">
        <v>94628</v>
      </c>
      <c r="D78" s="40" t="s">
        <v>808</v>
      </c>
      <c r="E78" s="40">
        <v>87100</v>
      </c>
      <c r="F78" s="40" t="s">
        <v>1039</v>
      </c>
      <c r="G78" s="40" t="s">
        <v>1040</v>
      </c>
      <c r="H78" s="40" t="s">
        <v>36</v>
      </c>
      <c r="I78" s="40" t="s">
        <v>24</v>
      </c>
      <c r="J78" s="40"/>
      <c r="K78" s="40"/>
      <c r="L78" s="40"/>
      <c r="M78" s="40"/>
      <c r="N78" s="40"/>
      <c r="O78" s="40"/>
      <c r="P78" s="40" t="s">
        <v>287</v>
      </c>
      <c r="Q78" s="40" t="s">
        <v>804</v>
      </c>
      <c r="R78" s="40"/>
      <c r="S78" s="40"/>
      <c r="T78" s="40"/>
      <c r="U78" s="40"/>
      <c r="V78" s="40"/>
      <c r="W78" s="40" t="s">
        <v>134</v>
      </c>
      <c r="X78" s="53">
        <v>45913.960416666669</v>
      </c>
      <c r="Y78" s="40" t="s">
        <v>806</v>
      </c>
      <c r="Z78" s="40" t="s">
        <v>760</v>
      </c>
      <c r="AA78" s="40"/>
      <c r="AB78" t="str">
        <f>IF(LEFT(Jira__325[[#This Row],[Resumen]],3)="POS","POS",IF(LEFT(Jira__325[[#This Row],[Resumen]],3)="BOT","BOT",""))</f>
        <v>POS</v>
      </c>
      <c r="AC78" s="9" t="s">
        <v>136</v>
      </c>
      <c r="AE78" s="22" t="str" cm="1">
        <f t="array" ref="AE78">_xlfn.IFS(OR(COUNTIF(P78:V78,Categorías!#REF!)&gt;0, COUNTIF(P78:V78,Categorías!#REF!)&gt;0), "Sprint 21",OR(COUNTIF(P78:V78,Categorías!#REF!)&gt;0, COUNTIF(P78:V78,Categorías!#REF!)&gt;0, COUNTIF(P78:V78,Categorías!#REF!)&gt;0), "Sprint 20",OR(COUNTIF(P78:V78,Categorías!#REF!)&gt;0, COUNTIF(P78:V78,Categorías!#REF!)&gt;0, COUNTIF(P78:V78,Categorías!#REF!)&gt;0), "Sprint 19",OR(COUNTIF(P78:V78,Categorías!#REF!)&gt;0, COUNTIF(P78:V78,Categorías!#REF!)&gt;0, COUNTIF(P78:V78,Categorías!#REF!)&gt;0), "Sprint 18",OR(COUNTIF(P78:V78,Categorías!#REF!)&gt;0, COUNTIF(P78:V78,Categorías!#REF!)&gt;0, COUNTIF(P78:V78,Categorías!#REF!)&gt;0, COUNTIF(P78:V78,Categorías!#REF!)&gt;0), "Sprint 17",OR(COUNTIF(P78:V78,Categorías!#REF!)&gt;0, COUNTIF(P78:V78,Categorías!#REF!)&gt;0, COUNTIF(P78:V78,Categorías!#REF!)&gt;0, COUNTIF(P78:V78,Categorías!#REF!)&gt;0), "Sprint 16", OR(COUNTIF(P78:V78,Categorías!#REF!)&gt;0, COUNTIF(P78:V78,Categorías!#REF!)&gt;0, COUNTIF(P78:V78,Categorías!#REF!)&gt;0, COUNTIF(P78:V78,Categorías!#REF!)&gt;0), "Sprint 16",TRUE, "")</f>
        <v/>
      </c>
      <c r="AF7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78" t="str" cm="1">
        <f t="array" ref="AG7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78" s="22" t="str" cm="1">
        <f t="array" ref="AH78">_xlfn.IFS(COUNTIF(P78:V78, Categorías!$A$2)&gt;0, "Funcional", COUNTIF(P78:V78, Categorías!$A$3)&gt;0, "Configuración", COUNTIF(P78:V78, Categorías!$A$4)&gt;0, "Look&amp;Feel", COUNTIF(P78:V78, Categorías!$A$5)&gt;0, "Integración", COUNTIF(P78:V78, Categorías!$A$6)&gt;0, "Contenido/Datos", COUNTIF(P78:V78, Categorías!$A$7)&gt;0, "Eventos_Cosmos", COUNTIF(P78:V78, Categorías!$A$8)&gt;0, "Eventos_iOT", COUNTIF(P78:V78, Categorías!$A$9)&gt;0, "Eventos_Fabric", TRUE, "No encontrado")</f>
        <v>Eventos_iOT</v>
      </c>
    </row>
    <row r="79" spans="1:34" ht="29.25">
      <c r="A79" s="40" t="s">
        <v>128</v>
      </c>
      <c r="B79" s="40" t="s">
        <v>810</v>
      </c>
      <c r="C79" s="40">
        <v>94362</v>
      </c>
      <c r="D79" s="40" t="s">
        <v>811</v>
      </c>
      <c r="E79" s="40">
        <v>87100</v>
      </c>
      <c r="F79" s="40" t="s">
        <v>1039</v>
      </c>
      <c r="G79" s="40" t="s">
        <v>1040</v>
      </c>
      <c r="H79" s="40" t="s">
        <v>36</v>
      </c>
      <c r="I79" s="40" t="s">
        <v>26</v>
      </c>
      <c r="J79" s="40" t="s">
        <v>802</v>
      </c>
      <c r="K79" s="40" t="s">
        <v>753</v>
      </c>
      <c r="L79" s="40" t="s">
        <v>1041</v>
      </c>
      <c r="M79" s="40"/>
      <c r="N79" s="40"/>
      <c r="O79" s="40"/>
      <c r="P79" s="40" t="s">
        <v>803</v>
      </c>
      <c r="Q79" s="40" t="s">
        <v>287</v>
      </c>
      <c r="R79" s="40" t="s">
        <v>804</v>
      </c>
      <c r="S79" s="40" t="s">
        <v>204</v>
      </c>
      <c r="T79" s="40" t="s">
        <v>154</v>
      </c>
      <c r="U79" s="40"/>
      <c r="V79" s="40"/>
      <c r="W79" s="40" t="s">
        <v>134</v>
      </c>
      <c r="X79" s="53">
        <v>45912.441666666666</v>
      </c>
      <c r="Y79" s="40" t="s">
        <v>805</v>
      </c>
      <c r="Z79" s="40" t="s">
        <v>806</v>
      </c>
      <c r="AA79" s="40" t="s">
        <v>760</v>
      </c>
      <c r="AB79" t="str">
        <f>IF(LEFT(Jira__325[[#This Row],[Resumen]],3)="POS","POS",IF(LEFT(Jira__325[[#This Row],[Resumen]],3)="BOT","BOT",""))</f>
        <v>BOT</v>
      </c>
      <c r="AC79" s="9" t="s">
        <v>159</v>
      </c>
      <c r="AE79" s="22" t="str" cm="1">
        <f t="array" ref="AE79">_xlfn.IFS(OR(COUNTIF(P79:V79,Categorías!#REF!)&gt;0, COUNTIF(P79:V79,Categorías!#REF!)&gt;0), "Sprint 21",OR(COUNTIF(P79:V79,Categorías!#REF!)&gt;0, COUNTIF(P79:V79,Categorías!#REF!)&gt;0, COUNTIF(P79:V79,Categorías!#REF!)&gt;0), "Sprint 20",OR(COUNTIF(P79:V79,Categorías!#REF!)&gt;0, COUNTIF(P79:V79,Categorías!#REF!)&gt;0, COUNTIF(P79:V79,Categorías!#REF!)&gt;0), "Sprint 19",OR(COUNTIF(P79:V79,Categorías!#REF!)&gt;0, COUNTIF(P79:V79,Categorías!#REF!)&gt;0, COUNTIF(P79:V79,Categorías!#REF!)&gt;0), "Sprint 18",OR(COUNTIF(P79:V79,Categorías!#REF!)&gt;0, COUNTIF(P79:V79,Categorías!#REF!)&gt;0, COUNTIF(P79:V79,Categorías!#REF!)&gt;0, COUNTIF(P79:V79,Categorías!#REF!)&gt;0), "Sprint 17",OR(COUNTIF(P79:V79,Categorías!#REF!)&gt;0, COUNTIF(P79:V79,Categorías!#REF!)&gt;0, COUNTIF(P79:V79,Categorías!#REF!)&gt;0, COUNTIF(P79:V79,Categorías!#REF!)&gt;0), "Sprint 16", OR(COUNTIF(P79:V79,Categorías!#REF!)&gt;0, COUNTIF(P79:V79,Categorías!#REF!)&gt;0, COUNTIF(P79:V79,Categorías!#REF!)&gt;0, COUNTIF(P79:V79,Categorías!#REF!)&gt;0), "Sprint 16",TRUE, "")</f>
        <v/>
      </c>
      <c r="AF7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79" t="str" cm="1">
        <f t="array" ref="AG7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79" s="22" t="str" cm="1">
        <f t="array" ref="AH79">_xlfn.IFS(COUNTIF(P79:V79, Categorías!$A$2)&gt;0, "Funcional", COUNTIF(P79:V79, Categorías!$A$3)&gt;0, "Configuración", COUNTIF(P79:V79, Categorías!$A$4)&gt;0, "Look&amp;Feel", COUNTIF(P79:V79, Categorías!$A$5)&gt;0, "Integración", COUNTIF(P79:V79, Categorías!$A$6)&gt;0, "Contenido/Datos", COUNTIF(P79:V79, Categorías!$A$7)&gt;0, "Eventos_Cosmos", COUNTIF(P79:V79, Categorías!$A$8)&gt;0, "Eventos_iOT", COUNTIF(P79:V79, Categorías!$A$9)&gt;0, "Eventos_Fabric", TRUE, "No encontrado")</f>
        <v>Eventos_iOT</v>
      </c>
    </row>
    <row r="80" spans="1:34" ht="29.25">
      <c r="A80" s="40" t="s">
        <v>128</v>
      </c>
      <c r="B80" s="40" t="s">
        <v>812</v>
      </c>
      <c r="C80" s="40">
        <v>94358</v>
      </c>
      <c r="D80" s="40" t="s">
        <v>813</v>
      </c>
      <c r="E80" s="40">
        <v>87100</v>
      </c>
      <c r="F80" s="40" t="s">
        <v>1039</v>
      </c>
      <c r="G80" s="40" t="s">
        <v>1040</v>
      </c>
      <c r="H80" s="40" t="s">
        <v>36</v>
      </c>
      <c r="I80" s="40" t="s">
        <v>26</v>
      </c>
      <c r="J80" s="40" t="s">
        <v>802</v>
      </c>
      <c r="K80" s="40" t="s">
        <v>753</v>
      </c>
      <c r="L80" s="40" t="s">
        <v>1041</v>
      </c>
      <c r="M80" s="40"/>
      <c r="N80" s="40"/>
      <c r="O80" s="40"/>
      <c r="P80" s="40" t="s">
        <v>803</v>
      </c>
      <c r="Q80" s="40" t="s">
        <v>287</v>
      </c>
      <c r="R80" s="40" t="s">
        <v>804</v>
      </c>
      <c r="S80" s="40" t="s">
        <v>204</v>
      </c>
      <c r="T80" s="40" t="s">
        <v>154</v>
      </c>
      <c r="U80" s="40"/>
      <c r="V80" s="40"/>
      <c r="W80" s="40" t="s">
        <v>134</v>
      </c>
      <c r="X80" s="53">
        <v>45912.44027777778</v>
      </c>
      <c r="Y80" s="40" t="s">
        <v>805</v>
      </c>
      <c r="Z80" s="40" t="s">
        <v>806</v>
      </c>
      <c r="AA80" s="40"/>
      <c r="AB80" t="str">
        <f>IF(LEFT(Jira__325[[#This Row],[Resumen]],3)="POS","POS",IF(LEFT(Jira__325[[#This Row],[Resumen]],3)="BOT","BOT",""))</f>
        <v>POS</v>
      </c>
      <c r="AC80" s="9" t="s">
        <v>159</v>
      </c>
      <c r="AE80" s="22" t="str" cm="1">
        <f t="array" ref="AE80">_xlfn.IFS(OR(COUNTIF(P80:V80,Categorías!#REF!)&gt;0, COUNTIF(P80:V80,Categorías!#REF!)&gt;0), "Sprint 21",OR(COUNTIF(P80:V80,Categorías!#REF!)&gt;0, COUNTIF(P80:V80,Categorías!#REF!)&gt;0, COUNTIF(P80:V80,Categorías!#REF!)&gt;0), "Sprint 20",OR(COUNTIF(P80:V80,Categorías!#REF!)&gt;0, COUNTIF(P80:V80,Categorías!#REF!)&gt;0, COUNTIF(P80:V80,Categorías!#REF!)&gt;0), "Sprint 19",OR(COUNTIF(P80:V80,Categorías!#REF!)&gt;0, COUNTIF(P80:V80,Categorías!#REF!)&gt;0, COUNTIF(P80:V80,Categorías!#REF!)&gt;0), "Sprint 18",OR(COUNTIF(P80:V80,Categorías!#REF!)&gt;0, COUNTIF(P80:V80,Categorías!#REF!)&gt;0, COUNTIF(P80:V80,Categorías!#REF!)&gt;0, COUNTIF(P80:V80,Categorías!#REF!)&gt;0), "Sprint 17",OR(COUNTIF(P80:V80,Categorías!#REF!)&gt;0, COUNTIF(P80:V80,Categorías!#REF!)&gt;0, COUNTIF(P80:V80,Categorías!#REF!)&gt;0, COUNTIF(P80:V80,Categorías!#REF!)&gt;0), "Sprint 16", OR(COUNTIF(P80:V80,Categorías!#REF!)&gt;0, COUNTIF(P80:V80,Categorías!#REF!)&gt;0, COUNTIF(P80:V80,Categorías!#REF!)&gt;0, COUNTIF(P80:V80,Categorías!#REF!)&gt;0), "Sprint 16",TRUE, "")</f>
        <v/>
      </c>
      <c r="AF8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80" t="str" cm="1">
        <f t="array" ref="AG8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80" s="22" t="str" cm="1">
        <f t="array" ref="AH80">_xlfn.IFS(COUNTIF(P80:V80, Categorías!$A$2)&gt;0, "Funcional", COUNTIF(P80:V80, Categorías!$A$3)&gt;0, "Configuración", COUNTIF(P80:V80, Categorías!$A$4)&gt;0, "Look&amp;Feel", COUNTIF(P80:V80, Categorías!$A$5)&gt;0, "Integración", COUNTIF(P80:V80, Categorías!$A$6)&gt;0, "Contenido/Datos", COUNTIF(P80:V80, Categorías!$A$7)&gt;0, "Eventos_Cosmos", COUNTIF(P80:V80, Categorías!$A$8)&gt;0, "Eventos_iOT", COUNTIF(P80:V80, Categorías!$A$9)&gt;0, "Eventos_Fabric", TRUE, "No encontrado")</f>
        <v>Eventos_iOT</v>
      </c>
    </row>
    <row r="81" spans="1:34" ht="29.25">
      <c r="A81" s="40" t="s">
        <v>128</v>
      </c>
      <c r="B81" s="40" t="s">
        <v>814</v>
      </c>
      <c r="C81" s="40">
        <v>94335</v>
      </c>
      <c r="D81" s="40" t="s">
        <v>815</v>
      </c>
      <c r="E81" s="40">
        <v>87100</v>
      </c>
      <c r="F81" s="40" t="s">
        <v>1039</v>
      </c>
      <c r="G81" s="40" t="s">
        <v>1040</v>
      </c>
      <c r="H81" s="40" t="s">
        <v>36</v>
      </c>
      <c r="I81" s="40" t="s">
        <v>26</v>
      </c>
      <c r="J81" s="40" t="s">
        <v>802</v>
      </c>
      <c r="K81" s="40" t="s">
        <v>753</v>
      </c>
      <c r="L81" s="40" t="s">
        <v>1041</v>
      </c>
      <c r="M81" s="40"/>
      <c r="N81" s="40"/>
      <c r="O81" s="40"/>
      <c r="P81" s="40" t="s">
        <v>803</v>
      </c>
      <c r="Q81" s="40" t="s">
        <v>287</v>
      </c>
      <c r="R81" s="40" t="s">
        <v>804</v>
      </c>
      <c r="S81" s="40" t="s">
        <v>204</v>
      </c>
      <c r="T81" s="40" t="s">
        <v>154</v>
      </c>
      <c r="U81" s="40"/>
      <c r="V81" s="40"/>
      <c r="W81" s="40" t="s">
        <v>134</v>
      </c>
      <c r="X81" s="53">
        <v>45912.40902777778</v>
      </c>
      <c r="Y81" s="40" t="s">
        <v>805</v>
      </c>
      <c r="Z81" s="40" t="s">
        <v>806</v>
      </c>
      <c r="AA81" s="40" t="s">
        <v>760</v>
      </c>
      <c r="AB81" t="str">
        <f>IF(LEFT(Jira__325[[#This Row],[Resumen]],3)="POS","POS",IF(LEFT(Jira__325[[#This Row],[Resumen]],3)="BOT","BOT",""))</f>
        <v>POS</v>
      </c>
      <c r="AC81" s="9" t="s">
        <v>159</v>
      </c>
      <c r="AE81" s="22" t="str" cm="1">
        <f t="array" ref="AE81">_xlfn.IFS(OR(COUNTIF(P81:V81,Categorías!#REF!)&gt;0, COUNTIF(P81:V81,Categorías!#REF!)&gt;0), "Sprint 21",OR(COUNTIF(P81:V81,Categorías!#REF!)&gt;0, COUNTIF(P81:V81,Categorías!#REF!)&gt;0, COUNTIF(P81:V81,Categorías!#REF!)&gt;0), "Sprint 20",OR(COUNTIF(P81:V81,Categorías!#REF!)&gt;0, COUNTIF(P81:V81,Categorías!#REF!)&gt;0, COUNTIF(P81:V81,Categorías!#REF!)&gt;0), "Sprint 19",OR(COUNTIF(P81:V81,Categorías!#REF!)&gt;0, COUNTIF(P81:V81,Categorías!#REF!)&gt;0, COUNTIF(P81:V81,Categorías!#REF!)&gt;0), "Sprint 18",OR(COUNTIF(P81:V81,Categorías!#REF!)&gt;0, COUNTIF(P81:V81,Categorías!#REF!)&gt;0, COUNTIF(P81:V81,Categorías!#REF!)&gt;0, COUNTIF(P81:V81,Categorías!#REF!)&gt;0), "Sprint 17",OR(COUNTIF(P81:V81,Categorías!#REF!)&gt;0, COUNTIF(P81:V81,Categorías!#REF!)&gt;0, COUNTIF(P81:V81,Categorías!#REF!)&gt;0, COUNTIF(P81:V81,Categorías!#REF!)&gt;0), "Sprint 16", OR(COUNTIF(P81:V81,Categorías!#REF!)&gt;0, COUNTIF(P81:V81,Categorías!#REF!)&gt;0, COUNTIF(P81:V81,Categorías!#REF!)&gt;0, COUNTIF(P81:V81,Categorías!#REF!)&gt;0), "Sprint 16",TRUE, "")</f>
        <v/>
      </c>
      <c r="AF8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81" t="str" cm="1">
        <f t="array" ref="AG8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81" s="22" t="str" cm="1">
        <f t="array" ref="AH81">_xlfn.IFS(COUNTIF(P81:V81, Categorías!$A$2)&gt;0, "Funcional", COUNTIF(P81:V81, Categorías!$A$3)&gt;0, "Configuración", COUNTIF(P81:V81, Categorías!$A$4)&gt;0, "Look&amp;Feel", COUNTIF(P81:V81, Categorías!$A$5)&gt;0, "Integración", COUNTIF(P81:V81, Categorías!$A$6)&gt;0, "Contenido/Datos", COUNTIF(P81:V81, Categorías!$A$7)&gt;0, "Eventos_Cosmos", COUNTIF(P81:V81, Categorías!$A$8)&gt;0, "Eventos_iOT", COUNTIF(P81:V81, Categorías!$A$9)&gt;0, "Eventos_Fabric", TRUE, "No encontrado")</f>
        <v>Eventos_iOT</v>
      </c>
    </row>
    <row r="82" spans="1:34" ht="29.25">
      <c r="A82" s="40" t="s">
        <v>128</v>
      </c>
      <c r="B82" s="40" t="s">
        <v>816</v>
      </c>
      <c r="C82" s="40">
        <v>94311</v>
      </c>
      <c r="D82" s="40" t="s">
        <v>817</v>
      </c>
      <c r="E82" s="40">
        <v>87100</v>
      </c>
      <c r="F82" s="40" t="s">
        <v>1039</v>
      </c>
      <c r="G82" s="40" t="s">
        <v>1040</v>
      </c>
      <c r="H82" s="40" t="s">
        <v>36</v>
      </c>
      <c r="I82" s="40" t="s">
        <v>26</v>
      </c>
      <c r="J82" s="40" t="s">
        <v>753</v>
      </c>
      <c r="K82" s="40" t="s">
        <v>1041</v>
      </c>
      <c r="L82" s="40"/>
      <c r="M82" s="40"/>
      <c r="N82" s="40"/>
      <c r="O82" s="40"/>
      <c r="P82" s="40" t="s">
        <v>803</v>
      </c>
      <c r="Q82" s="40" t="s">
        <v>287</v>
      </c>
      <c r="R82" s="40" t="s">
        <v>804</v>
      </c>
      <c r="S82" s="40" t="s">
        <v>204</v>
      </c>
      <c r="T82" s="40" t="s">
        <v>154</v>
      </c>
      <c r="U82" s="40"/>
      <c r="V82" s="40"/>
      <c r="W82" s="40" t="s">
        <v>134</v>
      </c>
      <c r="X82" s="53">
        <v>45912.357638888891</v>
      </c>
      <c r="Y82" s="40" t="s">
        <v>710</v>
      </c>
      <c r="Z82" s="40"/>
      <c r="AA82" s="40"/>
      <c r="AB82" t="str">
        <f>IF(LEFT(Jira__325[[#This Row],[Resumen]],3)="POS","POS",IF(LEFT(Jira__325[[#This Row],[Resumen]],3)="BOT","BOT",""))</f>
        <v>BOT</v>
      </c>
      <c r="AC82" s="9" t="s">
        <v>136</v>
      </c>
      <c r="AE82" s="22" t="str" cm="1">
        <f t="array" ref="AE82">_xlfn.IFS(OR(COUNTIF(P82:V82,Categorías!#REF!)&gt;0, COUNTIF(P82:V82,Categorías!#REF!)&gt;0), "Sprint 21",OR(COUNTIF(P82:V82,Categorías!#REF!)&gt;0, COUNTIF(P82:V82,Categorías!#REF!)&gt;0, COUNTIF(P82:V82,Categorías!#REF!)&gt;0), "Sprint 20",OR(COUNTIF(P82:V82,Categorías!#REF!)&gt;0, COUNTIF(P82:V82,Categorías!#REF!)&gt;0, COUNTIF(P82:V82,Categorías!#REF!)&gt;0), "Sprint 19",OR(COUNTIF(P82:V82,Categorías!#REF!)&gt;0, COUNTIF(P82:V82,Categorías!#REF!)&gt;0, COUNTIF(P82:V82,Categorías!#REF!)&gt;0), "Sprint 18",OR(COUNTIF(P82:V82,Categorías!#REF!)&gt;0, COUNTIF(P82:V82,Categorías!#REF!)&gt;0, COUNTIF(P82:V82,Categorías!#REF!)&gt;0, COUNTIF(P82:V82,Categorías!#REF!)&gt;0), "Sprint 17",OR(COUNTIF(P82:V82,Categorías!#REF!)&gt;0, COUNTIF(P82:V82,Categorías!#REF!)&gt;0, COUNTIF(P82:V82,Categorías!#REF!)&gt;0, COUNTIF(P82:V82,Categorías!#REF!)&gt;0), "Sprint 16", OR(COUNTIF(P82:V82,Categorías!#REF!)&gt;0, COUNTIF(P82:V82,Categorías!#REF!)&gt;0, COUNTIF(P82:V82,Categorías!#REF!)&gt;0, COUNTIF(P82:V82,Categorías!#REF!)&gt;0), "Sprint 16",TRUE, "")</f>
        <v/>
      </c>
      <c r="AF8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82" t="str" cm="1">
        <f t="array" ref="AG8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82" s="22" t="str" cm="1">
        <f t="array" ref="AH82">_xlfn.IFS(COUNTIF(P82:V82, Categorías!$A$2)&gt;0, "Funcional", COUNTIF(P82:V82, Categorías!$A$3)&gt;0, "Configuración", COUNTIF(P82:V82, Categorías!$A$4)&gt;0, "Look&amp;Feel", COUNTIF(P82:V82, Categorías!$A$5)&gt;0, "Integración", COUNTIF(P82:V82, Categorías!$A$6)&gt;0, "Contenido/Datos", COUNTIF(P82:V82, Categorías!$A$7)&gt;0, "Eventos_Cosmos", COUNTIF(P82:V82, Categorías!$A$8)&gt;0, "Eventos_iOT", COUNTIF(P82:V82, Categorías!$A$9)&gt;0, "Eventos_Fabric", TRUE, "No encontrado")</f>
        <v>Eventos_iOT</v>
      </c>
    </row>
    <row r="83" spans="1:34" ht="29.25">
      <c r="A83" s="40" t="s">
        <v>128</v>
      </c>
      <c r="B83" s="40" t="s">
        <v>818</v>
      </c>
      <c r="C83" s="40">
        <v>93423</v>
      </c>
      <c r="D83" s="40" t="s">
        <v>819</v>
      </c>
      <c r="E83" s="40">
        <v>87100</v>
      </c>
      <c r="F83" s="40" t="s">
        <v>1039</v>
      </c>
      <c r="G83" s="40" t="s">
        <v>1040</v>
      </c>
      <c r="H83" s="40" t="s">
        <v>37</v>
      </c>
      <c r="I83" s="40" t="s">
        <v>27</v>
      </c>
      <c r="J83" s="40" t="s">
        <v>1041</v>
      </c>
      <c r="K83" s="40"/>
      <c r="L83" s="40"/>
      <c r="M83" s="40"/>
      <c r="N83" s="40"/>
      <c r="O83" s="40"/>
      <c r="P83" s="40" t="s">
        <v>139</v>
      </c>
      <c r="Q83" s="40" t="s">
        <v>804</v>
      </c>
      <c r="R83" s="40"/>
      <c r="S83" s="40"/>
      <c r="T83" s="40"/>
      <c r="U83" s="40"/>
      <c r="V83" s="40"/>
      <c r="W83" s="40" t="s">
        <v>217</v>
      </c>
      <c r="X83" s="53">
        <v>45908.700694444444</v>
      </c>
      <c r="Y83" s="40"/>
      <c r="Z83" s="40"/>
      <c r="AA83" s="40"/>
      <c r="AB83" t="str">
        <f>IF(LEFT(Jira__325[[#This Row],[Resumen]],3)="POS","POS",IF(LEFT(Jira__325[[#This Row],[Resumen]],3)="BOT","BOT",""))</f>
        <v>BOT</v>
      </c>
      <c r="AC83" s="9" t="s">
        <v>136</v>
      </c>
      <c r="AE83" s="22" t="str" cm="1">
        <f t="array" ref="AE83">_xlfn.IFS(OR(COUNTIF(P83:V83,Categorías!#REF!)&gt;0, COUNTIF(P83:V83,Categorías!#REF!)&gt;0), "Sprint 21",OR(COUNTIF(P83:V83,Categorías!#REF!)&gt;0, COUNTIF(P83:V83,Categorías!#REF!)&gt;0, COUNTIF(P83:V83,Categorías!#REF!)&gt;0), "Sprint 20",OR(COUNTIF(P83:V83,Categorías!#REF!)&gt;0, COUNTIF(P83:V83,Categorías!#REF!)&gt;0, COUNTIF(P83:V83,Categorías!#REF!)&gt;0), "Sprint 19",OR(COUNTIF(P83:V83,Categorías!#REF!)&gt;0, COUNTIF(P83:V83,Categorías!#REF!)&gt;0, COUNTIF(P83:V83,Categorías!#REF!)&gt;0), "Sprint 18",OR(COUNTIF(P83:V83,Categorías!#REF!)&gt;0, COUNTIF(P83:V83,Categorías!#REF!)&gt;0, COUNTIF(P83:V83,Categorías!#REF!)&gt;0, COUNTIF(P83:V83,Categorías!#REF!)&gt;0), "Sprint 17",OR(COUNTIF(P83:V83,Categorías!#REF!)&gt;0, COUNTIF(P83:V83,Categorías!#REF!)&gt;0, COUNTIF(P83:V83,Categorías!#REF!)&gt;0, COUNTIF(P83:V83,Categorías!#REF!)&gt;0), "Sprint 16", OR(COUNTIF(P83:V83,Categorías!#REF!)&gt;0, COUNTIF(P83:V83,Categorías!#REF!)&gt;0, COUNTIF(P83:V83,Categorías!#REF!)&gt;0, COUNTIF(P83:V83,Categorías!#REF!)&gt;0), "Sprint 16",TRUE, "")</f>
        <v/>
      </c>
      <c r="AF8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83" t="str" cm="1">
        <f t="array" ref="AG8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83" s="22" t="str" cm="1">
        <f t="array" ref="AH83">_xlfn.IFS(COUNTIF(P83:V83, Categorías!$A$2)&gt;0, "Funcional", COUNTIF(P83:V83, Categorías!$A$3)&gt;0, "Configuración", COUNTIF(P83:V83, Categorías!$A$4)&gt;0, "Look&amp;Feel", COUNTIF(P83:V83, Categorías!$A$5)&gt;0, "Integración", COUNTIF(P83:V83, Categorías!$A$6)&gt;0, "Contenido/Datos", COUNTIF(P83:V83, Categorías!$A$7)&gt;0, "Eventos_Cosmos", COUNTIF(P83:V83, Categorías!$A$8)&gt;0, "Eventos_iOT", COUNTIF(P83:V83, Categorías!$A$9)&gt;0, "Eventos_Fabric", TRUE, "No encontrado")</f>
        <v>Funcional</v>
      </c>
    </row>
    <row r="84" spans="1:34" ht="29.25">
      <c r="A84" s="40" t="s">
        <v>128</v>
      </c>
      <c r="B84" s="40" t="s">
        <v>820</v>
      </c>
      <c r="C84" s="40">
        <v>93413</v>
      </c>
      <c r="D84" s="40" t="s">
        <v>821</v>
      </c>
      <c r="E84" s="40">
        <v>87100</v>
      </c>
      <c r="F84" s="40" t="s">
        <v>1039</v>
      </c>
      <c r="G84" s="40" t="s">
        <v>1040</v>
      </c>
      <c r="H84" s="40" t="s">
        <v>37</v>
      </c>
      <c r="I84" s="40" t="s">
        <v>27</v>
      </c>
      <c r="J84" s="40" t="s">
        <v>1041</v>
      </c>
      <c r="K84" s="40"/>
      <c r="L84" s="40"/>
      <c r="M84" s="40"/>
      <c r="N84" s="40"/>
      <c r="O84" s="40"/>
      <c r="P84" s="40" t="s">
        <v>139</v>
      </c>
      <c r="Q84" s="40" t="s">
        <v>804</v>
      </c>
      <c r="R84" s="40"/>
      <c r="S84" s="40"/>
      <c r="T84" s="40"/>
      <c r="U84" s="40"/>
      <c r="V84" s="40"/>
      <c r="W84" s="40" t="s">
        <v>217</v>
      </c>
      <c r="X84" s="53">
        <v>45908.680555555555</v>
      </c>
      <c r="Y84" s="40"/>
      <c r="Z84" s="40"/>
      <c r="AA84" s="40"/>
      <c r="AB84" t="str">
        <f>IF(LEFT(Jira__325[[#This Row],[Resumen]],3)="POS","POS",IF(LEFT(Jira__325[[#This Row],[Resumen]],3)="BOT","BOT",""))</f>
        <v>POS</v>
      </c>
      <c r="AC84" s="9" t="s">
        <v>159</v>
      </c>
      <c r="AE84" s="22" t="str" cm="1">
        <f t="array" ref="AE84">_xlfn.IFS(OR(COUNTIF(P84:V84,Categorías!#REF!)&gt;0, COUNTIF(P84:V84,Categorías!#REF!)&gt;0), "Sprint 21",OR(COUNTIF(P84:V84,Categorías!#REF!)&gt;0, COUNTIF(P84:V84,Categorías!#REF!)&gt;0, COUNTIF(P84:V84,Categorías!#REF!)&gt;0), "Sprint 20",OR(COUNTIF(P84:V84,Categorías!#REF!)&gt;0, COUNTIF(P84:V84,Categorías!#REF!)&gt;0, COUNTIF(P84:V84,Categorías!#REF!)&gt;0), "Sprint 19",OR(COUNTIF(P84:V84,Categorías!#REF!)&gt;0, COUNTIF(P84:V84,Categorías!#REF!)&gt;0, COUNTIF(P84:V84,Categorías!#REF!)&gt;0), "Sprint 18",OR(COUNTIF(P84:V84,Categorías!#REF!)&gt;0, COUNTIF(P84:V84,Categorías!#REF!)&gt;0, COUNTIF(P84:V84,Categorías!#REF!)&gt;0, COUNTIF(P84:V84,Categorías!#REF!)&gt;0), "Sprint 17",OR(COUNTIF(P84:V84,Categorías!#REF!)&gt;0, COUNTIF(P84:V84,Categorías!#REF!)&gt;0, COUNTIF(P84:V84,Categorías!#REF!)&gt;0, COUNTIF(P84:V84,Categorías!#REF!)&gt;0), "Sprint 16", OR(COUNTIF(P84:V84,Categorías!#REF!)&gt;0, COUNTIF(P84:V84,Categorías!#REF!)&gt;0, COUNTIF(P84:V84,Categorías!#REF!)&gt;0, COUNTIF(P84:V84,Categorías!#REF!)&gt;0), "Sprint 16",TRUE, "")</f>
        <v/>
      </c>
      <c r="AF8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84" t="str" cm="1">
        <f t="array" ref="AG8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84" s="22" t="str" cm="1">
        <f t="array" ref="AH84">_xlfn.IFS(COUNTIF(P84:V84, Categorías!$A$2)&gt;0, "Funcional", COUNTIF(P84:V84, Categorías!$A$3)&gt;0, "Configuración", COUNTIF(P84:V84, Categorías!$A$4)&gt;0, "Look&amp;Feel", COUNTIF(P84:V84, Categorías!$A$5)&gt;0, "Integración", COUNTIF(P84:V84, Categorías!$A$6)&gt;0, "Contenido/Datos", COUNTIF(P84:V84, Categorías!$A$7)&gt;0, "Eventos_Cosmos", COUNTIF(P84:V84, Categorías!$A$8)&gt;0, "Eventos_iOT", COUNTIF(P84:V84, Categorías!$A$9)&gt;0, "Eventos_Fabric", TRUE, "No encontrado")</f>
        <v>Funcional</v>
      </c>
    </row>
    <row r="85" spans="1:34" ht="29.25">
      <c r="A85" s="40" t="s">
        <v>128</v>
      </c>
      <c r="B85" s="40" t="s">
        <v>822</v>
      </c>
      <c r="C85" s="40">
        <v>93369</v>
      </c>
      <c r="D85" s="40" t="s">
        <v>823</v>
      </c>
      <c r="E85" s="40">
        <v>87100</v>
      </c>
      <c r="F85" s="40" t="s">
        <v>1039</v>
      </c>
      <c r="G85" s="40" t="s">
        <v>1040</v>
      </c>
      <c r="H85" s="40" t="s">
        <v>36</v>
      </c>
      <c r="I85" s="40" t="s">
        <v>26</v>
      </c>
      <c r="J85" s="40" t="s">
        <v>753</v>
      </c>
      <c r="K85" s="40" t="s">
        <v>1041</v>
      </c>
      <c r="L85" s="40"/>
      <c r="M85" s="40"/>
      <c r="N85" s="40"/>
      <c r="O85" s="40"/>
      <c r="P85" s="40" t="s">
        <v>139</v>
      </c>
      <c r="Q85" s="40" t="s">
        <v>804</v>
      </c>
      <c r="R85" s="40" t="s">
        <v>204</v>
      </c>
      <c r="S85" s="40" t="s">
        <v>154</v>
      </c>
      <c r="T85" s="40"/>
      <c r="U85" s="40"/>
      <c r="V85" s="40"/>
      <c r="W85" s="40" t="s">
        <v>217</v>
      </c>
      <c r="X85" s="53">
        <v>45908.55972222222</v>
      </c>
      <c r="Y85" s="40" t="s">
        <v>710</v>
      </c>
      <c r="Z85" s="40"/>
      <c r="AA85" s="40"/>
      <c r="AB85" t="str">
        <f>IF(LEFT(Jira__325[[#This Row],[Resumen]],3)="POS","POS",IF(LEFT(Jira__325[[#This Row],[Resumen]],3)="BOT","BOT",""))</f>
        <v>BOT</v>
      </c>
      <c r="AC85" s="9" t="s">
        <v>159</v>
      </c>
      <c r="AE85" s="22" t="str" cm="1">
        <f t="array" ref="AE85">_xlfn.IFS(OR(COUNTIF(P85:V85,Categorías!#REF!)&gt;0, COUNTIF(P85:V85,Categorías!#REF!)&gt;0), "Sprint 21",OR(COUNTIF(P85:V85,Categorías!#REF!)&gt;0, COUNTIF(P85:V85,Categorías!#REF!)&gt;0, COUNTIF(P85:V85,Categorías!#REF!)&gt;0), "Sprint 20",OR(COUNTIF(P85:V85,Categorías!#REF!)&gt;0, COUNTIF(P85:V85,Categorías!#REF!)&gt;0, COUNTIF(P85:V85,Categorías!#REF!)&gt;0), "Sprint 19",OR(COUNTIF(P85:V85,Categorías!#REF!)&gt;0, COUNTIF(P85:V85,Categorías!#REF!)&gt;0, COUNTIF(P85:V85,Categorías!#REF!)&gt;0), "Sprint 18",OR(COUNTIF(P85:V85,Categorías!#REF!)&gt;0, COUNTIF(P85:V85,Categorías!#REF!)&gt;0, COUNTIF(P85:V85,Categorías!#REF!)&gt;0, COUNTIF(P85:V85,Categorías!#REF!)&gt;0), "Sprint 17",OR(COUNTIF(P85:V85,Categorías!#REF!)&gt;0, COUNTIF(P85:V85,Categorías!#REF!)&gt;0, COUNTIF(P85:V85,Categorías!#REF!)&gt;0, COUNTIF(P85:V85,Categorías!#REF!)&gt;0), "Sprint 16", OR(COUNTIF(P85:V85,Categorías!#REF!)&gt;0, COUNTIF(P85:V85,Categorías!#REF!)&gt;0, COUNTIF(P85:V85,Categorías!#REF!)&gt;0, COUNTIF(P85:V85,Categorías!#REF!)&gt;0), "Sprint 16",TRUE, "")</f>
        <v/>
      </c>
      <c r="AF8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85" t="str" cm="1">
        <f t="array" ref="AG8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85" s="22" t="str" cm="1">
        <f t="array" ref="AH85">_xlfn.IFS(COUNTIF(P85:V85, Categorías!$A$2)&gt;0, "Funcional", COUNTIF(P85:V85, Categorías!$A$3)&gt;0, "Configuración", COUNTIF(P85:V85, Categorías!$A$4)&gt;0, "Look&amp;Feel", COUNTIF(P85:V85, Categorías!$A$5)&gt;0, "Integración", COUNTIF(P85:V85, Categorías!$A$6)&gt;0, "Contenido/Datos", COUNTIF(P85:V85, Categorías!$A$7)&gt;0, "Eventos_Cosmos", COUNTIF(P85:V85, Categorías!$A$8)&gt;0, "Eventos_iOT", COUNTIF(P85:V85, Categorías!$A$9)&gt;0, "Eventos_Fabric", TRUE, "No encontrado")</f>
        <v>Funcional</v>
      </c>
    </row>
    <row r="86" spans="1:34" ht="29.25">
      <c r="A86" s="40" t="s">
        <v>128</v>
      </c>
      <c r="B86" s="40" t="s">
        <v>824</v>
      </c>
      <c r="C86" s="40">
        <v>92954</v>
      </c>
      <c r="D86" s="40" t="s">
        <v>825</v>
      </c>
      <c r="E86" s="40">
        <v>87100</v>
      </c>
      <c r="F86" s="40" t="s">
        <v>1039</v>
      </c>
      <c r="G86" s="40" t="s">
        <v>1040</v>
      </c>
      <c r="H86" s="40" t="s">
        <v>37</v>
      </c>
      <c r="I86" s="40" t="s">
        <v>27</v>
      </c>
      <c r="J86" s="40" t="s">
        <v>1041</v>
      </c>
      <c r="K86" s="40"/>
      <c r="L86" s="40"/>
      <c r="M86" s="40"/>
      <c r="N86" s="40"/>
      <c r="O86" s="40"/>
      <c r="P86" s="40" t="s">
        <v>139</v>
      </c>
      <c r="Q86" s="40" t="s">
        <v>804</v>
      </c>
      <c r="R86" s="40"/>
      <c r="S86" s="40"/>
      <c r="T86" s="40"/>
      <c r="U86" s="40"/>
      <c r="V86" s="40"/>
      <c r="W86" s="40" t="s">
        <v>217</v>
      </c>
      <c r="X86" s="53">
        <v>45905.272916666669</v>
      </c>
      <c r="Y86" s="40"/>
      <c r="Z86" s="40"/>
      <c r="AA86" s="40"/>
      <c r="AB86" t="str">
        <f>IF(LEFT(Jira__325[[#This Row],[Resumen]],3)="POS","POS",IF(LEFT(Jira__325[[#This Row],[Resumen]],3)="BOT","BOT",""))</f>
        <v>POS</v>
      </c>
      <c r="AC86" s="9" t="s">
        <v>159</v>
      </c>
      <c r="AE86" s="22" t="str" cm="1">
        <f t="array" ref="AE86">_xlfn.IFS(OR(COUNTIF(P86:V86,Categorías!#REF!)&gt;0, COUNTIF(P86:V86,Categorías!#REF!)&gt;0), "Sprint 21",OR(COUNTIF(P86:V86,Categorías!#REF!)&gt;0, COUNTIF(P86:V86,Categorías!#REF!)&gt;0, COUNTIF(P86:V86,Categorías!#REF!)&gt;0), "Sprint 20",OR(COUNTIF(P86:V86,Categorías!#REF!)&gt;0, COUNTIF(P86:V86,Categorías!#REF!)&gt;0, COUNTIF(P86:V86,Categorías!#REF!)&gt;0), "Sprint 19",OR(COUNTIF(P86:V86,Categorías!#REF!)&gt;0, COUNTIF(P86:V86,Categorías!#REF!)&gt;0, COUNTIF(P86:V86,Categorías!#REF!)&gt;0), "Sprint 18",OR(COUNTIF(P86:V86,Categorías!#REF!)&gt;0, COUNTIF(P86:V86,Categorías!#REF!)&gt;0, COUNTIF(P86:V86,Categorías!#REF!)&gt;0, COUNTIF(P86:V86,Categorías!#REF!)&gt;0), "Sprint 17",OR(COUNTIF(P86:V86,Categorías!#REF!)&gt;0, COUNTIF(P86:V86,Categorías!#REF!)&gt;0, COUNTIF(P86:V86,Categorías!#REF!)&gt;0, COUNTIF(P86:V86,Categorías!#REF!)&gt;0), "Sprint 16", OR(COUNTIF(P86:V86,Categorías!#REF!)&gt;0, COUNTIF(P86:V86,Categorías!#REF!)&gt;0, COUNTIF(P86:V86,Categorías!#REF!)&gt;0, COUNTIF(P86:V86,Categorías!#REF!)&gt;0), "Sprint 16",TRUE, "")</f>
        <v/>
      </c>
      <c r="AF8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86" t="str" cm="1">
        <f t="array" ref="AG8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86" s="22" t="str" cm="1">
        <f t="array" ref="AH86">_xlfn.IFS(COUNTIF(P86:V86, Categorías!$A$2)&gt;0, "Funcional", COUNTIF(P86:V86, Categorías!$A$3)&gt;0, "Configuración", COUNTIF(P86:V86, Categorías!$A$4)&gt;0, "Look&amp;Feel", COUNTIF(P86:V86, Categorías!$A$5)&gt;0, "Integración", COUNTIF(P86:V86, Categorías!$A$6)&gt;0, "Contenido/Datos", COUNTIF(P86:V86, Categorías!$A$7)&gt;0, "Eventos_Cosmos", COUNTIF(P86:V86, Categorías!$A$8)&gt;0, "Eventos_iOT", COUNTIF(P86:V86, Categorías!$A$9)&gt;0, "Eventos_Fabric", TRUE, "No encontrado")</f>
        <v>Funcional</v>
      </c>
    </row>
    <row r="87" spans="1:34" ht="29.25">
      <c r="A87" s="40" t="s">
        <v>128</v>
      </c>
      <c r="B87" s="40" t="s">
        <v>826</v>
      </c>
      <c r="C87" s="40">
        <v>92831</v>
      </c>
      <c r="D87" s="40" t="s">
        <v>1053</v>
      </c>
      <c r="E87" s="40">
        <v>87100</v>
      </c>
      <c r="F87" s="40" t="s">
        <v>1039</v>
      </c>
      <c r="G87" s="40" t="s">
        <v>1040</v>
      </c>
      <c r="H87" s="40" t="s">
        <v>37</v>
      </c>
      <c r="I87" s="40" t="s">
        <v>27</v>
      </c>
      <c r="J87" s="40" t="s">
        <v>1041</v>
      </c>
      <c r="K87" s="40"/>
      <c r="L87" s="40"/>
      <c r="M87" s="40"/>
      <c r="N87" s="40"/>
      <c r="O87" s="40"/>
      <c r="P87" s="40" t="s">
        <v>139</v>
      </c>
      <c r="Q87" s="40" t="s">
        <v>804</v>
      </c>
      <c r="R87" s="40"/>
      <c r="S87" s="40"/>
      <c r="T87" s="40"/>
      <c r="U87" s="40"/>
      <c r="V87" s="40"/>
      <c r="W87" s="40" t="s">
        <v>217</v>
      </c>
      <c r="X87" s="53">
        <v>45904.65</v>
      </c>
      <c r="Y87" s="40"/>
      <c r="Z87" s="40"/>
      <c r="AA87" s="40"/>
      <c r="AB87" t="str">
        <f>IF(LEFT(Jira__325[[#This Row],[Resumen]],3)="POS","POS",IF(LEFT(Jira__325[[#This Row],[Resumen]],3)="BOT","BOT",""))</f>
        <v>BOT</v>
      </c>
      <c r="AC87" s="9" t="s">
        <v>159</v>
      </c>
      <c r="AE87" s="22" t="str" cm="1">
        <f t="array" ref="AE87">_xlfn.IFS(OR(COUNTIF(P87:V87,Categorías!#REF!)&gt;0, COUNTIF(P87:V87,Categorías!#REF!)&gt;0), "Sprint 21",OR(COUNTIF(P87:V87,Categorías!#REF!)&gt;0, COUNTIF(P87:V87,Categorías!#REF!)&gt;0, COUNTIF(P87:V87,Categorías!#REF!)&gt;0), "Sprint 20",OR(COUNTIF(P87:V87,Categorías!#REF!)&gt;0, COUNTIF(P87:V87,Categorías!#REF!)&gt;0, COUNTIF(P87:V87,Categorías!#REF!)&gt;0), "Sprint 19",OR(COUNTIF(P87:V87,Categorías!#REF!)&gt;0, COUNTIF(P87:V87,Categorías!#REF!)&gt;0, COUNTIF(P87:V87,Categorías!#REF!)&gt;0), "Sprint 18",OR(COUNTIF(P87:V87,Categorías!#REF!)&gt;0, COUNTIF(P87:V87,Categorías!#REF!)&gt;0, COUNTIF(P87:V87,Categorías!#REF!)&gt;0, COUNTIF(P87:V87,Categorías!#REF!)&gt;0), "Sprint 17",OR(COUNTIF(P87:V87,Categorías!#REF!)&gt;0, COUNTIF(P87:V87,Categorías!#REF!)&gt;0, COUNTIF(P87:V87,Categorías!#REF!)&gt;0, COUNTIF(P87:V87,Categorías!#REF!)&gt;0), "Sprint 16", OR(COUNTIF(P87:V87,Categorías!#REF!)&gt;0, COUNTIF(P87:V87,Categorías!#REF!)&gt;0, COUNTIF(P87:V87,Categorías!#REF!)&gt;0, COUNTIF(P87:V87,Categorías!#REF!)&gt;0), "Sprint 16",TRUE, "")</f>
        <v/>
      </c>
      <c r="AF8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87" t="str" cm="1">
        <f t="array" ref="AG8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87" s="22" t="str" cm="1">
        <f t="array" ref="AH87">_xlfn.IFS(COUNTIF(P87:V87, Categorías!$A$2)&gt;0, "Funcional", COUNTIF(P87:V87, Categorías!$A$3)&gt;0, "Configuración", COUNTIF(P87:V87, Categorías!$A$4)&gt;0, "Look&amp;Feel", COUNTIF(P87:V87, Categorías!$A$5)&gt;0, "Integración", COUNTIF(P87:V87, Categorías!$A$6)&gt;0, "Contenido/Datos", COUNTIF(P87:V87, Categorías!$A$7)&gt;0, "Eventos_Cosmos", COUNTIF(P87:V87, Categorías!$A$8)&gt;0, "Eventos_iOT", COUNTIF(P87:V87, Categorías!$A$9)&gt;0, "Eventos_Fabric", TRUE, "No encontrado")</f>
        <v>Funcional</v>
      </c>
    </row>
    <row r="88" spans="1:34" ht="29.25">
      <c r="A88" s="40" t="s">
        <v>128</v>
      </c>
      <c r="B88" s="40" t="s">
        <v>828</v>
      </c>
      <c r="C88" s="40">
        <v>92821</v>
      </c>
      <c r="D88" s="40" t="s">
        <v>829</v>
      </c>
      <c r="E88" s="40">
        <v>87100</v>
      </c>
      <c r="F88" s="40" t="s">
        <v>1039</v>
      </c>
      <c r="G88" s="40" t="s">
        <v>1040</v>
      </c>
      <c r="H88" s="40" t="s">
        <v>36</v>
      </c>
      <c r="I88" s="40" t="s">
        <v>27</v>
      </c>
      <c r="J88" s="40" t="s">
        <v>637</v>
      </c>
      <c r="K88" s="40"/>
      <c r="L88" s="40"/>
      <c r="M88" s="40"/>
      <c r="N88" s="40"/>
      <c r="O88" s="40"/>
      <c r="P88" s="40" t="s">
        <v>132</v>
      </c>
      <c r="Q88" s="40" t="s">
        <v>804</v>
      </c>
      <c r="R88" s="40" t="s">
        <v>204</v>
      </c>
      <c r="S88" s="40" t="s">
        <v>154</v>
      </c>
      <c r="T88" s="40"/>
      <c r="U88" s="40"/>
      <c r="V88" s="40"/>
      <c r="W88" s="40" t="s">
        <v>217</v>
      </c>
      <c r="X88" s="53">
        <v>45904.629166666666</v>
      </c>
      <c r="Y88" s="40"/>
      <c r="Z88" s="40"/>
      <c r="AA88" s="40"/>
      <c r="AB88" t="str">
        <f>IF(LEFT(Jira__325[[#This Row],[Resumen]],3)="POS","POS",IF(LEFT(Jira__325[[#This Row],[Resumen]],3)="BOT","BOT",""))</f>
        <v>BOT</v>
      </c>
      <c r="AC88" s="9" t="s">
        <v>159</v>
      </c>
      <c r="AE88" s="22" t="str" cm="1">
        <f t="array" ref="AE88">_xlfn.IFS(OR(COUNTIF(P88:V88,Categorías!#REF!)&gt;0, COUNTIF(P88:V88,Categorías!#REF!)&gt;0), "Sprint 21",OR(COUNTIF(P88:V88,Categorías!#REF!)&gt;0, COUNTIF(P88:V88,Categorías!#REF!)&gt;0, COUNTIF(P88:V88,Categorías!#REF!)&gt;0), "Sprint 20",OR(COUNTIF(P88:V88,Categorías!#REF!)&gt;0, COUNTIF(P88:V88,Categorías!#REF!)&gt;0, COUNTIF(P88:V88,Categorías!#REF!)&gt;0), "Sprint 19",OR(COUNTIF(P88:V88,Categorías!#REF!)&gt;0, COUNTIF(P88:V88,Categorías!#REF!)&gt;0, COUNTIF(P88:V88,Categorías!#REF!)&gt;0), "Sprint 18",OR(COUNTIF(P88:V88,Categorías!#REF!)&gt;0, COUNTIF(P88:V88,Categorías!#REF!)&gt;0, COUNTIF(P88:V88,Categorías!#REF!)&gt;0, COUNTIF(P88:V88,Categorías!#REF!)&gt;0), "Sprint 17",OR(COUNTIF(P88:V88,Categorías!#REF!)&gt;0, COUNTIF(P88:V88,Categorías!#REF!)&gt;0, COUNTIF(P88:V88,Categorías!#REF!)&gt;0, COUNTIF(P88:V88,Categorías!#REF!)&gt;0), "Sprint 16", OR(COUNTIF(P88:V88,Categorías!#REF!)&gt;0, COUNTIF(P88:V88,Categorías!#REF!)&gt;0, COUNTIF(P88:V88,Categorías!#REF!)&gt;0, COUNTIF(P88:V88,Categorías!#REF!)&gt;0), "Sprint 16",TRUE, "")</f>
        <v/>
      </c>
      <c r="AF8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88" t="str" cm="1">
        <f t="array" ref="AG8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88" s="22" t="str" cm="1">
        <f t="array" ref="AH88">_xlfn.IFS(COUNTIF(P88:V88, Categorías!$A$2)&gt;0, "Funcional", COUNTIF(P88:V88, Categorías!$A$3)&gt;0, "Configuración", COUNTIF(P88:V88, Categorías!$A$4)&gt;0, "Look&amp;Feel", COUNTIF(P88:V88, Categorías!$A$5)&gt;0, "Integración", COUNTIF(P88:V88, Categorías!$A$6)&gt;0, "Contenido/Datos", COUNTIF(P88:V88, Categorías!$A$7)&gt;0, "Eventos_Cosmos", COUNTIF(P88:V88, Categorías!$A$8)&gt;0, "Eventos_iOT", COUNTIF(P88:V88, Categorías!$A$9)&gt;0, "Eventos_Fabric", TRUE, "No encontrado")</f>
        <v>Look&amp;Feel</v>
      </c>
    </row>
    <row r="89" spans="1:34" ht="29.25">
      <c r="A89" s="40" t="s">
        <v>128</v>
      </c>
      <c r="B89" s="40" t="s">
        <v>830</v>
      </c>
      <c r="C89" s="40">
        <v>92641</v>
      </c>
      <c r="D89" s="40" t="s">
        <v>831</v>
      </c>
      <c r="E89" s="40">
        <v>87100</v>
      </c>
      <c r="F89" s="40" t="s">
        <v>1039</v>
      </c>
      <c r="G89" s="40" t="s">
        <v>1040</v>
      </c>
      <c r="H89" s="40" t="s">
        <v>36</v>
      </c>
      <c r="I89" s="40" t="s">
        <v>23</v>
      </c>
      <c r="J89" s="40" t="s">
        <v>637</v>
      </c>
      <c r="K89" s="40"/>
      <c r="L89" s="40"/>
      <c r="M89" s="40"/>
      <c r="N89" s="40"/>
      <c r="O89" s="40"/>
      <c r="P89" s="40" t="s">
        <v>490</v>
      </c>
      <c r="Q89" s="40" t="s">
        <v>832</v>
      </c>
      <c r="R89" s="40" t="s">
        <v>204</v>
      </c>
      <c r="S89" s="40" t="s">
        <v>154</v>
      </c>
      <c r="T89" s="40"/>
      <c r="U89" s="40"/>
      <c r="V89" s="40"/>
      <c r="W89" s="40" t="s">
        <v>261</v>
      </c>
      <c r="X89" s="53">
        <v>45904.413194444445</v>
      </c>
      <c r="Y89" s="40" t="s">
        <v>732</v>
      </c>
      <c r="Z89" s="40"/>
      <c r="AA89" s="40"/>
      <c r="AB89" t="str">
        <f>IF(LEFT(Jira__325[[#This Row],[Resumen]],3)="POS","POS",IF(LEFT(Jira__325[[#This Row],[Resumen]],3)="BOT","BOT",""))</f>
        <v>BOT</v>
      </c>
      <c r="AC89" s="9" t="s">
        <v>159</v>
      </c>
      <c r="AD89" s="9"/>
      <c r="AE89" s="22" t="str" cm="1">
        <f t="array" ref="AE89">_xlfn.IFS(OR(COUNTIF(P89:V89,Categorías!#REF!)&gt;0, COUNTIF(P89:V89,Categorías!#REF!)&gt;0), "Sprint 21",OR(COUNTIF(P89:V89,Categorías!#REF!)&gt;0, COUNTIF(P89:V89,Categorías!#REF!)&gt;0, COUNTIF(P89:V89,Categorías!#REF!)&gt;0), "Sprint 20",OR(COUNTIF(P89:V89,Categorías!#REF!)&gt;0, COUNTIF(P89:V89,Categorías!#REF!)&gt;0, COUNTIF(P89:V89,Categorías!#REF!)&gt;0), "Sprint 19",OR(COUNTIF(P89:V89,Categorías!#REF!)&gt;0, COUNTIF(P89:V89,Categorías!#REF!)&gt;0, COUNTIF(P89:V89,Categorías!#REF!)&gt;0), "Sprint 18",OR(COUNTIF(P89:V89,Categorías!#REF!)&gt;0, COUNTIF(P89:V89,Categorías!#REF!)&gt;0, COUNTIF(P89:V89,Categorías!#REF!)&gt;0, COUNTIF(P89:V89,Categorías!#REF!)&gt;0), "Sprint 17",OR(COUNTIF(P89:V89,Categorías!#REF!)&gt;0, COUNTIF(P89:V89,Categorías!#REF!)&gt;0, COUNTIF(P89:V89,Categorías!#REF!)&gt;0, COUNTIF(P89:V89,Categorías!#REF!)&gt;0), "Sprint 16", OR(COUNTIF(P89:V89,Categorías!#REF!)&gt;0, COUNTIF(P89:V89,Categorías!#REF!)&gt;0, COUNTIF(P89:V89,Categorías!#REF!)&gt;0, COUNTIF(P89:V89,Categorías!#REF!)&gt;0), "Sprint 16",TRUE, "")</f>
        <v/>
      </c>
      <c r="AF89" s="22" t="s">
        <v>732</v>
      </c>
      <c r="AG89" t="s">
        <v>1052</v>
      </c>
      <c r="AH89" s="22" t="str" cm="1">
        <f t="array" ref="AH89">_xlfn.IFS(COUNTIF(P89:V89, Categorías!$A$2)&gt;0, "Funcional", COUNTIF(P89:V89, Categorías!$A$3)&gt;0, "Configuración", COUNTIF(P89:V89, Categorías!$A$4)&gt;0, "Look&amp;Feel", COUNTIF(P89:V89, Categorías!$A$5)&gt;0, "Integración", COUNTIF(P89:V89, Categorías!$A$6)&gt;0, "Contenido/Datos", COUNTIF(P89:V89, Categorías!$A$7)&gt;0, "Eventos_Cosmos", COUNTIF(P89:V89, Categorías!$A$8)&gt;0, "Eventos_iOT", COUNTIF(P89:V89, Categorías!$A$9)&gt;0, "Eventos_Fabric", TRUE, "No encontrado")</f>
        <v>Contenido/Datos</v>
      </c>
    </row>
    <row r="90" spans="1:34" ht="29.25">
      <c r="A90" s="40" t="s">
        <v>128</v>
      </c>
      <c r="B90" s="40" t="s">
        <v>833</v>
      </c>
      <c r="C90" s="40">
        <v>92636</v>
      </c>
      <c r="D90" s="40" t="s">
        <v>834</v>
      </c>
      <c r="E90" s="40">
        <v>87100</v>
      </c>
      <c r="F90" s="40" t="s">
        <v>1039</v>
      </c>
      <c r="G90" s="40" t="s">
        <v>1040</v>
      </c>
      <c r="H90" s="40" t="s">
        <v>41</v>
      </c>
      <c r="I90" s="40" t="s">
        <v>26</v>
      </c>
      <c r="J90" s="40" t="s">
        <v>802</v>
      </c>
      <c r="K90" s="40" t="s">
        <v>753</v>
      </c>
      <c r="L90" s="40" t="s">
        <v>1041</v>
      </c>
      <c r="M90" s="40"/>
      <c r="N90" s="40"/>
      <c r="O90" s="40"/>
      <c r="P90" s="40" t="s">
        <v>139</v>
      </c>
      <c r="Q90" s="40" t="s">
        <v>835</v>
      </c>
      <c r="R90" s="40" t="s">
        <v>832</v>
      </c>
      <c r="S90" s="40" t="s">
        <v>204</v>
      </c>
      <c r="T90" s="40" t="s">
        <v>154</v>
      </c>
      <c r="U90" s="40"/>
      <c r="V90" s="40"/>
      <c r="W90" s="40" t="s">
        <v>261</v>
      </c>
      <c r="X90" s="53">
        <v>45904.402083333334</v>
      </c>
      <c r="Y90" s="40" t="s">
        <v>760</v>
      </c>
      <c r="Z90" s="40" t="s">
        <v>710</v>
      </c>
      <c r="AA90" s="40"/>
      <c r="AB90" t="str">
        <f>IF(LEFT(Jira__325[[#This Row],[Resumen]],3)="POS","POS",IF(LEFT(Jira__325[[#This Row],[Resumen]],3)="BOT","BOT",""))</f>
        <v>BOT</v>
      </c>
      <c r="AC90" s="9" t="s">
        <v>159</v>
      </c>
      <c r="AE90" s="22" t="str" cm="1">
        <f t="array" ref="AE90">_xlfn.IFS(OR(COUNTIF(P90:V90,Categorías!#REF!)&gt;0, COUNTIF(P90:V90,Categorías!#REF!)&gt;0), "Sprint 21",OR(COUNTIF(P90:V90,Categorías!#REF!)&gt;0, COUNTIF(P90:V90,Categorías!#REF!)&gt;0, COUNTIF(P90:V90,Categorías!#REF!)&gt;0), "Sprint 20",OR(COUNTIF(P90:V90,Categorías!#REF!)&gt;0, COUNTIF(P90:V90,Categorías!#REF!)&gt;0, COUNTIF(P90:V90,Categorías!#REF!)&gt;0), "Sprint 19",OR(COUNTIF(P90:V90,Categorías!#REF!)&gt;0, COUNTIF(P90:V90,Categorías!#REF!)&gt;0, COUNTIF(P90:V90,Categorías!#REF!)&gt;0), "Sprint 18",OR(COUNTIF(P90:V90,Categorías!#REF!)&gt;0, COUNTIF(P90:V90,Categorías!#REF!)&gt;0, COUNTIF(P90:V90,Categorías!#REF!)&gt;0, COUNTIF(P90:V90,Categorías!#REF!)&gt;0), "Sprint 17",OR(COUNTIF(P90:V90,Categorías!#REF!)&gt;0, COUNTIF(P90:V90,Categorías!#REF!)&gt;0, COUNTIF(P90:V90,Categorías!#REF!)&gt;0, COUNTIF(P90:V90,Categorías!#REF!)&gt;0), "Sprint 16", OR(COUNTIF(P90:V90,Categorías!#REF!)&gt;0, COUNTIF(P90:V90,Categorías!#REF!)&gt;0, COUNTIF(P90:V90,Categorías!#REF!)&gt;0, COUNTIF(P90:V90,Categorías!#REF!)&gt;0), "Sprint 16",TRUE, "")</f>
        <v/>
      </c>
      <c r="AF9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90" t="str" cm="1">
        <f t="array" ref="AG9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90" s="22" t="str" cm="1">
        <f t="array" ref="AH90">_xlfn.IFS(COUNTIF(P90:V90, Categorías!$A$2)&gt;0, "Funcional", COUNTIF(P90:V90, Categorías!$A$3)&gt;0, "Configuración", COUNTIF(P90:V90, Categorías!$A$4)&gt;0, "Look&amp;Feel", COUNTIF(P90:V90, Categorías!$A$5)&gt;0, "Integración", COUNTIF(P90:V90, Categorías!$A$6)&gt;0, "Contenido/Datos", COUNTIF(P90:V90, Categorías!$A$7)&gt;0, "Eventos_Cosmos", COUNTIF(P90:V90, Categorías!$A$8)&gt;0, "Eventos_iOT", COUNTIF(P90:V90, Categorías!$A$9)&gt;0, "Eventos_Fabric", TRUE, "No encontrado")</f>
        <v>Funcional</v>
      </c>
    </row>
    <row r="91" spans="1:34" ht="29.25">
      <c r="A91" s="40" t="s">
        <v>128</v>
      </c>
      <c r="B91" s="40" t="s">
        <v>836</v>
      </c>
      <c r="C91" s="40">
        <v>92633</v>
      </c>
      <c r="D91" s="40" t="s">
        <v>837</v>
      </c>
      <c r="E91" s="40">
        <v>87100</v>
      </c>
      <c r="F91" s="40" t="s">
        <v>1039</v>
      </c>
      <c r="G91" s="40" t="s">
        <v>1040</v>
      </c>
      <c r="H91" s="40" t="s">
        <v>41</v>
      </c>
      <c r="I91" s="40" t="s">
        <v>26</v>
      </c>
      <c r="J91" s="40" t="s">
        <v>802</v>
      </c>
      <c r="K91" s="40" t="s">
        <v>753</v>
      </c>
      <c r="L91" s="40" t="s">
        <v>1041</v>
      </c>
      <c r="M91" s="40"/>
      <c r="N91" s="40"/>
      <c r="O91" s="40"/>
      <c r="P91" s="40" t="s">
        <v>490</v>
      </c>
      <c r="Q91" s="40" t="s">
        <v>835</v>
      </c>
      <c r="R91" s="40" t="s">
        <v>832</v>
      </c>
      <c r="S91" s="40" t="s">
        <v>204</v>
      </c>
      <c r="T91" s="40" t="s">
        <v>154</v>
      </c>
      <c r="U91" s="40"/>
      <c r="V91" s="40"/>
      <c r="W91" s="40" t="s">
        <v>261</v>
      </c>
      <c r="X91" s="53">
        <v>45904.398611111108</v>
      </c>
      <c r="Y91" s="40" t="s">
        <v>760</v>
      </c>
      <c r="Z91" s="40"/>
      <c r="AA91" s="40"/>
      <c r="AB91" t="str">
        <f>IF(LEFT(Jira__325[[#This Row],[Resumen]],3)="POS","POS",IF(LEFT(Jira__325[[#This Row],[Resumen]],3)="BOT","BOT",""))</f>
        <v>BOT</v>
      </c>
      <c r="AC91" s="9" t="s">
        <v>159</v>
      </c>
      <c r="AE91" s="22" t="str" cm="1">
        <f t="array" ref="AE91">_xlfn.IFS(OR(COUNTIF(P91:V91,Categorías!#REF!)&gt;0, COUNTIF(P91:V91,Categorías!#REF!)&gt;0), "Sprint 21",OR(COUNTIF(P91:V91,Categorías!#REF!)&gt;0, COUNTIF(P91:V91,Categorías!#REF!)&gt;0, COUNTIF(P91:V91,Categorías!#REF!)&gt;0), "Sprint 20",OR(COUNTIF(P91:V91,Categorías!#REF!)&gt;0, COUNTIF(P91:V91,Categorías!#REF!)&gt;0, COUNTIF(P91:V91,Categorías!#REF!)&gt;0), "Sprint 19",OR(COUNTIF(P91:V91,Categorías!#REF!)&gt;0, COUNTIF(P91:V91,Categorías!#REF!)&gt;0, COUNTIF(P91:V91,Categorías!#REF!)&gt;0), "Sprint 18",OR(COUNTIF(P91:V91,Categorías!#REF!)&gt;0, COUNTIF(P91:V91,Categorías!#REF!)&gt;0, COUNTIF(P91:V91,Categorías!#REF!)&gt;0, COUNTIF(P91:V91,Categorías!#REF!)&gt;0), "Sprint 17",OR(COUNTIF(P91:V91,Categorías!#REF!)&gt;0, COUNTIF(P91:V91,Categorías!#REF!)&gt;0, COUNTIF(P91:V91,Categorías!#REF!)&gt;0, COUNTIF(P91:V91,Categorías!#REF!)&gt;0), "Sprint 16", OR(COUNTIF(P91:V91,Categorías!#REF!)&gt;0, COUNTIF(P91:V91,Categorías!#REF!)&gt;0, COUNTIF(P91:V91,Categorías!#REF!)&gt;0, COUNTIF(P91:V91,Categorías!#REF!)&gt;0), "Sprint 16",TRUE, "")</f>
        <v/>
      </c>
      <c r="AF9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91" t="str" cm="1">
        <f t="array" ref="AG9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91" s="22" t="str" cm="1">
        <f t="array" ref="AH91">_xlfn.IFS(COUNTIF(P91:V91, Categorías!$A$2)&gt;0, "Funcional", COUNTIF(P91:V91, Categorías!$A$3)&gt;0, "Configuración", COUNTIF(P91:V91, Categorías!$A$4)&gt;0, "Look&amp;Feel", COUNTIF(P91:V91, Categorías!$A$5)&gt;0, "Integración", COUNTIF(P91:V91, Categorías!$A$6)&gt;0, "Contenido/Datos", COUNTIF(P91:V91, Categorías!$A$7)&gt;0, "Eventos_Cosmos", COUNTIF(P91:V91, Categorías!$A$8)&gt;0, "Eventos_iOT", COUNTIF(P91:V91, Categorías!$A$9)&gt;0, "Eventos_Fabric", TRUE, "No encontrado")</f>
        <v>Contenido/Datos</v>
      </c>
    </row>
    <row r="92" spans="1:34" ht="29.25">
      <c r="A92" s="40" t="s">
        <v>128</v>
      </c>
      <c r="B92" s="40" t="s">
        <v>838</v>
      </c>
      <c r="C92" s="40">
        <v>92630</v>
      </c>
      <c r="D92" s="40" t="s">
        <v>839</v>
      </c>
      <c r="E92" s="40">
        <v>87100</v>
      </c>
      <c r="F92" s="40" t="s">
        <v>1039</v>
      </c>
      <c r="G92" s="40" t="s">
        <v>1040</v>
      </c>
      <c r="H92" s="40" t="s">
        <v>37</v>
      </c>
      <c r="I92" s="40" t="s">
        <v>27</v>
      </c>
      <c r="J92" s="40" t="s">
        <v>1041</v>
      </c>
      <c r="K92" s="40"/>
      <c r="L92" s="40"/>
      <c r="M92" s="40"/>
      <c r="N92" s="40"/>
      <c r="O92" s="40"/>
      <c r="P92" s="40" t="s">
        <v>139</v>
      </c>
      <c r="Q92" s="40" t="s">
        <v>804</v>
      </c>
      <c r="R92" s="40"/>
      <c r="S92" s="40"/>
      <c r="T92" s="40"/>
      <c r="U92" s="40"/>
      <c r="V92" s="40"/>
      <c r="W92" s="40" t="s">
        <v>217</v>
      </c>
      <c r="X92" s="53">
        <v>45904.395833333336</v>
      </c>
      <c r="Y92" s="40"/>
      <c r="Z92" s="40"/>
      <c r="AA92" s="40"/>
      <c r="AB92" t="str">
        <f>IF(LEFT(Jira__325[[#This Row],[Resumen]],3)="POS","POS",IF(LEFT(Jira__325[[#This Row],[Resumen]],3)="BOT","BOT",""))</f>
        <v>BOT</v>
      </c>
      <c r="AC92" s="9" t="s">
        <v>159</v>
      </c>
      <c r="AE92" s="22" t="str" cm="1">
        <f t="array" ref="AE92">_xlfn.IFS(OR(COUNTIF(P92:V92,Categorías!#REF!)&gt;0, COUNTIF(P92:V92,Categorías!#REF!)&gt;0), "Sprint 21",OR(COUNTIF(P92:V92,Categorías!#REF!)&gt;0, COUNTIF(P92:V92,Categorías!#REF!)&gt;0, COUNTIF(P92:V92,Categorías!#REF!)&gt;0), "Sprint 20",OR(COUNTIF(P92:V92,Categorías!#REF!)&gt;0, COUNTIF(P92:V92,Categorías!#REF!)&gt;0, COUNTIF(P92:V92,Categorías!#REF!)&gt;0), "Sprint 19",OR(COUNTIF(P92:V92,Categorías!#REF!)&gt;0, COUNTIF(P92:V92,Categorías!#REF!)&gt;0, COUNTIF(P92:V92,Categorías!#REF!)&gt;0), "Sprint 18",OR(COUNTIF(P92:V92,Categorías!#REF!)&gt;0, COUNTIF(P92:V92,Categorías!#REF!)&gt;0, COUNTIF(P92:V92,Categorías!#REF!)&gt;0, COUNTIF(P92:V92,Categorías!#REF!)&gt;0), "Sprint 17",OR(COUNTIF(P92:V92,Categorías!#REF!)&gt;0, COUNTIF(P92:V92,Categorías!#REF!)&gt;0, COUNTIF(P92:V92,Categorías!#REF!)&gt;0, COUNTIF(P92:V92,Categorías!#REF!)&gt;0), "Sprint 16", OR(COUNTIF(P92:V92,Categorías!#REF!)&gt;0, COUNTIF(P92:V92,Categorías!#REF!)&gt;0, COUNTIF(P92:V92,Categorías!#REF!)&gt;0, COUNTIF(P92:V92,Categorías!#REF!)&gt;0), "Sprint 16",TRUE, "")</f>
        <v/>
      </c>
      <c r="AF9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92" t="str" cm="1">
        <f t="array" ref="AG9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92" s="22" t="str" cm="1">
        <f t="array" ref="AH92">_xlfn.IFS(COUNTIF(P92:V92, Categorías!$A$2)&gt;0, "Funcional", COUNTIF(P92:V92, Categorías!$A$3)&gt;0, "Configuración", COUNTIF(P92:V92, Categorías!$A$4)&gt;0, "Look&amp;Feel", COUNTIF(P92:V92, Categorías!$A$5)&gt;0, "Integración", COUNTIF(P92:V92, Categorías!$A$6)&gt;0, "Contenido/Datos", COUNTIF(P92:V92, Categorías!$A$7)&gt;0, "Eventos_Cosmos", COUNTIF(P92:V92, Categorías!$A$8)&gt;0, "Eventos_iOT", COUNTIF(P92:V92, Categorías!$A$9)&gt;0, "Eventos_Fabric", TRUE, "No encontrado")</f>
        <v>Funcional</v>
      </c>
    </row>
    <row r="93" spans="1:34" ht="29.25">
      <c r="A93" s="40" t="s">
        <v>128</v>
      </c>
      <c r="B93" s="40" t="s">
        <v>840</v>
      </c>
      <c r="C93" s="40">
        <v>92327</v>
      </c>
      <c r="D93" s="40" t="s">
        <v>841</v>
      </c>
      <c r="E93" s="40">
        <v>87100</v>
      </c>
      <c r="F93" s="40" t="s">
        <v>1039</v>
      </c>
      <c r="G93" s="40" t="s">
        <v>1040</v>
      </c>
      <c r="H93" s="40" t="s">
        <v>41</v>
      </c>
      <c r="I93" s="40" t="s">
        <v>26</v>
      </c>
      <c r="J93" s="40" t="s">
        <v>802</v>
      </c>
      <c r="K93" s="40" t="s">
        <v>753</v>
      </c>
      <c r="L93" s="40" t="s">
        <v>1041</v>
      </c>
      <c r="M93" s="40"/>
      <c r="N93" s="40"/>
      <c r="O93" s="40"/>
      <c r="P93" s="40" t="s">
        <v>490</v>
      </c>
      <c r="Q93" s="40" t="s">
        <v>835</v>
      </c>
      <c r="R93" s="40" t="s">
        <v>832</v>
      </c>
      <c r="S93" s="40"/>
      <c r="T93" s="40"/>
      <c r="U93" s="40"/>
      <c r="V93" s="40"/>
      <c r="W93" s="40" t="s">
        <v>261</v>
      </c>
      <c r="X93" s="53">
        <v>45903.552777777775</v>
      </c>
      <c r="Y93" s="40" t="s">
        <v>760</v>
      </c>
      <c r="Z93" s="40"/>
      <c r="AA93" s="40"/>
      <c r="AB93" t="str">
        <f>IF(LEFT(Jira__325[[#This Row],[Resumen]],3)="POS","POS",IF(LEFT(Jira__325[[#This Row],[Resumen]],3)="BOT","BOT",""))</f>
        <v>POS</v>
      </c>
      <c r="AC93" s="9" t="s">
        <v>142</v>
      </c>
      <c r="AE93" s="22" t="str" cm="1">
        <f t="array" ref="AE93">_xlfn.IFS(OR(COUNTIF(P93:V93,Categorías!#REF!)&gt;0, COUNTIF(P93:V93,Categorías!#REF!)&gt;0), "Sprint 21",OR(COUNTIF(P93:V93,Categorías!#REF!)&gt;0, COUNTIF(P93:V93,Categorías!#REF!)&gt;0, COUNTIF(P93:V93,Categorías!#REF!)&gt;0), "Sprint 20",OR(COUNTIF(P93:V93,Categorías!#REF!)&gt;0, COUNTIF(P93:V93,Categorías!#REF!)&gt;0, COUNTIF(P93:V93,Categorías!#REF!)&gt;0), "Sprint 19",OR(COUNTIF(P93:V93,Categorías!#REF!)&gt;0, COUNTIF(P93:V93,Categorías!#REF!)&gt;0, COUNTIF(P93:V93,Categorías!#REF!)&gt;0), "Sprint 18",OR(COUNTIF(P93:V93,Categorías!#REF!)&gt;0, COUNTIF(P93:V93,Categorías!#REF!)&gt;0, COUNTIF(P93:V93,Categorías!#REF!)&gt;0, COUNTIF(P93:V93,Categorías!#REF!)&gt;0), "Sprint 17",OR(COUNTIF(P93:V93,Categorías!#REF!)&gt;0, COUNTIF(P93:V93,Categorías!#REF!)&gt;0, COUNTIF(P93:V93,Categorías!#REF!)&gt;0, COUNTIF(P93:V93,Categorías!#REF!)&gt;0), "Sprint 16", OR(COUNTIF(P93:V93,Categorías!#REF!)&gt;0, COUNTIF(P93:V93,Categorías!#REF!)&gt;0, COUNTIF(P93:V93,Categorías!#REF!)&gt;0, COUNTIF(P93:V93,Categorías!#REF!)&gt;0), "Sprint 16",TRUE, "")</f>
        <v/>
      </c>
      <c r="AF9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93" t="str" cm="1">
        <f t="array" ref="AG9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93" s="22" t="str" cm="1">
        <f t="array" ref="AH93">_xlfn.IFS(COUNTIF(P93:V93, Categorías!$A$2)&gt;0, "Funcional", COUNTIF(P93:V93, Categorías!$A$3)&gt;0, "Configuración", COUNTIF(P93:V93, Categorías!$A$4)&gt;0, "Look&amp;Feel", COUNTIF(P93:V93, Categorías!$A$5)&gt;0, "Integración", COUNTIF(P93:V93, Categorías!$A$6)&gt;0, "Contenido/Datos", COUNTIF(P93:V93, Categorías!$A$7)&gt;0, "Eventos_Cosmos", COUNTIF(P93:V93, Categorías!$A$8)&gt;0, "Eventos_iOT", COUNTIF(P93:V93, Categorías!$A$9)&gt;0, "Eventos_Fabric", TRUE, "No encontrado")</f>
        <v>Contenido/Datos</v>
      </c>
    </row>
    <row r="94" spans="1:34" ht="29.25">
      <c r="A94" s="40" t="s">
        <v>128</v>
      </c>
      <c r="B94" s="40" t="s">
        <v>842</v>
      </c>
      <c r="C94" s="40">
        <v>92278</v>
      </c>
      <c r="D94" s="40" t="s">
        <v>843</v>
      </c>
      <c r="E94" s="40">
        <v>87100</v>
      </c>
      <c r="F94" s="40" t="s">
        <v>1039</v>
      </c>
      <c r="G94" s="40" t="s">
        <v>1040</v>
      </c>
      <c r="H94" s="40" t="s">
        <v>36</v>
      </c>
      <c r="I94" s="40" t="s">
        <v>26</v>
      </c>
      <c r="J94" s="40" t="s">
        <v>802</v>
      </c>
      <c r="K94" s="40" t="s">
        <v>753</v>
      </c>
      <c r="L94" s="40" t="s">
        <v>1041</v>
      </c>
      <c r="M94" s="40"/>
      <c r="N94" s="40"/>
      <c r="O94" s="40"/>
      <c r="P94" s="40" t="s">
        <v>490</v>
      </c>
      <c r="Q94" s="40" t="s">
        <v>835</v>
      </c>
      <c r="R94" s="40" t="s">
        <v>832</v>
      </c>
      <c r="S94" s="40"/>
      <c r="T94" s="40"/>
      <c r="U94" s="40"/>
      <c r="V94" s="40"/>
      <c r="W94" s="40" t="s">
        <v>261</v>
      </c>
      <c r="X94" s="53">
        <v>45903.515972222223</v>
      </c>
      <c r="Y94" s="40" t="s">
        <v>760</v>
      </c>
      <c r="Z94" s="40"/>
      <c r="AA94" s="40"/>
      <c r="AB94" t="str">
        <f>IF(LEFT(Jira__325[[#This Row],[Resumen]],3)="POS","POS",IF(LEFT(Jira__325[[#This Row],[Resumen]],3)="BOT","BOT",""))</f>
        <v>POS</v>
      </c>
      <c r="AC94" s="9" t="s">
        <v>159</v>
      </c>
      <c r="AE94" s="22" t="str" cm="1">
        <f t="array" ref="AE94">_xlfn.IFS(OR(COUNTIF(P94:V94,Categorías!#REF!)&gt;0, COUNTIF(P94:V94,Categorías!#REF!)&gt;0), "Sprint 21",OR(COUNTIF(P94:V94,Categorías!#REF!)&gt;0, COUNTIF(P94:V94,Categorías!#REF!)&gt;0, COUNTIF(P94:V94,Categorías!#REF!)&gt;0), "Sprint 20",OR(COUNTIF(P94:V94,Categorías!#REF!)&gt;0, COUNTIF(P94:V94,Categorías!#REF!)&gt;0, COUNTIF(P94:V94,Categorías!#REF!)&gt;0), "Sprint 19",OR(COUNTIF(P94:V94,Categorías!#REF!)&gt;0, COUNTIF(P94:V94,Categorías!#REF!)&gt;0, COUNTIF(P94:V94,Categorías!#REF!)&gt;0), "Sprint 18",OR(COUNTIF(P94:V94,Categorías!#REF!)&gt;0, COUNTIF(P94:V94,Categorías!#REF!)&gt;0, COUNTIF(P94:V94,Categorías!#REF!)&gt;0, COUNTIF(P94:V94,Categorías!#REF!)&gt;0), "Sprint 17",OR(COUNTIF(P94:V94,Categorías!#REF!)&gt;0, COUNTIF(P94:V94,Categorías!#REF!)&gt;0, COUNTIF(P94:V94,Categorías!#REF!)&gt;0, COUNTIF(P94:V94,Categorías!#REF!)&gt;0), "Sprint 16", OR(COUNTIF(P94:V94,Categorías!#REF!)&gt;0, COUNTIF(P94:V94,Categorías!#REF!)&gt;0, COUNTIF(P94:V94,Categorías!#REF!)&gt;0, COUNTIF(P94:V94,Categorías!#REF!)&gt;0), "Sprint 16",TRUE, "")</f>
        <v/>
      </c>
      <c r="AF9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94" t="str" cm="1">
        <f t="array" ref="AG9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94" s="22" t="str" cm="1">
        <f t="array" ref="AH94">_xlfn.IFS(COUNTIF(P94:V94, Categorías!$A$2)&gt;0, "Funcional", COUNTIF(P94:V94, Categorías!$A$3)&gt;0, "Configuración", COUNTIF(P94:V94, Categorías!$A$4)&gt;0, "Look&amp;Feel", COUNTIF(P94:V94, Categorías!$A$5)&gt;0, "Integración", COUNTIF(P94:V94, Categorías!$A$6)&gt;0, "Contenido/Datos", COUNTIF(P94:V94, Categorías!$A$7)&gt;0, "Eventos_Cosmos", COUNTIF(P94:V94, Categorías!$A$8)&gt;0, "Eventos_iOT", COUNTIF(P94:V94, Categorías!$A$9)&gt;0, "Eventos_Fabric", TRUE, "No encontrado")</f>
        <v>Contenido/Datos</v>
      </c>
    </row>
    <row r="95" spans="1:34" ht="29.25">
      <c r="A95" s="40" t="s">
        <v>128</v>
      </c>
      <c r="B95" s="40" t="s">
        <v>844</v>
      </c>
      <c r="C95" s="40">
        <v>92241</v>
      </c>
      <c r="D95" s="40" t="s">
        <v>845</v>
      </c>
      <c r="E95" s="40">
        <v>87100</v>
      </c>
      <c r="F95" s="40" t="s">
        <v>1039</v>
      </c>
      <c r="G95" s="40" t="s">
        <v>1040</v>
      </c>
      <c r="H95" s="40" t="s">
        <v>36</v>
      </c>
      <c r="I95" s="40" t="s">
        <v>27</v>
      </c>
      <c r="J95" s="40" t="s">
        <v>637</v>
      </c>
      <c r="K95" s="40"/>
      <c r="L95" s="40"/>
      <c r="M95" s="40"/>
      <c r="N95" s="40"/>
      <c r="O95" s="40"/>
      <c r="P95" s="40" t="s">
        <v>139</v>
      </c>
      <c r="Q95" s="40" t="s">
        <v>804</v>
      </c>
      <c r="R95" s="40"/>
      <c r="S95" s="40"/>
      <c r="T95" s="40"/>
      <c r="U95" s="40"/>
      <c r="V95" s="40"/>
      <c r="W95" s="40" t="s">
        <v>217</v>
      </c>
      <c r="X95" s="53">
        <v>45903.465277777781</v>
      </c>
      <c r="Y95" s="40"/>
      <c r="Z95" s="40"/>
      <c r="AA95" s="40"/>
      <c r="AB95" t="str">
        <f>IF(LEFT(Jira__325[[#This Row],[Resumen]],3)="POS","POS",IF(LEFT(Jira__325[[#This Row],[Resumen]],3)="BOT","BOT",""))</f>
        <v>POS</v>
      </c>
      <c r="AC95" s="9" t="s">
        <v>221</v>
      </c>
      <c r="AE95" s="22" t="str" cm="1">
        <f t="array" ref="AE95">_xlfn.IFS(OR(COUNTIF(P95:V95,Categorías!#REF!)&gt;0, COUNTIF(P95:V95,Categorías!#REF!)&gt;0), "Sprint 21",OR(COUNTIF(P95:V95,Categorías!#REF!)&gt;0, COUNTIF(P95:V95,Categorías!#REF!)&gt;0, COUNTIF(P95:V95,Categorías!#REF!)&gt;0), "Sprint 20",OR(COUNTIF(P95:V95,Categorías!#REF!)&gt;0, COUNTIF(P95:V95,Categorías!#REF!)&gt;0, COUNTIF(P95:V95,Categorías!#REF!)&gt;0), "Sprint 19",OR(COUNTIF(P95:V95,Categorías!#REF!)&gt;0, COUNTIF(P95:V95,Categorías!#REF!)&gt;0, COUNTIF(P95:V95,Categorías!#REF!)&gt;0), "Sprint 18",OR(COUNTIF(P95:V95,Categorías!#REF!)&gt;0, COUNTIF(P95:V95,Categorías!#REF!)&gt;0, COUNTIF(P95:V95,Categorías!#REF!)&gt;0, COUNTIF(P95:V95,Categorías!#REF!)&gt;0), "Sprint 17",OR(COUNTIF(P95:V95,Categorías!#REF!)&gt;0, COUNTIF(P95:V95,Categorías!#REF!)&gt;0, COUNTIF(P95:V95,Categorías!#REF!)&gt;0, COUNTIF(P95:V95,Categorías!#REF!)&gt;0), "Sprint 16", OR(COUNTIF(P95:V95,Categorías!#REF!)&gt;0, COUNTIF(P95:V95,Categorías!#REF!)&gt;0, COUNTIF(P95:V95,Categorías!#REF!)&gt;0, COUNTIF(P95:V95,Categorías!#REF!)&gt;0), "Sprint 16",TRUE, "")</f>
        <v/>
      </c>
      <c r="AF9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95" t="str" cm="1">
        <f t="array" ref="AG9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95" s="22" t="str" cm="1">
        <f t="array" ref="AH95">_xlfn.IFS(COUNTIF(P95:V95, Categorías!$A$2)&gt;0, "Funcional", COUNTIF(P95:V95, Categorías!$A$3)&gt;0, "Configuración", COUNTIF(P95:V95, Categorías!$A$4)&gt;0, "Look&amp;Feel", COUNTIF(P95:V95, Categorías!$A$5)&gt;0, "Integración", COUNTIF(P95:V95, Categorías!$A$6)&gt;0, "Contenido/Datos", COUNTIF(P95:V95, Categorías!$A$7)&gt;0, "Eventos_Cosmos", COUNTIF(P95:V95, Categorías!$A$8)&gt;0, "Eventos_iOT", COUNTIF(P95:V95, Categorías!$A$9)&gt;0, "Eventos_Fabric", TRUE, "No encontrado")</f>
        <v>Funcional</v>
      </c>
    </row>
    <row r="96" spans="1:34" ht="29.25">
      <c r="A96" s="40" t="s">
        <v>128</v>
      </c>
      <c r="B96" s="40" t="s">
        <v>846</v>
      </c>
      <c r="C96" s="40">
        <v>92233</v>
      </c>
      <c r="D96" s="40" t="s">
        <v>1054</v>
      </c>
      <c r="E96" s="40">
        <v>87100</v>
      </c>
      <c r="F96" s="40" t="s">
        <v>1039</v>
      </c>
      <c r="G96" s="40" t="s">
        <v>1040</v>
      </c>
      <c r="H96" s="40" t="s">
        <v>37</v>
      </c>
      <c r="I96" s="40" t="s">
        <v>27</v>
      </c>
      <c r="J96" s="40" t="s">
        <v>1041</v>
      </c>
      <c r="K96" s="40"/>
      <c r="L96" s="40"/>
      <c r="M96" s="40"/>
      <c r="N96" s="40"/>
      <c r="O96" s="40"/>
      <c r="P96" s="40" t="s">
        <v>139</v>
      </c>
      <c r="Q96" s="40" t="s">
        <v>832</v>
      </c>
      <c r="R96" s="40"/>
      <c r="S96" s="40"/>
      <c r="T96" s="40"/>
      <c r="U96" s="40"/>
      <c r="V96" s="40"/>
      <c r="W96" s="40" t="s">
        <v>261</v>
      </c>
      <c r="X96" s="53">
        <v>45903.454861111109</v>
      </c>
      <c r="Y96" s="40"/>
      <c r="Z96" s="40"/>
      <c r="AA96" s="40"/>
      <c r="AB96" t="str">
        <f>IF(LEFT(Jira__325[[#This Row],[Resumen]],3)="POS","POS",IF(LEFT(Jira__325[[#This Row],[Resumen]],3)="BOT","BOT",""))</f>
        <v>POS</v>
      </c>
      <c r="AC96" s="9" t="s">
        <v>159</v>
      </c>
      <c r="AE96" s="22" t="str" cm="1">
        <f t="array" ref="AE96">_xlfn.IFS(OR(COUNTIF(P96:V96,Categorías!#REF!)&gt;0, COUNTIF(P96:V96,Categorías!#REF!)&gt;0), "Sprint 21",OR(COUNTIF(P96:V96,Categorías!#REF!)&gt;0, COUNTIF(P96:V96,Categorías!#REF!)&gt;0, COUNTIF(P96:V96,Categorías!#REF!)&gt;0), "Sprint 20",OR(COUNTIF(P96:V96,Categorías!#REF!)&gt;0, COUNTIF(P96:V96,Categorías!#REF!)&gt;0, COUNTIF(P96:V96,Categorías!#REF!)&gt;0), "Sprint 19",OR(COUNTIF(P96:V96,Categorías!#REF!)&gt;0, COUNTIF(P96:V96,Categorías!#REF!)&gt;0, COUNTIF(P96:V96,Categorías!#REF!)&gt;0), "Sprint 18",OR(COUNTIF(P96:V96,Categorías!#REF!)&gt;0, COUNTIF(P96:V96,Categorías!#REF!)&gt;0, COUNTIF(P96:V96,Categorías!#REF!)&gt;0, COUNTIF(P96:V96,Categorías!#REF!)&gt;0), "Sprint 17",OR(COUNTIF(P96:V96,Categorías!#REF!)&gt;0, COUNTIF(P96:V96,Categorías!#REF!)&gt;0, COUNTIF(P96:V96,Categorías!#REF!)&gt;0, COUNTIF(P96:V96,Categorías!#REF!)&gt;0), "Sprint 16", OR(COUNTIF(P96:V96,Categorías!#REF!)&gt;0, COUNTIF(P96:V96,Categorías!#REF!)&gt;0, COUNTIF(P96:V96,Categorías!#REF!)&gt;0, COUNTIF(P96:V96,Categorías!#REF!)&gt;0), "Sprint 16",TRUE, "")</f>
        <v/>
      </c>
      <c r="AF9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96" t="str" cm="1">
        <f t="array" ref="AG9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96" s="22" t="str" cm="1">
        <f t="array" ref="AH96">_xlfn.IFS(COUNTIF(P96:V96, Categorías!$A$2)&gt;0, "Funcional", COUNTIF(P96:V96, Categorías!$A$3)&gt;0, "Configuración", COUNTIF(P96:V96, Categorías!$A$4)&gt;0, "Look&amp;Feel", COUNTIF(P96:V96, Categorías!$A$5)&gt;0, "Integración", COUNTIF(P96:V96, Categorías!$A$6)&gt;0, "Contenido/Datos", COUNTIF(P96:V96, Categorías!$A$7)&gt;0, "Eventos_Cosmos", COUNTIF(P96:V96, Categorías!$A$8)&gt;0, "Eventos_iOT", COUNTIF(P96:V96, Categorías!$A$9)&gt;0, "Eventos_Fabric", TRUE, "No encontrado")</f>
        <v>Funcional</v>
      </c>
    </row>
    <row r="97" spans="1:34" ht="29.25">
      <c r="A97" s="40" t="s">
        <v>128</v>
      </c>
      <c r="B97" s="40" t="s">
        <v>848</v>
      </c>
      <c r="C97" s="40">
        <v>92229</v>
      </c>
      <c r="D97" s="40" t="s">
        <v>849</v>
      </c>
      <c r="E97" s="40">
        <v>87100</v>
      </c>
      <c r="F97" s="40" t="s">
        <v>1039</v>
      </c>
      <c r="G97" s="40" t="s">
        <v>1040</v>
      </c>
      <c r="H97" s="40" t="s">
        <v>37</v>
      </c>
      <c r="I97" s="40" t="s">
        <v>27</v>
      </c>
      <c r="J97" s="40" t="s">
        <v>753</v>
      </c>
      <c r="K97" s="40" t="s">
        <v>1041</v>
      </c>
      <c r="L97" s="40"/>
      <c r="M97" s="40"/>
      <c r="N97" s="40"/>
      <c r="O97" s="40"/>
      <c r="P97" s="40" t="s">
        <v>139</v>
      </c>
      <c r="Q97" s="40" t="s">
        <v>804</v>
      </c>
      <c r="R97" s="40"/>
      <c r="S97" s="40"/>
      <c r="T97" s="40"/>
      <c r="U97" s="40"/>
      <c r="V97" s="40"/>
      <c r="W97" s="40" t="s">
        <v>217</v>
      </c>
      <c r="X97" s="53">
        <v>45903.452777777777</v>
      </c>
      <c r="Y97" s="40" t="s">
        <v>760</v>
      </c>
      <c r="Z97" s="40"/>
      <c r="AA97" s="40"/>
      <c r="AB97" t="str">
        <f>IF(LEFT(Jira__325[[#This Row],[Resumen]],3)="POS","POS",IF(LEFT(Jira__325[[#This Row],[Resumen]],3)="BOT","BOT",""))</f>
        <v>POS</v>
      </c>
      <c r="AC97" s="9" t="s">
        <v>159</v>
      </c>
      <c r="AE97" s="22" t="str" cm="1">
        <f t="array" ref="AE97">_xlfn.IFS(OR(COUNTIF(P97:V97,Categorías!#REF!)&gt;0, COUNTIF(P97:V97,Categorías!#REF!)&gt;0), "Sprint 21",OR(COUNTIF(P97:V97,Categorías!#REF!)&gt;0, COUNTIF(P97:V97,Categorías!#REF!)&gt;0, COUNTIF(P97:V97,Categorías!#REF!)&gt;0), "Sprint 20",OR(COUNTIF(P97:V97,Categorías!#REF!)&gt;0, COUNTIF(P97:V97,Categorías!#REF!)&gt;0, COUNTIF(P97:V97,Categorías!#REF!)&gt;0), "Sprint 19",OR(COUNTIF(P97:V97,Categorías!#REF!)&gt;0, COUNTIF(P97:V97,Categorías!#REF!)&gt;0, COUNTIF(P97:V97,Categorías!#REF!)&gt;0), "Sprint 18",OR(COUNTIF(P97:V97,Categorías!#REF!)&gt;0, COUNTIF(P97:V97,Categorías!#REF!)&gt;0, COUNTIF(P97:V97,Categorías!#REF!)&gt;0, COUNTIF(P97:V97,Categorías!#REF!)&gt;0), "Sprint 17",OR(COUNTIF(P97:V97,Categorías!#REF!)&gt;0, COUNTIF(P97:V97,Categorías!#REF!)&gt;0, COUNTIF(P97:V97,Categorías!#REF!)&gt;0, COUNTIF(P97:V97,Categorías!#REF!)&gt;0), "Sprint 16", OR(COUNTIF(P97:V97,Categorías!#REF!)&gt;0, COUNTIF(P97:V97,Categorías!#REF!)&gt;0, COUNTIF(P97:V97,Categorías!#REF!)&gt;0, COUNTIF(P97:V97,Categorías!#REF!)&gt;0), "Sprint 16",TRUE, "")</f>
        <v/>
      </c>
      <c r="AF9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97" t="str" cm="1">
        <f t="array" ref="AG9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97" s="22" t="str" cm="1">
        <f t="array" ref="AH97">_xlfn.IFS(COUNTIF(P97:V97, Categorías!$A$2)&gt;0, "Funcional", COUNTIF(P97:V97, Categorías!$A$3)&gt;0, "Configuración", COUNTIF(P97:V97, Categorías!$A$4)&gt;0, "Look&amp;Feel", COUNTIF(P97:V97, Categorías!$A$5)&gt;0, "Integración", COUNTIF(P97:V97, Categorías!$A$6)&gt;0, "Contenido/Datos", COUNTIF(P97:V97, Categorías!$A$7)&gt;0, "Eventos_Cosmos", COUNTIF(P97:V97, Categorías!$A$8)&gt;0, "Eventos_iOT", COUNTIF(P97:V97, Categorías!$A$9)&gt;0, "Eventos_Fabric", TRUE, "No encontrado")</f>
        <v>Funcional</v>
      </c>
    </row>
    <row r="98" spans="1:34" ht="29.25">
      <c r="A98" s="40" t="s">
        <v>128</v>
      </c>
      <c r="B98" s="40" t="s">
        <v>850</v>
      </c>
      <c r="C98" s="40">
        <v>92221</v>
      </c>
      <c r="D98" s="40" t="s">
        <v>851</v>
      </c>
      <c r="E98" s="40">
        <v>87100</v>
      </c>
      <c r="F98" s="40" t="s">
        <v>1039</v>
      </c>
      <c r="G98" s="40" t="s">
        <v>1040</v>
      </c>
      <c r="H98" s="40" t="s">
        <v>36</v>
      </c>
      <c r="I98" s="40" t="s">
        <v>246</v>
      </c>
      <c r="J98" s="40" t="s">
        <v>637</v>
      </c>
      <c r="K98" s="40"/>
      <c r="L98" s="40"/>
      <c r="M98" s="40"/>
      <c r="N98" s="40"/>
      <c r="O98" s="40"/>
      <c r="P98" s="40" t="s">
        <v>139</v>
      </c>
      <c r="Q98" s="40" t="s">
        <v>832</v>
      </c>
      <c r="R98" s="40"/>
      <c r="S98" s="40"/>
      <c r="T98" s="40"/>
      <c r="U98" s="40"/>
      <c r="V98" s="40"/>
      <c r="W98" s="40" t="s">
        <v>261</v>
      </c>
      <c r="X98" s="53">
        <v>45903.447916666664</v>
      </c>
      <c r="Y98" s="40"/>
      <c r="Z98" s="40"/>
      <c r="AA98" s="40"/>
      <c r="AB98" t="str">
        <f>IF(LEFT(Jira__325[[#This Row],[Resumen]],3)="POS","POS",IF(LEFT(Jira__325[[#This Row],[Resumen]],3)="BOT","BOT",""))</f>
        <v>POS</v>
      </c>
      <c r="AC98" s="9" t="s">
        <v>159</v>
      </c>
      <c r="AE98" s="22" t="str" cm="1">
        <f t="array" ref="AE98">_xlfn.IFS(OR(COUNTIF(P98:V98,Categorías!#REF!)&gt;0, COUNTIF(P98:V98,Categorías!#REF!)&gt;0), "Sprint 21",OR(COUNTIF(P98:V98,Categorías!#REF!)&gt;0, COUNTIF(P98:V98,Categorías!#REF!)&gt;0, COUNTIF(P98:V98,Categorías!#REF!)&gt;0), "Sprint 20",OR(COUNTIF(P98:V98,Categorías!#REF!)&gt;0, COUNTIF(P98:V98,Categorías!#REF!)&gt;0, COUNTIF(P98:V98,Categorías!#REF!)&gt;0), "Sprint 19",OR(COUNTIF(P98:V98,Categorías!#REF!)&gt;0, COUNTIF(P98:V98,Categorías!#REF!)&gt;0, COUNTIF(P98:V98,Categorías!#REF!)&gt;0), "Sprint 18",OR(COUNTIF(P98:V98,Categorías!#REF!)&gt;0, COUNTIF(P98:V98,Categorías!#REF!)&gt;0, COUNTIF(P98:V98,Categorías!#REF!)&gt;0, COUNTIF(P98:V98,Categorías!#REF!)&gt;0), "Sprint 17",OR(COUNTIF(P98:V98,Categorías!#REF!)&gt;0, COUNTIF(P98:V98,Categorías!#REF!)&gt;0, COUNTIF(P98:V98,Categorías!#REF!)&gt;0, COUNTIF(P98:V98,Categorías!#REF!)&gt;0), "Sprint 16", OR(COUNTIF(P98:V98,Categorías!#REF!)&gt;0, COUNTIF(P98:V98,Categorías!#REF!)&gt;0, COUNTIF(P98:V98,Categorías!#REF!)&gt;0, COUNTIF(P98:V98,Categorías!#REF!)&gt;0), "Sprint 16",TRUE, "")</f>
        <v/>
      </c>
      <c r="AF9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98" t="str" cm="1">
        <f t="array" ref="AG9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98" s="22" t="str" cm="1">
        <f t="array" ref="AH98">_xlfn.IFS(COUNTIF(P98:V98, Categorías!$A$2)&gt;0, "Funcional", COUNTIF(P98:V98, Categorías!$A$3)&gt;0, "Configuración", COUNTIF(P98:V98, Categorías!$A$4)&gt;0, "Look&amp;Feel", COUNTIF(P98:V98, Categorías!$A$5)&gt;0, "Integración", COUNTIF(P98:V98, Categorías!$A$6)&gt;0, "Contenido/Datos", COUNTIF(P98:V98, Categorías!$A$7)&gt;0, "Eventos_Cosmos", COUNTIF(P98:V98, Categorías!$A$8)&gt;0, "Eventos_iOT", COUNTIF(P98:V98, Categorías!$A$9)&gt;0, "Eventos_Fabric", TRUE, "No encontrado")</f>
        <v>Funcional</v>
      </c>
    </row>
    <row r="99" spans="1:34" ht="29.25">
      <c r="A99" s="40" t="s">
        <v>128</v>
      </c>
      <c r="B99" s="40" t="s">
        <v>852</v>
      </c>
      <c r="C99" s="40">
        <v>91981</v>
      </c>
      <c r="D99" s="40" t="s">
        <v>853</v>
      </c>
      <c r="E99" s="40">
        <v>87100</v>
      </c>
      <c r="F99" s="40" t="s">
        <v>1039</v>
      </c>
      <c r="G99" s="40" t="s">
        <v>1040</v>
      </c>
      <c r="H99" s="40" t="s">
        <v>37</v>
      </c>
      <c r="I99" s="40" t="s">
        <v>27</v>
      </c>
      <c r="J99" s="40" t="s">
        <v>1041</v>
      </c>
      <c r="K99" s="40"/>
      <c r="L99" s="40"/>
      <c r="M99" s="40"/>
      <c r="N99" s="40"/>
      <c r="O99" s="40"/>
      <c r="P99" s="40" t="s">
        <v>132</v>
      </c>
      <c r="Q99" s="40" t="s">
        <v>832</v>
      </c>
      <c r="R99" s="40"/>
      <c r="S99" s="40"/>
      <c r="T99" s="40"/>
      <c r="U99" s="40"/>
      <c r="V99" s="40"/>
      <c r="W99" s="40" t="s">
        <v>261</v>
      </c>
      <c r="X99" s="53">
        <v>45902.715277777781</v>
      </c>
      <c r="Y99" s="40"/>
      <c r="Z99" s="40"/>
      <c r="AA99" s="40"/>
      <c r="AB99" t="str">
        <f>IF(LEFT(Jira__325[[#This Row],[Resumen]],3)="POS","POS",IF(LEFT(Jira__325[[#This Row],[Resumen]],3)="BOT","BOT",""))</f>
        <v>POS</v>
      </c>
      <c r="AC99" s="9" t="s">
        <v>159</v>
      </c>
      <c r="AE99" s="22" t="str" cm="1">
        <f t="array" ref="AE99">_xlfn.IFS(OR(COUNTIF(P99:V99,Categorías!#REF!)&gt;0, COUNTIF(P99:V99,Categorías!#REF!)&gt;0), "Sprint 21",OR(COUNTIF(P99:V99,Categorías!#REF!)&gt;0, COUNTIF(P99:V99,Categorías!#REF!)&gt;0, COUNTIF(P99:V99,Categorías!#REF!)&gt;0), "Sprint 20",OR(COUNTIF(P99:V99,Categorías!#REF!)&gt;0, COUNTIF(P99:V99,Categorías!#REF!)&gt;0, COUNTIF(P99:V99,Categorías!#REF!)&gt;0), "Sprint 19",OR(COUNTIF(P99:V99,Categorías!#REF!)&gt;0, COUNTIF(P99:V99,Categorías!#REF!)&gt;0, COUNTIF(P99:V99,Categorías!#REF!)&gt;0), "Sprint 18",OR(COUNTIF(P99:V99,Categorías!#REF!)&gt;0, COUNTIF(P99:V99,Categorías!#REF!)&gt;0, COUNTIF(P99:V99,Categorías!#REF!)&gt;0, COUNTIF(P99:V99,Categorías!#REF!)&gt;0), "Sprint 17",OR(COUNTIF(P99:V99,Categorías!#REF!)&gt;0, COUNTIF(P99:V99,Categorías!#REF!)&gt;0, COUNTIF(P99:V99,Categorías!#REF!)&gt;0, COUNTIF(P99:V99,Categorías!#REF!)&gt;0), "Sprint 16", OR(COUNTIF(P99:V99,Categorías!#REF!)&gt;0, COUNTIF(P99:V99,Categorías!#REF!)&gt;0, COUNTIF(P99:V99,Categorías!#REF!)&gt;0, COUNTIF(P99:V99,Categorías!#REF!)&gt;0), "Sprint 16",TRUE, "")</f>
        <v/>
      </c>
      <c r="AF9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99" t="str" cm="1">
        <f t="array" ref="AG9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99" s="22" t="str" cm="1">
        <f t="array" ref="AH99">_xlfn.IFS(COUNTIF(P99:V99, Categorías!$A$2)&gt;0, "Funcional", COUNTIF(P99:V99, Categorías!$A$3)&gt;0, "Configuración", COUNTIF(P99:V99, Categorías!$A$4)&gt;0, "Look&amp;Feel", COUNTIF(P99:V99, Categorías!$A$5)&gt;0, "Integración", COUNTIF(P99:V99, Categorías!$A$6)&gt;0, "Contenido/Datos", COUNTIF(P99:V99, Categorías!$A$7)&gt;0, "Eventos_Cosmos", COUNTIF(P99:V99, Categorías!$A$8)&gt;0, "Eventos_iOT", COUNTIF(P99:V99, Categorías!$A$9)&gt;0, "Eventos_Fabric", TRUE, "No encontrado")</f>
        <v>Look&amp;Feel</v>
      </c>
    </row>
    <row r="100" spans="1:34" ht="29.25">
      <c r="A100" s="40" t="s">
        <v>128</v>
      </c>
      <c r="B100" s="40" t="s">
        <v>855</v>
      </c>
      <c r="C100" s="40">
        <v>91815</v>
      </c>
      <c r="D100" s="40" t="s">
        <v>856</v>
      </c>
      <c r="E100" s="40">
        <v>87100</v>
      </c>
      <c r="F100" s="40" t="s">
        <v>1039</v>
      </c>
      <c r="G100" s="40" t="s">
        <v>1040</v>
      </c>
      <c r="H100" s="40" t="s">
        <v>36</v>
      </c>
      <c r="I100" s="40" t="s">
        <v>26</v>
      </c>
      <c r="J100" s="40" t="s">
        <v>802</v>
      </c>
      <c r="K100" s="40" t="s">
        <v>753</v>
      </c>
      <c r="L100" s="40" t="s">
        <v>1041</v>
      </c>
      <c r="M100" s="40"/>
      <c r="N100" s="40"/>
      <c r="O100" s="40"/>
      <c r="P100" s="40" t="s">
        <v>490</v>
      </c>
      <c r="Q100" s="40" t="s">
        <v>835</v>
      </c>
      <c r="R100" s="40" t="s">
        <v>832</v>
      </c>
      <c r="S100" s="40"/>
      <c r="T100" s="40"/>
      <c r="U100" s="40"/>
      <c r="V100" s="40"/>
      <c r="W100" s="40" t="s">
        <v>261</v>
      </c>
      <c r="X100" s="53">
        <v>45902.527777777781</v>
      </c>
      <c r="Y100" s="40" t="s">
        <v>760</v>
      </c>
      <c r="Z100" s="40"/>
      <c r="AA100" s="40"/>
      <c r="AB100" t="str">
        <f>IF(LEFT(Jira__325[[#This Row],[Resumen]],3)="POS","POS",IF(LEFT(Jira__325[[#This Row],[Resumen]],3)="BOT","BOT",""))</f>
        <v>POS</v>
      </c>
      <c r="AC100" s="9" t="s">
        <v>136</v>
      </c>
      <c r="AE100" s="22" t="str" cm="1">
        <f t="array" ref="AE100">_xlfn.IFS(OR(COUNTIF(P100:V100,Categorías!#REF!)&gt;0, COUNTIF(P100:V100,Categorías!#REF!)&gt;0), "Sprint 21",OR(COUNTIF(P100:V100,Categorías!#REF!)&gt;0, COUNTIF(P100:V100,Categorías!#REF!)&gt;0, COUNTIF(P100:V100,Categorías!#REF!)&gt;0), "Sprint 20",OR(COUNTIF(P100:V100,Categorías!#REF!)&gt;0, COUNTIF(P100:V100,Categorías!#REF!)&gt;0, COUNTIF(P100:V100,Categorías!#REF!)&gt;0), "Sprint 19",OR(COUNTIF(P100:V100,Categorías!#REF!)&gt;0, COUNTIF(P100:V100,Categorías!#REF!)&gt;0, COUNTIF(P100:V100,Categorías!#REF!)&gt;0), "Sprint 18",OR(COUNTIF(P100:V100,Categorías!#REF!)&gt;0, COUNTIF(P100:V100,Categorías!#REF!)&gt;0, COUNTIF(P100:V100,Categorías!#REF!)&gt;0, COUNTIF(P100:V100,Categorías!#REF!)&gt;0), "Sprint 17",OR(COUNTIF(P100:V100,Categorías!#REF!)&gt;0, COUNTIF(P100:V100,Categorías!#REF!)&gt;0, COUNTIF(P100:V100,Categorías!#REF!)&gt;0, COUNTIF(P100:V100,Categorías!#REF!)&gt;0), "Sprint 16", OR(COUNTIF(P100:V100,Categorías!#REF!)&gt;0, COUNTIF(P100:V100,Categorías!#REF!)&gt;0, COUNTIF(P100:V100,Categorías!#REF!)&gt;0, COUNTIF(P100:V100,Categorías!#REF!)&gt;0), "Sprint 16",TRUE, "")</f>
        <v/>
      </c>
      <c r="AF10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100" t="str" cm="1">
        <f t="array" ref="AG10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100" s="22" t="str" cm="1">
        <f t="array" ref="AH100">_xlfn.IFS(COUNTIF(P100:V100, Categorías!$A$2)&gt;0, "Funcional", COUNTIF(P100:V100, Categorías!$A$3)&gt;0, "Configuración", COUNTIF(P100:V100, Categorías!$A$4)&gt;0, "Look&amp;Feel", COUNTIF(P100:V100, Categorías!$A$5)&gt;0, "Integración", COUNTIF(P100:V100, Categorías!$A$6)&gt;0, "Contenido/Datos", COUNTIF(P100:V100, Categorías!$A$7)&gt;0, "Eventos_Cosmos", COUNTIF(P100:V100, Categorías!$A$8)&gt;0, "Eventos_iOT", COUNTIF(P100:V100, Categorías!$A$9)&gt;0, "Eventos_Fabric", TRUE, "No encontrado")</f>
        <v>Contenido/Datos</v>
      </c>
    </row>
    <row r="101" spans="1:34" ht="29.25">
      <c r="A101" s="40" t="s">
        <v>128</v>
      </c>
      <c r="B101" s="40" t="s">
        <v>857</v>
      </c>
      <c r="C101" s="40">
        <v>91752</v>
      </c>
      <c r="D101" s="40" t="s">
        <v>858</v>
      </c>
      <c r="E101" s="40">
        <v>79941</v>
      </c>
      <c r="F101" s="40" t="s">
        <v>1045</v>
      </c>
      <c r="G101" s="40" t="s">
        <v>1046</v>
      </c>
      <c r="H101" s="40" t="s">
        <v>40</v>
      </c>
      <c r="I101" s="40" t="s">
        <v>27</v>
      </c>
      <c r="J101" s="40" t="s">
        <v>1041</v>
      </c>
      <c r="K101" s="40"/>
      <c r="L101" s="40"/>
      <c r="M101" s="40"/>
      <c r="N101" s="40"/>
      <c r="O101" s="40"/>
      <c r="P101" s="40" t="s">
        <v>132</v>
      </c>
      <c r="Q101" s="40" t="s">
        <v>804</v>
      </c>
      <c r="R101" s="40"/>
      <c r="S101" s="40"/>
      <c r="T101" s="40"/>
      <c r="U101" s="40"/>
      <c r="V101" s="40"/>
      <c r="W101" s="40" t="s">
        <v>217</v>
      </c>
      <c r="X101" s="53">
        <v>45902.495833333334</v>
      </c>
      <c r="Y101" s="40"/>
      <c r="Z101" s="40"/>
      <c r="AA101" s="40"/>
      <c r="AB101" t="str">
        <f>IF(LEFT(Jira__325[[#This Row],[Resumen]],3)="POS","POS",IF(LEFT(Jira__325[[#This Row],[Resumen]],3)="BOT","BOT",""))</f>
        <v>POS</v>
      </c>
      <c r="AC101" s="12" t="s">
        <v>184</v>
      </c>
      <c r="AE101" s="22" t="str" cm="1">
        <f t="array" ref="AE101">_xlfn.IFS(OR(COUNTIF(P101:V101,Categorías!#REF!)&gt;0, COUNTIF(P101:V101,Categorías!#REF!)&gt;0), "Sprint 21",OR(COUNTIF(P101:V101,Categorías!#REF!)&gt;0, COUNTIF(P101:V101,Categorías!#REF!)&gt;0, COUNTIF(P101:V101,Categorías!#REF!)&gt;0), "Sprint 20",OR(COUNTIF(P101:V101,Categorías!#REF!)&gt;0, COUNTIF(P101:V101,Categorías!#REF!)&gt;0, COUNTIF(P101:V101,Categorías!#REF!)&gt;0), "Sprint 19",OR(COUNTIF(P101:V101,Categorías!#REF!)&gt;0, COUNTIF(P101:V101,Categorías!#REF!)&gt;0, COUNTIF(P101:V101,Categorías!#REF!)&gt;0), "Sprint 18",OR(COUNTIF(P101:V101,Categorías!#REF!)&gt;0, COUNTIF(P101:V101,Categorías!#REF!)&gt;0, COUNTIF(P101:V101,Categorías!#REF!)&gt;0, COUNTIF(P101:V101,Categorías!#REF!)&gt;0), "Sprint 17",OR(COUNTIF(P101:V101,Categorías!#REF!)&gt;0, COUNTIF(P101:V101,Categorías!#REF!)&gt;0, COUNTIF(P101:V101,Categorías!#REF!)&gt;0, COUNTIF(P101:V101,Categorías!#REF!)&gt;0), "Sprint 16", OR(COUNTIF(P101:V101,Categorías!#REF!)&gt;0, COUNTIF(P101:V101,Categorías!#REF!)&gt;0, COUNTIF(P101:V101,Categorías!#REF!)&gt;0, COUNTIF(P101:V101,Categorías!#REF!)&gt;0), "Sprint 16",TRUE, "")</f>
        <v/>
      </c>
      <c r="AF10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01" t="str" cm="1">
        <f t="array" ref="AG10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01" s="22" t="str" cm="1">
        <f t="array" ref="AH101">_xlfn.IFS(COUNTIF(P101:V101, Categorías!$A$2)&gt;0, "Funcional", COUNTIF(P101:V101, Categorías!$A$3)&gt;0, "Configuración", COUNTIF(P101:V101, Categorías!$A$4)&gt;0, "Look&amp;Feel", COUNTIF(P101:V101, Categorías!$A$5)&gt;0, "Integración", COUNTIF(P101:V101, Categorías!$A$6)&gt;0, "Contenido/Datos", COUNTIF(P101:V101, Categorías!$A$7)&gt;0, "Eventos_Cosmos", COUNTIF(P101:V101, Categorías!$A$8)&gt;0, "Eventos_iOT", COUNTIF(P101:V101, Categorías!$A$9)&gt;0, "Eventos_Fabric", TRUE, "No encontrado")</f>
        <v>Look&amp;Feel</v>
      </c>
    </row>
    <row r="102" spans="1:34" ht="29.25">
      <c r="A102" s="40" t="s">
        <v>128</v>
      </c>
      <c r="B102" s="40" t="s">
        <v>860</v>
      </c>
      <c r="C102" s="40">
        <v>91734</v>
      </c>
      <c r="D102" s="40" t="s">
        <v>861</v>
      </c>
      <c r="E102" s="40">
        <v>79941</v>
      </c>
      <c r="F102" s="40" t="s">
        <v>1045</v>
      </c>
      <c r="G102" s="40" t="s">
        <v>1046</v>
      </c>
      <c r="H102" s="40" t="s">
        <v>37</v>
      </c>
      <c r="I102" s="40" t="s">
        <v>27</v>
      </c>
      <c r="J102" s="40" t="s">
        <v>1041</v>
      </c>
      <c r="K102" s="40"/>
      <c r="L102" s="40"/>
      <c r="M102" s="40"/>
      <c r="N102" s="40"/>
      <c r="O102" s="40"/>
      <c r="P102" s="40" t="s">
        <v>132</v>
      </c>
      <c r="Q102" s="40" t="s">
        <v>832</v>
      </c>
      <c r="R102" s="40"/>
      <c r="S102" s="40"/>
      <c r="T102" s="40"/>
      <c r="U102" s="40"/>
      <c r="V102" s="40"/>
      <c r="W102" s="40" t="s">
        <v>261</v>
      </c>
      <c r="X102" s="53">
        <v>45902.477083333331</v>
      </c>
      <c r="Y102" s="40"/>
      <c r="Z102" s="40"/>
      <c r="AA102" s="40"/>
      <c r="AB102" t="str">
        <f>IF(LEFT(Jira__325[[#This Row],[Resumen]],3)="POS","POS",IF(LEFT(Jira__325[[#This Row],[Resumen]],3)="BOT","BOT",""))</f>
        <v>POS</v>
      </c>
      <c r="AC102" s="9" t="s">
        <v>136</v>
      </c>
      <c r="AE102" s="22" t="str" cm="1">
        <f t="array" ref="AE102">_xlfn.IFS(OR(COUNTIF(P102:V102,Categorías!#REF!)&gt;0, COUNTIF(P102:V102,Categorías!#REF!)&gt;0), "Sprint 21",OR(COUNTIF(P102:V102,Categorías!#REF!)&gt;0, COUNTIF(P102:V102,Categorías!#REF!)&gt;0, COUNTIF(P102:V102,Categorías!#REF!)&gt;0), "Sprint 20",OR(COUNTIF(P102:V102,Categorías!#REF!)&gt;0, COUNTIF(P102:V102,Categorías!#REF!)&gt;0, COUNTIF(P102:V102,Categorías!#REF!)&gt;0), "Sprint 19",OR(COUNTIF(P102:V102,Categorías!#REF!)&gt;0, COUNTIF(P102:V102,Categorías!#REF!)&gt;0, COUNTIF(P102:V102,Categorías!#REF!)&gt;0), "Sprint 18",OR(COUNTIF(P102:V102,Categorías!#REF!)&gt;0, COUNTIF(P102:V102,Categorías!#REF!)&gt;0, COUNTIF(P102:V102,Categorías!#REF!)&gt;0, COUNTIF(P102:V102,Categorías!#REF!)&gt;0), "Sprint 17",OR(COUNTIF(P102:V102,Categorías!#REF!)&gt;0, COUNTIF(P102:V102,Categorías!#REF!)&gt;0, COUNTIF(P102:V102,Categorías!#REF!)&gt;0, COUNTIF(P102:V102,Categorías!#REF!)&gt;0), "Sprint 16", OR(COUNTIF(P102:V102,Categorías!#REF!)&gt;0, COUNTIF(P102:V102,Categorías!#REF!)&gt;0, COUNTIF(P102:V102,Categorías!#REF!)&gt;0, COUNTIF(P102:V102,Categorías!#REF!)&gt;0), "Sprint 16",TRUE, "")</f>
        <v/>
      </c>
      <c r="AF10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02" t="str" cm="1">
        <f t="array" ref="AG10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02" s="22" t="str" cm="1">
        <f t="array" ref="AH102">_xlfn.IFS(COUNTIF(P102:V102, Categorías!$A$2)&gt;0, "Funcional", COUNTIF(P102:V102, Categorías!$A$3)&gt;0, "Configuración", COUNTIF(P102:V102, Categorías!$A$4)&gt;0, "Look&amp;Feel", COUNTIF(P102:V102, Categorías!$A$5)&gt;0, "Integración", COUNTIF(P102:V102, Categorías!$A$6)&gt;0, "Contenido/Datos", COUNTIF(P102:V102, Categorías!$A$7)&gt;0, "Eventos_Cosmos", COUNTIF(P102:V102, Categorías!$A$8)&gt;0, "Eventos_iOT", COUNTIF(P102:V102, Categorías!$A$9)&gt;0, "Eventos_Fabric", TRUE, "No encontrado")</f>
        <v>Look&amp;Feel</v>
      </c>
    </row>
    <row r="103" spans="1:34" ht="29.25">
      <c r="A103" s="40" t="s">
        <v>128</v>
      </c>
      <c r="B103" s="40" t="s">
        <v>862</v>
      </c>
      <c r="C103" s="40">
        <v>91730</v>
      </c>
      <c r="D103" s="40" t="s">
        <v>863</v>
      </c>
      <c r="E103" s="40">
        <v>79941</v>
      </c>
      <c r="F103" s="40" t="s">
        <v>1045</v>
      </c>
      <c r="G103" s="40" t="s">
        <v>1046</v>
      </c>
      <c r="H103" s="40" t="s">
        <v>40</v>
      </c>
      <c r="I103" s="40" t="s">
        <v>27</v>
      </c>
      <c r="J103" s="40" t="s">
        <v>1041</v>
      </c>
      <c r="K103" s="40"/>
      <c r="L103" s="40"/>
      <c r="M103" s="40"/>
      <c r="N103" s="40"/>
      <c r="O103" s="40"/>
      <c r="P103" s="40" t="s">
        <v>132</v>
      </c>
      <c r="Q103" s="40" t="s">
        <v>804</v>
      </c>
      <c r="R103" s="40"/>
      <c r="S103" s="40"/>
      <c r="T103" s="40"/>
      <c r="U103" s="40"/>
      <c r="V103" s="40"/>
      <c r="W103" s="40" t="s">
        <v>217</v>
      </c>
      <c r="X103" s="53">
        <v>45902.472222222219</v>
      </c>
      <c r="Y103" s="40"/>
      <c r="Z103" s="40"/>
      <c r="AA103" s="40"/>
      <c r="AB103" t="str">
        <f>IF(LEFT(Jira__325[[#This Row],[Resumen]],3)="POS","POS",IF(LEFT(Jira__325[[#This Row],[Resumen]],3)="BOT","BOT",""))</f>
        <v>POS</v>
      </c>
      <c r="AC103" s="9" t="s">
        <v>136</v>
      </c>
      <c r="AE103" s="22" t="str" cm="1">
        <f t="array" ref="AE103">_xlfn.IFS(OR(COUNTIF(P103:V103,Categorías!#REF!)&gt;0, COUNTIF(P103:V103,Categorías!#REF!)&gt;0), "Sprint 21",OR(COUNTIF(P103:V103,Categorías!#REF!)&gt;0, COUNTIF(P103:V103,Categorías!#REF!)&gt;0, COUNTIF(P103:V103,Categorías!#REF!)&gt;0), "Sprint 20",OR(COUNTIF(P103:V103,Categorías!#REF!)&gt;0, COUNTIF(P103:V103,Categorías!#REF!)&gt;0, COUNTIF(P103:V103,Categorías!#REF!)&gt;0), "Sprint 19",OR(COUNTIF(P103:V103,Categorías!#REF!)&gt;0, COUNTIF(P103:V103,Categorías!#REF!)&gt;0, COUNTIF(P103:V103,Categorías!#REF!)&gt;0), "Sprint 18",OR(COUNTIF(P103:V103,Categorías!#REF!)&gt;0, COUNTIF(P103:V103,Categorías!#REF!)&gt;0, COUNTIF(P103:V103,Categorías!#REF!)&gt;0, COUNTIF(P103:V103,Categorías!#REF!)&gt;0), "Sprint 17",OR(COUNTIF(P103:V103,Categorías!#REF!)&gt;0, COUNTIF(P103:V103,Categorías!#REF!)&gt;0, COUNTIF(P103:V103,Categorías!#REF!)&gt;0, COUNTIF(P103:V103,Categorías!#REF!)&gt;0), "Sprint 16", OR(COUNTIF(P103:V103,Categorías!#REF!)&gt;0, COUNTIF(P103:V103,Categorías!#REF!)&gt;0, COUNTIF(P103:V103,Categorías!#REF!)&gt;0, COUNTIF(P103:V103,Categorías!#REF!)&gt;0), "Sprint 16",TRUE, "")</f>
        <v/>
      </c>
      <c r="AF10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03" t="str" cm="1">
        <f t="array" ref="AG10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03" s="22" t="str" cm="1">
        <f t="array" ref="AH103">_xlfn.IFS(COUNTIF(P103:V103, Categorías!$A$2)&gt;0, "Funcional", COUNTIF(P103:V103, Categorías!$A$3)&gt;0, "Configuración", COUNTIF(P103:V103, Categorías!$A$4)&gt;0, "Look&amp;Feel", COUNTIF(P103:V103, Categorías!$A$5)&gt;0, "Integración", COUNTIF(P103:V103, Categorías!$A$6)&gt;0, "Contenido/Datos", COUNTIF(P103:V103, Categorías!$A$7)&gt;0, "Eventos_Cosmos", COUNTIF(P103:V103, Categorías!$A$8)&gt;0, "Eventos_iOT", COUNTIF(P103:V103, Categorías!$A$9)&gt;0, "Eventos_Fabric", TRUE, "No encontrado")</f>
        <v>Look&amp;Feel</v>
      </c>
    </row>
    <row r="104" spans="1:34" ht="29.25">
      <c r="A104" s="40" t="s">
        <v>128</v>
      </c>
      <c r="B104" s="40" t="s">
        <v>864</v>
      </c>
      <c r="C104" s="40">
        <v>90978</v>
      </c>
      <c r="D104" s="40" t="s">
        <v>865</v>
      </c>
      <c r="E104" s="40">
        <v>79941</v>
      </c>
      <c r="F104" s="40" t="s">
        <v>1045</v>
      </c>
      <c r="G104" s="40" t="s">
        <v>1046</v>
      </c>
      <c r="H104" s="40" t="s">
        <v>36</v>
      </c>
      <c r="I104" s="40" t="s">
        <v>27</v>
      </c>
      <c r="J104" s="40" t="s">
        <v>866</v>
      </c>
      <c r="K104" s="40" t="s">
        <v>802</v>
      </c>
      <c r="L104" s="40" t="s">
        <v>637</v>
      </c>
      <c r="M104" s="40"/>
      <c r="N104" s="40"/>
      <c r="O104" s="40"/>
      <c r="P104" s="40" t="s">
        <v>132</v>
      </c>
      <c r="Q104" s="40" t="s">
        <v>835</v>
      </c>
      <c r="R104" s="40" t="s">
        <v>867</v>
      </c>
      <c r="S104" s="40" t="s">
        <v>204</v>
      </c>
      <c r="T104" s="40" t="s">
        <v>153</v>
      </c>
      <c r="U104" s="40" t="s">
        <v>154</v>
      </c>
      <c r="V104" s="40"/>
      <c r="W104" s="40" t="s">
        <v>217</v>
      </c>
      <c r="X104" s="53">
        <v>45898.640972222223</v>
      </c>
      <c r="Y104" s="40" t="s">
        <v>760</v>
      </c>
      <c r="Z104" s="40"/>
      <c r="AA104" s="40"/>
      <c r="AB104" t="str">
        <f>IF(LEFT(Jira__325[[#This Row],[Resumen]],3)="POS","POS",IF(LEFT(Jira__325[[#This Row],[Resumen]],3)="BOT","BOT",""))</f>
        <v>BOT</v>
      </c>
      <c r="AC104" s="9" t="s">
        <v>221</v>
      </c>
      <c r="AE104" s="22" t="str" cm="1">
        <f t="array" ref="AE104">_xlfn.IFS(OR(COUNTIF(P104:V104,Categorías!#REF!)&gt;0, COUNTIF(P104:V104,Categorías!#REF!)&gt;0), "Sprint 21",OR(COUNTIF(P104:V104,Categorías!#REF!)&gt;0, COUNTIF(P104:V104,Categorías!#REF!)&gt;0, COUNTIF(P104:V104,Categorías!#REF!)&gt;0), "Sprint 20",OR(COUNTIF(P104:V104,Categorías!#REF!)&gt;0, COUNTIF(P104:V104,Categorías!#REF!)&gt;0, COUNTIF(P104:V104,Categorías!#REF!)&gt;0), "Sprint 19",OR(COUNTIF(P104:V104,Categorías!#REF!)&gt;0, COUNTIF(P104:V104,Categorías!#REF!)&gt;0, COUNTIF(P104:V104,Categorías!#REF!)&gt;0), "Sprint 18",OR(COUNTIF(P104:V104,Categorías!#REF!)&gt;0, COUNTIF(P104:V104,Categorías!#REF!)&gt;0, COUNTIF(P104:V104,Categorías!#REF!)&gt;0, COUNTIF(P104:V104,Categorías!#REF!)&gt;0), "Sprint 17",OR(COUNTIF(P104:V104,Categorías!#REF!)&gt;0, COUNTIF(P104:V104,Categorías!#REF!)&gt;0, COUNTIF(P104:V104,Categorías!#REF!)&gt;0, COUNTIF(P104:V104,Categorías!#REF!)&gt;0), "Sprint 16", OR(COUNTIF(P104:V104,Categorías!#REF!)&gt;0, COUNTIF(P104:V104,Categorías!#REF!)&gt;0, COUNTIF(P104:V104,Categorías!#REF!)&gt;0, COUNTIF(P104:V104,Categorías!#REF!)&gt;0), "Sprint 16",TRUE, "")</f>
        <v/>
      </c>
      <c r="AF10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104" t="str" cm="1">
        <f t="array" ref="AG10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104" s="22" t="str" cm="1">
        <f t="array" ref="AH104">_xlfn.IFS(COUNTIF(P104:V104, Categorías!$A$2)&gt;0, "Funcional", COUNTIF(P104:V104, Categorías!$A$3)&gt;0, "Configuración", COUNTIF(P104:V104, Categorías!$A$4)&gt;0, "Look&amp;Feel", COUNTIF(P104:V104, Categorías!$A$5)&gt;0, "Integración", COUNTIF(P104:V104, Categorías!$A$6)&gt;0, "Contenido/Datos", COUNTIF(P104:V104, Categorías!$A$7)&gt;0, "Eventos_Cosmos", COUNTIF(P104:V104, Categorías!$A$8)&gt;0, "Eventos_iOT", COUNTIF(P104:V104, Categorías!$A$9)&gt;0, "Eventos_Fabric", TRUE, "No encontrado")</f>
        <v>Look&amp;Feel</v>
      </c>
    </row>
    <row r="105" spans="1:34" ht="29.25">
      <c r="A105" s="40" t="s">
        <v>128</v>
      </c>
      <c r="B105" s="40" t="s">
        <v>868</v>
      </c>
      <c r="C105" s="40">
        <v>90484</v>
      </c>
      <c r="D105" s="40" t="s">
        <v>869</v>
      </c>
      <c r="E105" s="40">
        <v>87100</v>
      </c>
      <c r="F105" s="40" t="s">
        <v>1039</v>
      </c>
      <c r="G105" s="40" t="s">
        <v>1040</v>
      </c>
      <c r="H105" s="40" t="s">
        <v>37</v>
      </c>
      <c r="I105" s="40" t="s">
        <v>26</v>
      </c>
      <c r="J105" s="40" t="s">
        <v>866</v>
      </c>
      <c r="K105" s="40" t="s">
        <v>802</v>
      </c>
      <c r="L105" s="40" t="s">
        <v>1041</v>
      </c>
      <c r="M105" s="40"/>
      <c r="N105" s="40"/>
      <c r="O105" s="40"/>
      <c r="P105" s="40" t="s">
        <v>139</v>
      </c>
      <c r="Q105" s="40" t="s">
        <v>867</v>
      </c>
      <c r="R105" s="40" t="s">
        <v>226</v>
      </c>
      <c r="S105" s="40" t="s">
        <v>154</v>
      </c>
      <c r="T105" s="40"/>
      <c r="U105" s="40"/>
      <c r="V105" s="40"/>
      <c r="W105" s="40" t="s">
        <v>217</v>
      </c>
      <c r="X105" s="53">
        <v>45897.631249999999</v>
      </c>
      <c r="Y105" s="40" t="s">
        <v>806</v>
      </c>
      <c r="Z105" s="40"/>
      <c r="AA105" s="40"/>
      <c r="AB105" t="str">
        <f>IF(LEFT(Jira__325[[#This Row],[Resumen]],3)="POS","POS",IF(LEFT(Jira__325[[#This Row],[Resumen]],3)="BOT","BOT",""))</f>
        <v>POS</v>
      </c>
      <c r="AC105" s="9" t="s">
        <v>221</v>
      </c>
      <c r="AE105" s="22" t="str" cm="1">
        <f t="array" ref="AE105">_xlfn.IFS(OR(COUNTIF(P105:V105,Categorías!#REF!)&gt;0, COUNTIF(P105:V105,Categorías!#REF!)&gt;0), "Sprint 21",OR(COUNTIF(P105:V105,Categorías!#REF!)&gt;0, COUNTIF(P105:V105,Categorías!#REF!)&gt;0, COUNTIF(P105:V105,Categorías!#REF!)&gt;0), "Sprint 20",OR(COUNTIF(P105:V105,Categorías!#REF!)&gt;0, COUNTIF(P105:V105,Categorías!#REF!)&gt;0, COUNTIF(P105:V105,Categorías!#REF!)&gt;0), "Sprint 19",OR(COUNTIF(P105:V105,Categorías!#REF!)&gt;0, COUNTIF(P105:V105,Categorías!#REF!)&gt;0, COUNTIF(P105:V105,Categorías!#REF!)&gt;0), "Sprint 18",OR(COUNTIF(P105:V105,Categorías!#REF!)&gt;0, COUNTIF(P105:V105,Categorías!#REF!)&gt;0, COUNTIF(P105:V105,Categorías!#REF!)&gt;0, COUNTIF(P105:V105,Categorías!#REF!)&gt;0), "Sprint 17",OR(COUNTIF(P105:V105,Categorías!#REF!)&gt;0, COUNTIF(P105:V105,Categorías!#REF!)&gt;0, COUNTIF(P105:V105,Categorías!#REF!)&gt;0, COUNTIF(P105:V105,Categorías!#REF!)&gt;0), "Sprint 16", OR(COUNTIF(P105:V105,Categorías!#REF!)&gt;0, COUNTIF(P105:V105,Categorías!#REF!)&gt;0, COUNTIF(P105:V105,Categorías!#REF!)&gt;0, COUNTIF(P105:V105,Categorías!#REF!)&gt;0), "Sprint 16",TRUE, "")</f>
        <v/>
      </c>
      <c r="AF10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05" t="str" cm="1">
        <f t="array" ref="AG10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05" s="22" t="str" cm="1">
        <f t="array" ref="AH105">_xlfn.IFS(COUNTIF(P105:V105, Categorías!$A$2)&gt;0, "Funcional", COUNTIF(P105:V105, Categorías!$A$3)&gt;0, "Configuración", COUNTIF(P105:V105, Categorías!$A$4)&gt;0, "Look&amp;Feel", COUNTIF(P105:V105, Categorías!$A$5)&gt;0, "Integración", COUNTIF(P105:V105, Categorías!$A$6)&gt;0, "Contenido/Datos", COUNTIF(P105:V105, Categorías!$A$7)&gt;0, "Eventos_Cosmos", COUNTIF(P105:V105, Categorías!$A$8)&gt;0, "Eventos_iOT", COUNTIF(P105:V105, Categorías!$A$9)&gt;0, "Eventos_Fabric", TRUE, "No encontrado")</f>
        <v>Funcional</v>
      </c>
    </row>
    <row r="106" spans="1:34" ht="29.25">
      <c r="A106" s="40" t="s">
        <v>128</v>
      </c>
      <c r="B106" s="40" t="s">
        <v>870</v>
      </c>
      <c r="C106" s="40">
        <v>90296</v>
      </c>
      <c r="D106" s="40" t="s">
        <v>871</v>
      </c>
      <c r="E106" s="40">
        <v>87100</v>
      </c>
      <c r="F106" s="40" t="s">
        <v>1039</v>
      </c>
      <c r="G106" s="40" t="s">
        <v>1040</v>
      </c>
      <c r="H106" s="40" t="s">
        <v>41</v>
      </c>
      <c r="I106" s="40" t="s">
        <v>26</v>
      </c>
      <c r="J106" s="40" t="s">
        <v>802</v>
      </c>
      <c r="K106" s="40" t="s">
        <v>753</v>
      </c>
      <c r="L106" s="40" t="s">
        <v>1041</v>
      </c>
      <c r="M106" s="40"/>
      <c r="N106" s="40"/>
      <c r="O106" s="40"/>
      <c r="P106" s="40" t="s">
        <v>139</v>
      </c>
      <c r="Q106" s="40" t="s">
        <v>835</v>
      </c>
      <c r="R106" s="40" t="s">
        <v>872</v>
      </c>
      <c r="S106" s="40"/>
      <c r="T106" s="40"/>
      <c r="U106" s="40"/>
      <c r="V106" s="40"/>
      <c r="W106" s="40" t="s">
        <v>261</v>
      </c>
      <c r="X106" s="53">
        <v>45896.714583333334</v>
      </c>
      <c r="Y106" s="40" t="s">
        <v>760</v>
      </c>
      <c r="Z106" s="40"/>
      <c r="AA106" s="40"/>
      <c r="AB106" t="str">
        <f>IF(LEFT(Jira__325[[#This Row],[Resumen]],3)="POS","POS",IF(LEFT(Jira__325[[#This Row],[Resumen]],3)="BOT","BOT",""))</f>
        <v>POS</v>
      </c>
      <c r="AC106" s="12" t="s">
        <v>184</v>
      </c>
      <c r="AE106" s="22" t="str" cm="1">
        <f t="array" ref="AE106">_xlfn.IFS(OR(COUNTIF(P106:V106,Categorías!#REF!)&gt;0, COUNTIF(P106:V106,Categorías!#REF!)&gt;0), "Sprint 21",OR(COUNTIF(P106:V106,Categorías!#REF!)&gt;0, COUNTIF(P106:V106,Categorías!#REF!)&gt;0, COUNTIF(P106:V106,Categorías!#REF!)&gt;0), "Sprint 20",OR(COUNTIF(P106:V106,Categorías!#REF!)&gt;0, COUNTIF(P106:V106,Categorías!#REF!)&gt;0, COUNTIF(P106:V106,Categorías!#REF!)&gt;0), "Sprint 19",OR(COUNTIF(P106:V106,Categorías!#REF!)&gt;0, COUNTIF(P106:V106,Categorías!#REF!)&gt;0, COUNTIF(P106:V106,Categorías!#REF!)&gt;0), "Sprint 18",OR(COUNTIF(P106:V106,Categorías!#REF!)&gt;0, COUNTIF(P106:V106,Categorías!#REF!)&gt;0, COUNTIF(P106:V106,Categorías!#REF!)&gt;0, COUNTIF(P106:V106,Categorías!#REF!)&gt;0), "Sprint 17",OR(COUNTIF(P106:V106,Categorías!#REF!)&gt;0, COUNTIF(P106:V106,Categorías!#REF!)&gt;0, COUNTIF(P106:V106,Categorías!#REF!)&gt;0, COUNTIF(P106:V106,Categorías!#REF!)&gt;0), "Sprint 16", OR(COUNTIF(P106:V106,Categorías!#REF!)&gt;0, COUNTIF(P106:V106,Categorías!#REF!)&gt;0, COUNTIF(P106:V106,Categorías!#REF!)&gt;0, COUNTIF(P106:V106,Categorías!#REF!)&gt;0), "Sprint 16",TRUE, "")</f>
        <v/>
      </c>
      <c r="AF10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106" t="str" cm="1">
        <f t="array" ref="AG10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106" s="22" t="str" cm="1">
        <f t="array" ref="AH106">_xlfn.IFS(COUNTIF(P106:V106, Categorías!$A$2)&gt;0, "Funcional", COUNTIF(P106:V106, Categorías!$A$3)&gt;0, "Configuración", COUNTIF(P106:V106, Categorías!$A$4)&gt;0, "Look&amp;Feel", COUNTIF(P106:V106, Categorías!$A$5)&gt;0, "Integración", COUNTIF(P106:V106, Categorías!$A$6)&gt;0, "Contenido/Datos", COUNTIF(P106:V106, Categorías!$A$7)&gt;0, "Eventos_Cosmos", COUNTIF(P106:V106, Categorías!$A$8)&gt;0, "Eventos_iOT", COUNTIF(P106:V106, Categorías!$A$9)&gt;0, "Eventos_Fabric", TRUE, "No encontrado")</f>
        <v>Funcional</v>
      </c>
    </row>
    <row r="107" spans="1:34" ht="29.25">
      <c r="A107" s="40" t="s">
        <v>128</v>
      </c>
      <c r="B107" s="40" t="s">
        <v>873</v>
      </c>
      <c r="C107" s="40">
        <v>90222</v>
      </c>
      <c r="D107" s="40" t="s">
        <v>874</v>
      </c>
      <c r="E107" s="40">
        <v>79941</v>
      </c>
      <c r="F107" s="40" t="s">
        <v>1045</v>
      </c>
      <c r="G107" s="40" t="s">
        <v>1046</v>
      </c>
      <c r="H107" s="40" t="s">
        <v>36</v>
      </c>
      <c r="I107" s="40" t="s">
        <v>26</v>
      </c>
      <c r="J107" s="40" t="s">
        <v>866</v>
      </c>
      <c r="K107" s="40" t="s">
        <v>802</v>
      </c>
      <c r="L107" s="40" t="s">
        <v>753</v>
      </c>
      <c r="M107" s="40" t="s">
        <v>1041</v>
      </c>
      <c r="N107" s="40"/>
      <c r="O107" s="40"/>
      <c r="P107" s="40" t="s">
        <v>139</v>
      </c>
      <c r="Q107" s="40" t="s">
        <v>867</v>
      </c>
      <c r="R107" s="40"/>
      <c r="S107" s="40"/>
      <c r="T107" s="40"/>
      <c r="U107" s="40"/>
      <c r="V107" s="40"/>
      <c r="W107" s="40" t="s">
        <v>217</v>
      </c>
      <c r="X107" s="53">
        <v>45896.630555555559</v>
      </c>
      <c r="Y107" s="40" t="s">
        <v>806</v>
      </c>
      <c r="Z107" s="40"/>
      <c r="AA107" s="40"/>
      <c r="AB107" t="str">
        <f>IF(LEFT(Jira__325[[#This Row],[Resumen]],3)="POS","POS",IF(LEFT(Jira__325[[#This Row],[Resumen]],3)="BOT","BOT",""))</f>
        <v>POS</v>
      </c>
      <c r="AC107" s="9" t="s">
        <v>221</v>
      </c>
      <c r="AE107" s="22" t="str" cm="1">
        <f t="array" ref="AE107">_xlfn.IFS(OR(COUNTIF(P107:V107,Categorías!#REF!)&gt;0, COUNTIF(P107:V107,Categorías!#REF!)&gt;0), "Sprint 21",OR(COUNTIF(P107:V107,Categorías!#REF!)&gt;0, COUNTIF(P107:V107,Categorías!#REF!)&gt;0, COUNTIF(P107:V107,Categorías!#REF!)&gt;0), "Sprint 20",OR(COUNTIF(P107:V107,Categorías!#REF!)&gt;0, COUNTIF(P107:V107,Categorías!#REF!)&gt;0, COUNTIF(P107:V107,Categorías!#REF!)&gt;0), "Sprint 19",OR(COUNTIF(P107:V107,Categorías!#REF!)&gt;0, COUNTIF(P107:V107,Categorías!#REF!)&gt;0, COUNTIF(P107:V107,Categorías!#REF!)&gt;0), "Sprint 18",OR(COUNTIF(P107:V107,Categorías!#REF!)&gt;0, COUNTIF(P107:V107,Categorías!#REF!)&gt;0, COUNTIF(P107:V107,Categorías!#REF!)&gt;0, COUNTIF(P107:V107,Categorías!#REF!)&gt;0), "Sprint 17",OR(COUNTIF(P107:V107,Categorías!#REF!)&gt;0, COUNTIF(P107:V107,Categorías!#REF!)&gt;0, COUNTIF(P107:V107,Categorías!#REF!)&gt;0, COUNTIF(P107:V107,Categorías!#REF!)&gt;0), "Sprint 16", OR(COUNTIF(P107:V107,Categorías!#REF!)&gt;0, COUNTIF(P107:V107,Categorías!#REF!)&gt;0, COUNTIF(P107:V107,Categorías!#REF!)&gt;0, COUNTIF(P107:V107,Categorías!#REF!)&gt;0), "Sprint 16",TRUE, "")</f>
        <v/>
      </c>
      <c r="AF10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07" t="str" cm="1">
        <f t="array" ref="AG10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07" s="22" t="str" cm="1">
        <f t="array" ref="AH107">_xlfn.IFS(COUNTIF(P107:V107, Categorías!$A$2)&gt;0, "Funcional", COUNTIF(P107:V107, Categorías!$A$3)&gt;0, "Configuración", COUNTIF(P107:V107, Categorías!$A$4)&gt;0, "Look&amp;Feel", COUNTIF(P107:V107, Categorías!$A$5)&gt;0, "Integración", COUNTIF(P107:V107, Categorías!$A$6)&gt;0, "Contenido/Datos", COUNTIF(P107:V107, Categorías!$A$7)&gt;0, "Eventos_Cosmos", COUNTIF(P107:V107, Categorías!$A$8)&gt;0, "Eventos_iOT", COUNTIF(P107:V107, Categorías!$A$9)&gt;0, "Eventos_Fabric", TRUE, "No encontrado")</f>
        <v>Funcional</v>
      </c>
    </row>
    <row r="108" spans="1:34" ht="29.25">
      <c r="A108" s="40" t="s">
        <v>128</v>
      </c>
      <c r="B108" s="40" t="s">
        <v>875</v>
      </c>
      <c r="C108" s="40">
        <v>90190</v>
      </c>
      <c r="D108" s="40" t="s">
        <v>876</v>
      </c>
      <c r="E108" s="40">
        <v>87100</v>
      </c>
      <c r="F108" s="40" t="s">
        <v>1039</v>
      </c>
      <c r="G108" s="40" t="s">
        <v>1040</v>
      </c>
      <c r="H108" s="40" t="s">
        <v>37</v>
      </c>
      <c r="I108" s="40" t="s">
        <v>26</v>
      </c>
      <c r="J108" s="40" t="s">
        <v>866</v>
      </c>
      <c r="K108" s="40" t="s">
        <v>802</v>
      </c>
      <c r="L108" s="40" t="s">
        <v>1041</v>
      </c>
      <c r="M108" s="40"/>
      <c r="N108" s="40"/>
      <c r="O108" s="40"/>
      <c r="P108" s="40" t="s">
        <v>139</v>
      </c>
      <c r="Q108" s="40" t="s">
        <v>872</v>
      </c>
      <c r="R108" s="40"/>
      <c r="S108" s="40"/>
      <c r="T108" s="40"/>
      <c r="U108" s="40"/>
      <c r="V108" s="40"/>
      <c r="W108" s="40" t="s">
        <v>261</v>
      </c>
      <c r="X108" s="53">
        <v>45896.554166666669</v>
      </c>
      <c r="Y108" s="40" t="s">
        <v>806</v>
      </c>
      <c r="Z108" s="40"/>
      <c r="AA108" s="40"/>
      <c r="AB108" t="str">
        <f>IF(LEFT(Jira__325[[#This Row],[Resumen]],3)="POS","POS",IF(LEFT(Jira__325[[#This Row],[Resumen]],3)="BOT","BOT",""))</f>
        <v>POS</v>
      </c>
      <c r="AC108" s="9" t="s">
        <v>136</v>
      </c>
      <c r="AE108" s="22" t="str" cm="1">
        <f t="array" ref="AE108">_xlfn.IFS(OR(COUNTIF(P108:V108,Categorías!#REF!)&gt;0, COUNTIF(P108:V108,Categorías!#REF!)&gt;0), "Sprint 21",OR(COUNTIF(P108:V108,Categorías!#REF!)&gt;0, COUNTIF(P108:V108,Categorías!#REF!)&gt;0, COUNTIF(P108:V108,Categorías!#REF!)&gt;0), "Sprint 20",OR(COUNTIF(P108:V108,Categorías!#REF!)&gt;0, COUNTIF(P108:V108,Categorías!#REF!)&gt;0, COUNTIF(P108:V108,Categorías!#REF!)&gt;0), "Sprint 19",OR(COUNTIF(P108:V108,Categorías!#REF!)&gt;0, COUNTIF(P108:V108,Categorías!#REF!)&gt;0, COUNTIF(P108:V108,Categorías!#REF!)&gt;0), "Sprint 18",OR(COUNTIF(P108:V108,Categorías!#REF!)&gt;0, COUNTIF(P108:V108,Categorías!#REF!)&gt;0, COUNTIF(P108:V108,Categorías!#REF!)&gt;0, COUNTIF(P108:V108,Categorías!#REF!)&gt;0), "Sprint 17",OR(COUNTIF(P108:V108,Categorías!#REF!)&gt;0, COUNTIF(P108:V108,Categorías!#REF!)&gt;0, COUNTIF(P108:V108,Categorías!#REF!)&gt;0, COUNTIF(P108:V108,Categorías!#REF!)&gt;0), "Sprint 16", OR(COUNTIF(P108:V108,Categorías!#REF!)&gt;0, COUNTIF(P108:V108,Categorías!#REF!)&gt;0, COUNTIF(P108:V108,Categorías!#REF!)&gt;0, COUNTIF(P108:V108,Categorías!#REF!)&gt;0), "Sprint 16",TRUE, "")</f>
        <v/>
      </c>
      <c r="AF10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08" t="str" cm="1">
        <f t="array" ref="AG10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08" s="22" t="str" cm="1">
        <f t="array" ref="AH108">_xlfn.IFS(COUNTIF(P108:V108, Categorías!$A$2)&gt;0, "Funcional", COUNTIF(P108:V108, Categorías!$A$3)&gt;0, "Configuración", COUNTIF(P108:V108, Categorías!$A$4)&gt;0, "Look&amp;Feel", COUNTIF(P108:V108, Categorías!$A$5)&gt;0, "Integración", COUNTIF(P108:V108, Categorías!$A$6)&gt;0, "Contenido/Datos", COUNTIF(P108:V108, Categorías!$A$7)&gt;0, "Eventos_Cosmos", COUNTIF(P108:V108, Categorías!$A$8)&gt;0, "Eventos_iOT", COUNTIF(P108:V108, Categorías!$A$9)&gt;0, "Eventos_Fabric", TRUE, "No encontrado")</f>
        <v>Funcional</v>
      </c>
    </row>
    <row r="109" spans="1:34" ht="29.25">
      <c r="A109" s="40" t="s">
        <v>128</v>
      </c>
      <c r="B109" s="40" t="s">
        <v>878</v>
      </c>
      <c r="C109" s="40">
        <v>90143</v>
      </c>
      <c r="D109" s="40" t="s">
        <v>879</v>
      </c>
      <c r="E109" s="40">
        <v>87100</v>
      </c>
      <c r="F109" s="40" t="s">
        <v>1039</v>
      </c>
      <c r="G109" s="40" t="s">
        <v>1040</v>
      </c>
      <c r="H109" s="40" t="s">
        <v>37</v>
      </c>
      <c r="I109" s="40" t="s">
        <v>26</v>
      </c>
      <c r="J109" s="40" t="s">
        <v>866</v>
      </c>
      <c r="K109" s="40" t="s">
        <v>802</v>
      </c>
      <c r="L109" s="40" t="s">
        <v>1041</v>
      </c>
      <c r="M109" s="40"/>
      <c r="N109" s="40"/>
      <c r="O109" s="40"/>
      <c r="P109" s="40" t="s">
        <v>139</v>
      </c>
      <c r="Q109" s="40" t="s">
        <v>872</v>
      </c>
      <c r="R109" s="40" t="s">
        <v>226</v>
      </c>
      <c r="S109" s="40" t="s">
        <v>154</v>
      </c>
      <c r="T109" s="40"/>
      <c r="U109" s="40"/>
      <c r="V109" s="40"/>
      <c r="W109" s="40" t="s">
        <v>261</v>
      </c>
      <c r="X109" s="53">
        <v>45896.479861111111</v>
      </c>
      <c r="Y109" s="40" t="s">
        <v>806</v>
      </c>
      <c r="Z109" s="40"/>
      <c r="AA109" s="40"/>
      <c r="AB109" t="str">
        <f>IF(LEFT(Jira__325[[#This Row],[Resumen]],3)="POS","POS",IF(LEFT(Jira__325[[#This Row],[Resumen]],3)="BOT","BOT",""))</f>
        <v>POS</v>
      </c>
      <c r="AC109" s="9" t="s">
        <v>159</v>
      </c>
      <c r="AE109" s="22" t="str" cm="1">
        <f t="array" ref="AE109">_xlfn.IFS(OR(COUNTIF(P109:V109,Categorías!#REF!)&gt;0, COUNTIF(P109:V109,Categorías!#REF!)&gt;0), "Sprint 21",OR(COUNTIF(P109:V109,Categorías!#REF!)&gt;0, COUNTIF(P109:V109,Categorías!#REF!)&gt;0, COUNTIF(P109:V109,Categorías!#REF!)&gt;0), "Sprint 20",OR(COUNTIF(P109:V109,Categorías!#REF!)&gt;0, COUNTIF(P109:V109,Categorías!#REF!)&gt;0, COUNTIF(P109:V109,Categorías!#REF!)&gt;0), "Sprint 19",OR(COUNTIF(P109:V109,Categorías!#REF!)&gt;0, COUNTIF(P109:V109,Categorías!#REF!)&gt;0, COUNTIF(P109:V109,Categorías!#REF!)&gt;0), "Sprint 18",OR(COUNTIF(P109:V109,Categorías!#REF!)&gt;0, COUNTIF(P109:V109,Categorías!#REF!)&gt;0, COUNTIF(P109:V109,Categorías!#REF!)&gt;0, COUNTIF(P109:V109,Categorías!#REF!)&gt;0), "Sprint 17",OR(COUNTIF(P109:V109,Categorías!#REF!)&gt;0, COUNTIF(P109:V109,Categorías!#REF!)&gt;0, COUNTIF(P109:V109,Categorías!#REF!)&gt;0, COUNTIF(P109:V109,Categorías!#REF!)&gt;0), "Sprint 16", OR(COUNTIF(P109:V109,Categorías!#REF!)&gt;0, COUNTIF(P109:V109,Categorías!#REF!)&gt;0, COUNTIF(P109:V109,Categorías!#REF!)&gt;0, COUNTIF(P109:V109,Categorías!#REF!)&gt;0), "Sprint 16",TRUE, "")</f>
        <v/>
      </c>
      <c r="AF10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09" t="str" cm="1">
        <f t="array" ref="AG10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09" s="22" t="str" cm="1">
        <f t="array" ref="AH109">_xlfn.IFS(COUNTIF(P109:V109, Categorías!$A$2)&gt;0, "Funcional", COUNTIF(P109:V109, Categorías!$A$3)&gt;0, "Configuración", COUNTIF(P109:V109, Categorías!$A$4)&gt;0, "Look&amp;Feel", COUNTIF(P109:V109, Categorías!$A$5)&gt;0, "Integración", COUNTIF(P109:V109, Categorías!$A$6)&gt;0, "Contenido/Datos", COUNTIF(P109:V109, Categorías!$A$7)&gt;0, "Eventos_Cosmos", COUNTIF(P109:V109, Categorías!$A$8)&gt;0, "Eventos_iOT", COUNTIF(P109:V109, Categorías!$A$9)&gt;0, "Eventos_Fabric", TRUE, "No encontrado")</f>
        <v>Funcional</v>
      </c>
    </row>
    <row r="110" spans="1:34" ht="29.25">
      <c r="A110" s="40" t="s">
        <v>128</v>
      </c>
      <c r="B110" s="40" t="s">
        <v>880</v>
      </c>
      <c r="C110" s="40">
        <v>90021</v>
      </c>
      <c r="D110" s="40" t="s">
        <v>881</v>
      </c>
      <c r="E110" s="40">
        <v>87100</v>
      </c>
      <c r="F110" s="40" t="s">
        <v>1039</v>
      </c>
      <c r="G110" s="40" t="s">
        <v>1040</v>
      </c>
      <c r="H110" s="40" t="s">
        <v>37</v>
      </c>
      <c r="I110" s="40" t="s">
        <v>26</v>
      </c>
      <c r="J110" s="40" t="s">
        <v>866</v>
      </c>
      <c r="K110" s="40" t="s">
        <v>802</v>
      </c>
      <c r="L110" s="40" t="s">
        <v>1041</v>
      </c>
      <c r="M110" s="40"/>
      <c r="N110" s="40"/>
      <c r="O110" s="40"/>
      <c r="P110" s="40" t="s">
        <v>490</v>
      </c>
      <c r="Q110" s="40" t="s">
        <v>872</v>
      </c>
      <c r="R110" s="40" t="s">
        <v>204</v>
      </c>
      <c r="S110" s="40" t="s">
        <v>153</v>
      </c>
      <c r="T110" s="40" t="s">
        <v>226</v>
      </c>
      <c r="U110" s="40" t="s">
        <v>154</v>
      </c>
      <c r="V110" s="40"/>
      <c r="W110" s="40" t="s">
        <v>261</v>
      </c>
      <c r="X110" s="53">
        <v>45895.704861111109</v>
      </c>
      <c r="Y110" s="40" t="s">
        <v>806</v>
      </c>
      <c r="Z110" s="40"/>
      <c r="AA110" s="40"/>
      <c r="AB110" t="str">
        <f>IF(LEFT(Jira__325[[#This Row],[Resumen]],3)="POS","POS",IF(LEFT(Jira__325[[#This Row],[Resumen]],3)="BOT","BOT",""))</f>
        <v>BOT</v>
      </c>
      <c r="AC110" s="9" t="s">
        <v>159</v>
      </c>
      <c r="AE110" s="22" t="str" cm="1">
        <f t="array" ref="AE110">_xlfn.IFS(OR(COUNTIF(P110:V110,Categorías!#REF!)&gt;0, COUNTIF(P110:V110,Categorías!#REF!)&gt;0), "Sprint 21",OR(COUNTIF(P110:V110,Categorías!#REF!)&gt;0, COUNTIF(P110:V110,Categorías!#REF!)&gt;0, COUNTIF(P110:V110,Categorías!#REF!)&gt;0), "Sprint 20",OR(COUNTIF(P110:V110,Categorías!#REF!)&gt;0, COUNTIF(P110:V110,Categorías!#REF!)&gt;0, COUNTIF(P110:V110,Categorías!#REF!)&gt;0), "Sprint 19",OR(COUNTIF(P110:V110,Categorías!#REF!)&gt;0, COUNTIF(P110:V110,Categorías!#REF!)&gt;0, COUNTIF(P110:V110,Categorías!#REF!)&gt;0), "Sprint 18",OR(COUNTIF(P110:V110,Categorías!#REF!)&gt;0, COUNTIF(P110:V110,Categorías!#REF!)&gt;0, COUNTIF(P110:V110,Categorías!#REF!)&gt;0, COUNTIF(P110:V110,Categorías!#REF!)&gt;0), "Sprint 17",OR(COUNTIF(P110:V110,Categorías!#REF!)&gt;0, COUNTIF(P110:V110,Categorías!#REF!)&gt;0, COUNTIF(P110:V110,Categorías!#REF!)&gt;0, COUNTIF(P110:V110,Categorías!#REF!)&gt;0), "Sprint 16", OR(COUNTIF(P110:V110,Categorías!#REF!)&gt;0, COUNTIF(P110:V110,Categorías!#REF!)&gt;0, COUNTIF(P110:V110,Categorías!#REF!)&gt;0, COUNTIF(P110:V110,Categorías!#REF!)&gt;0), "Sprint 16",TRUE, "")</f>
        <v/>
      </c>
      <c r="AF11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0" t="str" cm="1">
        <f t="array" ref="AG11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0" s="22" t="str" cm="1">
        <f t="array" ref="AH110">_xlfn.IFS(COUNTIF(P110:V110, Categorías!$A$2)&gt;0, "Funcional", COUNTIF(P110:V110, Categorías!$A$3)&gt;0, "Configuración", COUNTIF(P110:V110, Categorías!$A$4)&gt;0, "Look&amp;Feel", COUNTIF(P110:V110, Categorías!$A$5)&gt;0, "Integración", COUNTIF(P110:V110, Categorías!$A$6)&gt;0, "Contenido/Datos", COUNTIF(P110:V110, Categorías!$A$7)&gt;0, "Eventos_Cosmos", COUNTIF(P110:V110, Categorías!$A$8)&gt;0, "Eventos_iOT", COUNTIF(P110:V110, Categorías!$A$9)&gt;0, "Eventos_Fabric", TRUE, "No encontrado")</f>
        <v>Contenido/Datos</v>
      </c>
    </row>
    <row r="111" spans="1:34" ht="29.25">
      <c r="A111" s="40" t="s">
        <v>128</v>
      </c>
      <c r="B111" s="40" t="s">
        <v>882</v>
      </c>
      <c r="C111" s="40">
        <v>90007</v>
      </c>
      <c r="D111" s="40" t="s">
        <v>883</v>
      </c>
      <c r="E111" s="40">
        <v>79941</v>
      </c>
      <c r="F111" s="40" t="s">
        <v>1045</v>
      </c>
      <c r="G111" s="40" t="s">
        <v>1046</v>
      </c>
      <c r="H111" s="40" t="s">
        <v>40</v>
      </c>
      <c r="I111" s="40" t="s">
        <v>27</v>
      </c>
      <c r="J111" s="40" t="s">
        <v>866</v>
      </c>
      <c r="K111" s="40" t="s">
        <v>802</v>
      </c>
      <c r="L111" s="40" t="s">
        <v>1041</v>
      </c>
      <c r="M111" s="40"/>
      <c r="N111" s="40"/>
      <c r="O111" s="40"/>
      <c r="P111" s="40" t="s">
        <v>132</v>
      </c>
      <c r="Q111" s="40" t="s">
        <v>872</v>
      </c>
      <c r="R111" s="40" t="s">
        <v>204</v>
      </c>
      <c r="S111" s="40" t="s">
        <v>154</v>
      </c>
      <c r="T111" s="40"/>
      <c r="U111" s="40"/>
      <c r="V111" s="40"/>
      <c r="W111" s="40" t="s">
        <v>261</v>
      </c>
      <c r="X111" s="53">
        <v>45895.677083333336</v>
      </c>
      <c r="Y111" s="40" t="s">
        <v>806</v>
      </c>
      <c r="Z111" s="40"/>
      <c r="AA111" s="40"/>
      <c r="AB111" t="str">
        <f>IF(LEFT(Jira__325[[#This Row],[Resumen]],3)="POS","POS",IF(LEFT(Jira__325[[#This Row],[Resumen]],3)="BOT","BOT",""))</f>
        <v>BOT</v>
      </c>
      <c r="AC111" s="9" t="s">
        <v>159</v>
      </c>
      <c r="AE111" s="22" t="str" cm="1">
        <f t="array" ref="AE111">_xlfn.IFS(OR(COUNTIF(P111:V111,Categorías!#REF!)&gt;0, COUNTIF(P111:V111,Categorías!#REF!)&gt;0), "Sprint 21",OR(COUNTIF(P111:V111,Categorías!#REF!)&gt;0, COUNTIF(P111:V111,Categorías!#REF!)&gt;0, COUNTIF(P111:V111,Categorías!#REF!)&gt;0), "Sprint 20",OR(COUNTIF(P111:V111,Categorías!#REF!)&gt;0, COUNTIF(P111:V111,Categorías!#REF!)&gt;0, COUNTIF(P111:V111,Categorías!#REF!)&gt;0), "Sprint 19",OR(COUNTIF(P111:V111,Categorías!#REF!)&gt;0, COUNTIF(P111:V111,Categorías!#REF!)&gt;0, COUNTIF(P111:V111,Categorías!#REF!)&gt;0), "Sprint 18",OR(COUNTIF(P111:V111,Categorías!#REF!)&gt;0, COUNTIF(P111:V111,Categorías!#REF!)&gt;0, COUNTIF(P111:V111,Categorías!#REF!)&gt;0, COUNTIF(P111:V111,Categorías!#REF!)&gt;0), "Sprint 17",OR(COUNTIF(P111:V111,Categorías!#REF!)&gt;0, COUNTIF(P111:V111,Categorías!#REF!)&gt;0, COUNTIF(P111:V111,Categorías!#REF!)&gt;0, COUNTIF(P111:V111,Categorías!#REF!)&gt;0), "Sprint 16", OR(COUNTIF(P111:V111,Categorías!#REF!)&gt;0, COUNTIF(P111:V111,Categorías!#REF!)&gt;0, COUNTIF(P111:V111,Categorías!#REF!)&gt;0, COUNTIF(P111:V111,Categorías!#REF!)&gt;0), "Sprint 16",TRUE, "")</f>
        <v/>
      </c>
      <c r="AF11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1" t="str" cm="1">
        <f t="array" ref="AG11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1" s="22" t="str" cm="1">
        <f t="array" ref="AH111">_xlfn.IFS(COUNTIF(P111:V111, Categorías!$A$2)&gt;0, "Funcional", COUNTIF(P111:V111, Categorías!$A$3)&gt;0, "Configuración", COUNTIF(P111:V111, Categorías!$A$4)&gt;0, "Look&amp;Feel", COUNTIF(P111:V111, Categorías!$A$5)&gt;0, "Integración", COUNTIF(P111:V111, Categorías!$A$6)&gt;0, "Contenido/Datos", COUNTIF(P111:V111, Categorías!$A$7)&gt;0, "Eventos_Cosmos", COUNTIF(P111:V111, Categorías!$A$8)&gt;0, "Eventos_iOT", COUNTIF(P111:V111, Categorías!$A$9)&gt;0, "Eventos_Fabric", TRUE, "No encontrado")</f>
        <v>Look&amp;Feel</v>
      </c>
    </row>
    <row r="112" spans="1:34" ht="29.25">
      <c r="A112" s="40" t="s">
        <v>128</v>
      </c>
      <c r="B112" s="40" t="s">
        <v>885</v>
      </c>
      <c r="C112" s="40">
        <v>89957</v>
      </c>
      <c r="D112" s="40" t="s">
        <v>886</v>
      </c>
      <c r="E112" s="40">
        <v>79941</v>
      </c>
      <c r="F112" s="40" t="s">
        <v>1045</v>
      </c>
      <c r="G112" s="40" t="s">
        <v>1046</v>
      </c>
      <c r="H112" s="40" t="s">
        <v>37</v>
      </c>
      <c r="I112" s="40" t="s">
        <v>26</v>
      </c>
      <c r="J112" s="40" t="s">
        <v>866</v>
      </c>
      <c r="K112" s="40" t="s">
        <v>802</v>
      </c>
      <c r="L112" s="40" t="s">
        <v>1041</v>
      </c>
      <c r="M112" s="40"/>
      <c r="N112" s="40"/>
      <c r="O112" s="40"/>
      <c r="P112" s="40" t="s">
        <v>139</v>
      </c>
      <c r="Q112" s="40" t="s">
        <v>867</v>
      </c>
      <c r="R112" s="40" t="s">
        <v>204</v>
      </c>
      <c r="S112" s="40" t="s">
        <v>154</v>
      </c>
      <c r="T112" s="40"/>
      <c r="U112" s="40"/>
      <c r="V112" s="40"/>
      <c r="W112" s="40" t="s">
        <v>217</v>
      </c>
      <c r="X112" s="53">
        <v>45895.569444444445</v>
      </c>
      <c r="Y112" s="40" t="s">
        <v>806</v>
      </c>
      <c r="Z112" s="40"/>
      <c r="AA112" s="40"/>
      <c r="AB112" t="str">
        <f>IF(LEFT(Jira__325[[#This Row],[Resumen]],3)="POS","POS",IF(LEFT(Jira__325[[#This Row],[Resumen]],3)="BOT","BOT",""))</f>
        <v>BOT</v>
      </c>
      <c r="AC112" s="9" t="s">
        <v>221</v>
      </c>
      <c r="AE112" s="22" t="str" cm="1">
        <f t="array" ref="AE112">_xlfn.IFS(OR(COUNTIF(P112:V112,Categorías!#REF!)&gt;0, COUNTIF(P112:V112,Categorías!#REF!)&gt;0), "Sprint 21",OR(COUNTIF(P112:V112,Categorías!#REF!)&gt;0, COUNTIF(P112:V112,Categorías!#REF!)&gt;0, COUNTIF(P112:V112,Categorías!#REF!)&gt;0), "Sprint 20",OR(COUNTIF(P112:V112,Categorías!#REF!)&gt;0, COUNTIF(P112:V112,Categorías!#REF!)&gt;0, COUNTIF(P112:V112,Categorías!#REF!)&gt;0), "Sprint 19",OR(COUNTIF(P112:V112,Categorías!#REF!)&gt;0, COUNTIF(P112:V112,Categorías!#REF!)&gt;0, COUNTIF(P112:V112,Categorías!#REF!)&gt;0), "Sprint 18",OR(COUNTIF(P112:V112,Categorías!#REF!)&gt;0, COUNTIF(P112:V112,Categorías!#REF!)&gt;0, COUNTIF(P112:V112,Categorías!#REF!)&gt;0, COUNTIF(P112:V112,Categorías!#REF!)&gt;0), "Sprint 17",OR(COUNTIF(P112:V112,Categorías!#REF!)&gt;0, COUNTIF(P112:V112,Categorías!#REF!)&gt;0, COUNTIF(P112:V112,Categorías!#REF!)&gt;0, COUNTIF(P112:V112,Categorías!#REF!)&gt;0), "Sprint 16", OR(COUNTIF(P112:V112,Categorías!#REF!)&gt;0, COUNTIF(P112:V112,Categorías!#REF!)&gt;0, COUNTIF(P112:V112,Categorías!#REF!)&gt;0, COUNTIF(P112:V112,Categorías!#REF!)&gt;0), "Sprint 16",TRUE, "")</f>
        <v/>
      </c>
      <c r="AF11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2" t="str" cm="1">
        <f t="array" ref="AG11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2" s="22" t="str" cm="1">
        <f t="array" ref="AH112">_xlfn.IFS(COUNTIF(P112:V112, Categorías!$A$2)&gt;0, "Funcional", COUNTIF(P112:V112, Categorías!$A$3)&gt;0, "Configuración", COUNTIF(P112:V112, Categorías!$A$4)&gt;0, "Look&amp;Feel", COUNTIF(P112:V112, Categorías!$A$5)&gt;0, "Integración", COUNTIF(P112:V112, Categorías!$A$6)&gt;0, "Contenido/Datos", COUNTIF(P112:V112, Categorías!$A$7)&gt;0, "Eventos_Cosmos", COUNTIF(P112:V112, Categorías!$A$8)&gt;0, "Eventos_iOT", COUNTIF(P112:V112, Categorías!$A$9)&gt;0, "Eventos_Fabric", TRUE, "No encontrado")</f>
        <v>Funcional</v>
      </c>
    </row>
    <row r="113" spans="1:34" ht="29.25">
      <c r="A113" s="40" t="s">
        <v>128</v>
      </c>
      <c r="B113" s="40" t="s">
        <v>887</v>
      </c>
      <c r="C113" s="40">
        <v>89615</v>
      </c>
      <c r="D113" s="40" t="s">
        <v>888</v>
      </c>
      <c r="E113" s="40">
        <v>79941</v>
      </c>
      <c r="F113" s="40" t="s">
        <v>1045</v>
      </c>
      <c r="G113" s="40" t="s">
        <v>1046</v>
      </c>
      <c r="H113" s="40" t="s">
        <v>37</v>
      </c>
      <c r="I113" s="40" t="s">
        <v>24</v>
      </c>
      <c r="J113" s="40" t="s">
        <v>866</v>
      </c>
      <c r="K113" s="40" t="s">
        <v>802</v>
      </c>
      <c r="L113" s="40" t="s">
        <v>753</v>
      </c>
      <c r="M113" s="40" t="s">
        <v>721</v>
      </c>
      <c r="N113" s="40" t="s">
        <v>637</v>
      </c>
      <c r="O113" s="40"/>
      <c r="P113" s="40" t="s">
        <v>139</v>
      </c>
      <c r="Q113" s="40" t="s">
        <v>889</v>
      </c>
      <c r="R113" s="40"/>
      <c r="S113" s="40"/>
      <c r="T113" s="40"/>
      <c r="U113" s="40"/>
      <c r="V113" s="40"/>
      <c r="W113" s="40" t="s">
        <v>324</v>
      </c>
      <c r="X113" s="53">
        <v>45894.412499999999</v>
      </c>
      <c r="Y113" s="40"/>
      <c r="Z113" s="40"/>
      <c r="AA113" s="40"/>
      <c r="AB113" t="str">
        <f>IF(LEFT(Jira__325[[#This Row],[Resumen]],3)="POS","POS",IF(LEFT(Jira__325[[#This Row],[Resumen]],3)="BOT","BOT",""))</f>
        <v>BOT</v>
      </c>
      <c r="AC113" s="9" t="s">
        <v>221</v>
      </c>
      <c r="AE113" s="22" t="str" cm="1">
        <f t="array" ref="AE113">_xlfn.IFS(OR(COUNTIF(P113:V113,Categorías!#REF!)&gt;0, COUNTIF(P113:V113,Categorías!#REF!)&gt;0), "Sprint 21",OR(COUNTIF(P113:V113,Categorías!#REF!)&gt;0, COUNTIF(P113:V113,Categorías!#REF!)&gt;0, COUNTIF(P113:V113,Categorías!#REF!)&gt;0), "Sprint 20",OR(COUNTIF(P113:V113,Categorías!#REF!)&gt;0, COUNTIF(P113:V113,Categorías!#REF!)&gt;0, COUNTIF(P113:V113,Categorías!#REF!)&gt;0), "Sprint 19",OR(COUNTIF(P113:V113,Categorías!#REF!)&gt;0, COUNTIF(P113:V113,Categorías!#REF!)&gt;0, COUNTIF(P113:V113,Categorías!#REF!)&gt;0), "Sprint 18",OR(COUNTIF(P113:V113,Categorías!#REF!)&gt;0, COUNTIF(P113:V113,Categorías!#REF!)&gt;0, COUNTIF(P113:V113,Categorías!#REF!)&gt;0, COUNTIF(P113:V113,Categorías!#REF!)&gt;0), "Sprint 17",OR(COUNTIF(P113:V113,Categorías!#REF!)&gt;0, COUNTIF(P113:V113,Categorías!#REF!)&gt;0, COUNTIF(P113:V113,Categorías!#REF!)&gt;0, COUNTIF(P113:V113,Categorías!#REF!)&gt;0), "Sprint 16", OR(COUNTIF(P113:V113,Categorías!#REF!)&gt;0, COUNTIF(P113:V113,Categorías!#REF!)&gt;0, COUNTIF(P113:V113,Categorías!#REF!)&gt;0, COUNTIF(P113:V113,Categorías!#REF!)&gt;0), "Sprint 16",TRUE, "")</f>
        <v/>
      </c>
      <c r="AF11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13" t="str" cm="1">
        <f t="array" ref="AG11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13" s="22" t="str" cm="1">
        <f t="array" ref="AH113">_xlfn.IFS(COUNTIF(P113:V113, Categorías!$A$2)&gt;0, "Funcional", COUNTIF(P113:V113, Categorías!$A$3)&gt;0, "Configuración", COUNTIF(P113:V113, Categorías!$A$4)&gt;0, "Look&amp;Feel", COUNTIF(P113:V113, Categorías!$A$5)&gt;0, "Integración", COUNTIF(P113:V113, Categorías!$A$6)&gt;0, "Contenido/Datos", COUNTIF(P113:V113, Categorías!$A$7)&gt;0, "Eventos_Cosmos", COUNTIF(P113:V113, Categorías!$A$8)&gt;0, "Eventos_iOT", COUNTIF(P113:V113, Categorías!$A$9)&gt;0, "Eventos_Fabric", TRUE, "No encontrado")</f>
        <v>Funcional</v>
      </c>
    </row>
    <row r="114" spans="1:34" ht="29.25">
      <c r="A114" s="40" t="s">
        <v>128</v>
      </c>
      <c r="B114" s="40" t="s">
        <v>890</v>
      </c>
      <c r="C114" s="40">
        <v>89612</v>
      </c>
      <c r="D114" s="40" t="s">
        <v>891</v>
      </c>
      <c r="E114" s="40">
        <v>79941</v>
      </c>
      <c r="F114" s="40" t="s">
        <v>1045</v>
      </c>
      <c r="G114" s="40" t="s">
        <v>1046</v>
      </c>
      <c r="H114" s="40" t="s">
        <v>36</v>
      </c>
      <c r="I114" s="40" t="s">
        <v>26</v>
      </c>
      <c r="J114" s="40" t="s">
        <v>866</v>
      </c>
      <c r="K114" s="40" t="s">
        <v>802</v>
      </c>
      <c r="L114" s="40" t="s">
        <v>753</v>
      </c>
      <c r="M114" s="40" t="s">
        <v>1041</v>
      </c>
      <c r="N114" s="40"/>
      <c r="O114" s="40"/>
      <c r="P114" s="40" t="s">
        <v>139</v>
      </c>
      <c r="Q114" s="40" t="s">
        <v>867</v>
      </c>
      <c r="R114" s="40" t="s">
        <v>204</v>
      </c>
      <c r="S114" s="40" t="s">
        <v>154</v>
      </c>
      <c r="T114" s="40"/>
      <c r="U114" s="40"/>
      <c r="V114" s="40"/>
      <c r="W114" s="40" t="s">
        <v>324</v>
      </c>
      <c r="X114" s="53">
        <v>45894.404166666667</v>
      </c>
      <c r="Y114" s="40" t="s">
        <v>710</v>
      </c>
      <c r="Z114" s="40"/>
      <c r="AA114" s="40"/>
      <c r="AB114" t="str">
        <f>IF(LEFT(Jira__325[[#This Row],[Resumen]],3)="POS","POS",IF(LEFT(Jira__325[[#This Row],[Resumen]],3)="BOT","BOT",""))</f>
        <v>BOT</v>
      </c>
      <c r="AC114" s="9" t="s">
        <v>617</v>
      </c>
      <c r="AE114" s="22" t="str" cm="1">
        <f t="array" ref="AE114">_xlfn.IFS(OR(COUNTIF(P114:V114,Categorías!#REF!)&gt;0, COUNTIF(P114:V114,Categorías!#REF!)&gt;0), "Sprint 21",OR(COUNTIF(P114:V114,Categorías!#REF!)&gt;0, COUNTIF(P114:V114,Categorías!#REF!)&gt;0, COUNTIF(P114:V114,Categorías!#REF!)&gt;0), "Sprint 20",OR(COUNTIF(P114:V114,Categorías!#REF!)&gt;0, COUNTIF(P114:V114,Categorías!#REF!)&gt;0, COUNTIF(P114:V114,Categorías!#REF!)&gt;0), "Sprint 19",OR(COUNTIF(P114:V114,Categorías!#REF!)&gt;0, COUNTIF(P114:V114,Categorías!#REF!)&gt;0, COUNTIF(P114:V114,Categorías!#REF!)&gt;0), "Sprint 18",OR(COUNTIF(P114:V114,Categorías!#REF!)&gt;0, COUNTIF(P114:V114,Categorías!#REF!)&gt;0, COUNTIF(P114:V114,Categorías!#REF!)&gt;0, COUNTIF(P114:V114,Categorías!#REF!)&gt;0), "Sprint 17",OR(COUNTIF(P114:V114,Categorías!#REF!)&gt;0, COUNTIF(P114:V114,Categorías!#REF!)&gt;0, COUNTIF(P114:V114,Categorías!#REF!)&gt;0, COUNTIF(P114:V114,Categorías!#REF!)&gt;0), "Sprint 16", OR(COUNTIF(P114:V114,Categorías!#REF!)&gt;0, COUNTIF(P114:V114,Categorías!#REF!)&gt;0, COUNTIF(P114:V114,Categorías!#REF!)&gt;0, COUNTIF(P114:V114,Categorías!#REF!)&gt;0), "Sprint 16",TRUE, "")</f>
        <v/>
      </c>
      <c r="AF11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114" t="str" cm="1">
        <f t="array" ref="AG11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114" s="22" t="str" cm="1">
        <f t="array" ref="AH114">_xlfn.IFS(COUNTIF(P114:V114, Categorías!$A$2)&gt;0, "Funcional", COUNTIF(P114:V114, Categorías!$A$3)&gt;0, "Configuración", COUNTIF(P114:V114, Categorías!$A$4)&gt;0, "Look&amp;Feel", COUNTIF(P114:V114, Categorías!$A$5)&gt;0, "Integración", COUNTIF(P114:V114, Categorías!$A$6)&gt;0, "Contenido/Datos", COUNTIF(P114:V114, Categorías!$A$7)&gt;0, "Eventos_Cosmos", COUNTIF(P114:V114, Categorías!$A$8)&gt;0, "Eventos_iOT", COUNTIF(P114:V114, Categorías!$A$9)&gt;0, "Eventos_Fabric", TRUE, "No encontrado")</f>
        <v>Funcional</v>
      </c>
    </row>
    <row r="115" spans="1:34" ht="29.25">
      <c r="A115" s="40" t="s">
        <v>128</v>
      </c>
      <c r="B115" s="40" t="s">
        <v>892</v>
      </c>
      <c r="C115" s="40">
        <v>89392</v>
      </c>
      <c r="D115" s="40" t="s">
        <v>893</v>
      </c>
      <c r="E115" s="40">
        <v>79941</v>
      </c>
      <c r="F115" s="40" t="s">
        <v>1045</v>
      </c>
      <c r="G115" s="40" t="s">
        <v>1046</v>
      </c>
      <c r="H115" s="40" t="s">
        <v>37</v>
      </c>
      <c r="I115" s="40" t="s">
        <v>26</v>
      </c>
      <c r="J115" s="40" t="s">
        <v>866</v>
      </c>
      <c r="K115" s="40" t="s">
        <v>802</v>
      </c>
      <c r="L115" s="40" t="s">
        <v>1041</v>
      </c>
      <c r="M115" s="40"/>
      <c r="N115" s="40"/>
      <c r="O115" s="40"/>
      <c r="P115" s="40" t="s">
        <v>132</v>
      </c>
      <c r="Q115" s="40" t="s">
        <v>889</v>
      </c>
      <c r="R115" s="40" t="s">
        <v>226</v>
      </c>
      <c r="S115" s="40" t="s">
        <v>154</v>
      </c>
      <c r="T115" s="40"/>
      <c r="U115" s="40"/>
      <c r="V115" s="40"/>
      <c r="W115" s="40" t="s">
        <v>217</v>
      </c>
      <c r="X115" s="53">
        <v>45891.636805555558</v>
      </c>
      <c r="Y115" s="40" t="s">
        <v>806</v>
      </c>
      <c r="Z115" s="40"/>
      <c r="AA115" s="40"/>
      <c r="AB115" t="str">
        <f>IF(LEFT(Jira__325[[#This Row],[Resumen]],3)="POS","POS",IF(LEFT(Jira__325[[#This Row],[Resumen]],3)="BOT","BOT",""))</f>
        <v>POS</v>
      </c>
      <c r="AC115" s="9" t="s">
        <v>136</v>
      </c>
      <c r="AE115" s="22" t="str" cm="1">
        <f t="array" ref="AE115">_xlfn.IFS(OR(COUNTIF(P115:V115,Categorías!#REF!)&gt;0, COUNTIF(P115:V115,Categorías!#REF!)&gt;0), "Sprint 21",OR(COUNTIF(P115:V115,Categorías!#REF!)&gt;0, COUNTIF(P115:V115,Categorías!#REF!)&gt;0, COUNTIF(P115:V115,Categorías!#REF!)&gt;0), "Sprint 20",OR(COUNTIF(P115:V115,Categorías!#REF!)&gt;0, COUNTIF(P115:V115,Categorías!#REF!)&gt;0, COUNTIF(P115:V115,Categorías!#REF!)&gt;0), "Sprint 19",OR(COUNTIF(P115:V115,Categorías!#REF!)&gt;0, COUNTIF(P115:V115,Categorías!#REF!)&gt;0, COUNTIF(P115:V115,Categorías!#REF!)&gt;0), "Sprint 18",OR(COUNTIF(P115:V115,Categorías!#REF!)&gt;0, COUNTIF(P115:V115,Categorías!#REF!)&gt;0, COUNTIF(P115:V115,Categorías!#REF!)&gt;0, COUNTIF(P115:V115,Categorías!#REF!)&gt;0), "Sprint 17",OR(COUNTIF(P115:V115,Categorías!#REF!)&gt;0, COUNTIF(P115:V115,Categorías!#REF!)&gt;0, COUNTIF(P115:V115,Categorías!#REF!)&gt;0, COUNTIF(P115:V115,Categorías!#REF!)&gt;0), "Sprint 16", OR(COUNTIF(P115:V115,Categorías!#REF!)&gt;0, COUNTIF(P115:V115,Categorías!#REF!)&gt;0, COUNTIF(P115:V115,Categorías!#REF!)&gt;0, COUNTIF(P115:V115,Categorías!#REF!)&gt;0), "Sprint 16",TRUE, "")</f>
        <v/>
      </c>
      <c r="AF11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5" t="str" cm="1">
        <f t="array" ref="AG11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5" s="22" t="str" cm="1">
        <f t="array" ref="AH115">_xlfn.IFS(COUNTIF(P115:V115, Categorías!$A$2)&gt;0, "Funcional", COUNTIF(P115:V115, Categorías!$A$3)&gt;0, "Configuración", COUNTIF(P115:V115, Categorías!$A$4)&gt;0, "Look&amp;Feel", COUNTIF(P115:V115, Categorías!$A$5)&gt;0, "Integración", COUNTIF(P115:V115, Categorías!$A$6)&gt;0, "Contenido/Datos", COUNTIF(P115:V115, Categorías!$A$7)&gt;0, "Eventos_Cosmos", COUNTIF(P115:V115, Categorías!$A$8)&gt;0, "Eventos_iOT", COUNTIF(P115:V115, Categorías!$A$9)&gt;0, "Eventos_Fabric", TRUE, "No encontrado")</f>
        <v>Look&amp;Feel</v>
      </c>
    </row>
    <row r="116" spans="1:34" ht="29.25">
      <c r="A116" s="40" t="s">
        <v>128</v>
      </c>
      <c r="B116" s="40" t="s">
        <v>894</v>
      </c>
      <c r="C116" s="40">
        <v>89363</v>
      </c>
      <c r="D116" s="40" t="s">
        <v>895</v>
      </c>
      <c r="E116" s="40">
        <v>79941</v>
      </c>
      <c r="F116" s="40" t="s">
        <v>1045</v>
      </c>
      <c r="G116" s="40" t="s">
        <v>1046</v>
      </c>
      <c r="H116" s="40" t="s">
        <v>37</v>
      </c>
      <c r="I116" s="40" t="s">
        <v>26</v>
      </c>
      <c r="J116" s="40" t="s">
        <v>866</v>
      </c>
      <c r="K116" s="40" t="s">
        <v>802</v>
      </c>
      <c r="L116" s="40" t="s">
        <v>1041</v>
      </c>
      <c r="M116" s="40"/>
      <c r="N116" s="40"/>
      <c r="O116" s="40"/>
      <c r="P116" s="40" t="s">
        <v>132</v>
      </c>
      <c r="Q116" s="40" t="s">
        <v>835</v>
      </c>
      <c r="R116" s="40" t="s">
        <v>889</v>
      </c>
      <c r="S116" s="40" t="s">
        <v>226</v>
      </c>
      <c r="T116" s="40" t="s">
        <v>154</v>
      </c>
      <c r="U116" s="40"/>
      <c r="V116" s="40"/>
      <c r="W116" s="40" t="s">
        <v>217</v>
      </c>
      <c r="X116" s="53">
        <v>45891.556944444441</v>
      </c>
      <c r="Y116" s="40" t="s">
        <v>806</v>
      </c>
      <c r="Z116" s="40" t="s">
        <v>760</v>
      </c>
      <c r="AA116" s="40"/>
      <c r="AB116" t="str">
        <f>IF(LEFT(Jira__325[[#This Row],[Resumen]],3)="POS","POS",IF(LEFT(Jira__325[[#This Row],[Resumen]],3)="BOT","BOT",""))</f>
        <v>POS</v>
      </c>
      <c r="AC116" s="12" t="s">
        <v>184</v>
      </c>
      <c r="AE116" s="22" t="str" cm="1">
        <f t="array" ref="AE116">_xlfn.IFS(OR(COUNTIF(P116:V116,Categorías!#REF!)&gt;0, COUNTIF(P116:V116,Categorías!#REF!)&gt;0), "Sprint 21",OR(COUNTIF(P116:V116,Categorías!#REF!)&gt;0, COUNTIF(P116:V116,Categorías!#REF!)&gt;0, COUNTIF(P116:V116,Categorías!#REF!)&gt;0), "Sprint 20",OR(COUNTIF(P116:V116,Categorías!#REF!)&gt;0, COUNTIF(P116:V116,Categorías!#REF!)&gt;0, COUNTIF(P116:V116,Categorías!#REF!)&gt;0), "Sprint 19",OR(COUNTIF(P116:V116,Categorías!#REF!)&gt;0, COUNTIF(P116:V116,Categorías!#REF!)&gt;0, COUNTIF(P116:V116,Categorías!#REF!)&gt;0), "Sprint 18",OR(COUNTIF(P116:V116,Categorías!#REF!)&gt;0, COUNTIF(P116:V116,Categorías!#REF!)&gt;0, COUNTIF(P116:V116,Categorías!#REF!)&gt;0, COUNTIF(P116:V116,Categorías!#REF!)&gt;0), "Sprint 17",OR(COUNTIF(P116:V116,Categorías!#REF!)&gt;0, COUNTIF(P116:V116,Categorías!#REF!)&gt;0, COUNTIF(P116:V116,Categorías!#REF!)&gt;0, COUNTIF(P116:V116,Categorías!#REF!)&gt;0), "Sprint 16", OR(COUNTIF(P116:V116,Categorías!#REF!)&gt;0, COUNTIF(P116:V116,Categorías!#REF!)&gt;0, COUNTIF(P116:V116,Categorías!#REF!)&gt;0, COUNTIF(P116:V116,Categorías!#REF!)&gt;0), "Sprint 16",TRUE, "")</f>
        <v/>
      </c>
      <c r="AF11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v0.7</v>
      </c>
      <c r="AG116" t="str" cm="1">
        <f t="array" ref="AG11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19</v>
      </c>
      <c r="AH116" s="22" t="str" cm="1">
        <f t="array" ref="AH116">_xlfn.IFS(COUNTIF(P116:V116, Categorías!$A$2)&gt;0, "Funcional", COUNTIF(P116:V116, Categorías!$A$3)&gt;0, "Configuración", COUNTIF(P116:V116, Categorías!$A$4)&gt;0, "Look&amp;Feel", COUNTIF(P116:V116, Categorías!$A$5)&gt;0, "Integración", COUNTIF(P116:V116, Categorías!$A$6)&gt;0, "Contenido/Datos", COUNTIF(P116:V116, Categorías!$A$7)&gt;0, "Eventos_Cosmos", COUNTIF(P116:V116, Categorías!$A$8)&gt;0, "Eventos_iOT", COUNTIF(P116:V116, Categorías!$A$9)&gt;0, "Eventos_Fabric", TRUE, "No encontrado")</f>
        <v>Look&amp;Feel</v>
      </c>
    </row>
    <row r="117" spans="1:34" ht="29.25">
      <c r="A117" s="40" t="s">
        <v>128</v>
      </c>
      <c r="B117" s="40" t="s">
        <v>896</v>
      </c>
      <c r="C117" s="40">
        <v>89203</v>
      </c>
      <c r="D117" s="40" t="s">
        <v>897</v>
      </c>
      <c r="E117" s="40">
        <v>87100</v>
      </c>
      <c r="F117" s="40" t="s">
        <v>1039</v>
      </c>
      <c r="G117" s="40" t="s">
        <v>1040</v>
      </c>
      <c r="H117" s="40" t="s">
        <v>36</v>
      </c>
      <c r="I117" s="40" t="s">
        <v>26</v>
      </c>
      <c r="J117" s="40" t="s">
        <v>866</v>
      </c>
      <c r="K117" s="40" t="s">
        <v>802</v>
      </c>
      <c r="L117" s="40" t="s">
        <v>753</v>
      </c>
      <c r="M117" s="40" t="s">
        <v>1041</v>
      </c>
      <c r="N117" s="40"/>
      <c r="O117" s="40"/>
      <c r="P117" s="40" t="s">
        <v>139</v>
      </c>
      <c r="Q117" s="40" t="s">
        <v>835</v>
      </c>
      <c r="R117" s="40" t="s">
        <v>898</v>
      </c>
      <c r="S117" s="40" t="s">
        <v>204</v>
      </c>
      <c r="T117" s="40" t="s">
        <v>154</v>
      </c>
      <c r="U117" s="40"/>
      <c r="V117" s="40"/>
      <c r="W117" s="40" t="s">
        <v>261</v>
      </c>
      <c r="X117" s="53">
        <v>45890.71597222222</v>
      </c>
      <c r="Y117" s="40" t="s">
        <v>760</v>
      </c>
      <c r="Z117" s="40" t="s">
        <v>710</v>
      </c>
      <c r="AA117" s="40"/>
      <c r="AB117" t="str">
        <f>IF(LEFT(Jira__325[[#This Row],[Resumen]],3)="POS","POS",IF(LEFT(Jira__325[[#This Row],[Resumen]],3)="BOT","BOT",""))</f>
        <v>BOT</v>
      </c>
      <c r="AC117" s="9" t="s">
        <v>136</v>
      </c>
      <c r="AE117" s="22" t="str" cm="1">
        <f t="array" ref="AE117">_xlfn.IFS(OR(COUNTIF(P117:V117,Categorías!#REF!)&gt;0, COUNTIF(P117:V117,Categorías!#REF!)&gt;0), "Sprint 21",OR(COUNTIF(P117:V117,Categorías!#REF!)&gt;0, COUNTIF(P117:V117,Categorías!#REF!)&gt;0, COUNTIF(P117:V117,Categorías!#REF!)&gt;0), "Sprint 20",OR(COUNTIF(P117:V117,Categorías!#REF!)&gt;0, COUNTIF(P117:V117,Categorías!#REF!)&gt;0, COUNTIF(P117:V117,Categorías!#REF!)&gt;0), "Sprint 19",OR(COUNTIF(P117:V117,Categorías!#REF!)&gt;0, COUNTIF(P117:V117,Categorías!#REF!)&gt;0, COUNTIF(P117:V117,Categorías!#REF!)&gt;0), "Sprint 18",OR(COUNTIF(P117:V117,Categorías!#REF!)&gt;0, COUNTIF(P117:V117,Categorías!#REF!)&gt;0, COUNTIF(P117:V117,Categorías!#REF!)&gt;0, COUNTIF(P117:V117,Categorías!#REF!)&gt;0), "Sprint 17",OR(COUNTIF(P117:V117,Categorías!#REF!)&gt;0, COUNTIF(P117:V117,Categorías!#REF!)&gt;0, COUNTIF(P117:V117,Categorías!#REF!)&gt;0, COUNTIF(P117:V117,Categorías!#REF!)&gt;0), "Sprint 16", OR(COUNTIF(P117:V117,Categorías!#REF!)&gt;0, COUNTIF(P117:V117,Categorías!#REF!)&gt;0, COUNTIF(P117:V117,Categorías!#REF!)&gt;0, COUNTIF(P117:V117,Categorías!#REF!)&gt;0), "Sprint 16",TRUE, "")</f>
        <v/>
      </c>
      <c r="AF11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v0.8</v>
      </c>
      <c r="AG117" t="str" cm="1">
        <f t="array" ref="AG11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20</v>
      </c>
      <c r="AH117" s="22" t="str" cm="1">
        <f t="array" ref="AH117">_xlfn.IFS(COUNTIF(P117:V117, Categorías!$A$2)&gt;0, "Funcional", COUNTIF(P117:V117, Categorías!$A$3)&gt;0, "Configuración", COUNTIF(P117:V117, Categorías!$A$4)&gt;0, "Look&amp;Feel", COUNTIF(P117:V117, Categorías!$A$5)&gt;0, "Integración", COUNTIF(P117:V117, Categorías!$A$6)&gt;0, "Contenido/Datos", COUNTIF(P117:V117, Categorías!$A$7)&gt;0, "Eventos_Cosmos", COUNTIF(P117:V117, Categorías!$A$8)&gt;0, "Eventos_iOT", COUNTIF(P117:V117, Categorías!$A$9)&gt;0, "Eventos_Fabric", TRUE, "No encontrado")</f>
        <v>Funcional</v>
      </c>
    </row>
    <row r="118" spans="1:34" ht="29.25">
      <c r="A118" s="40" t="s">
        <v>128</v>
      </c>
      <c r="B118" s="40" t="s">
        <v>899</v>
      </c>
      <c r="C118" s="40">
        <v>89184</v>
      </c>
      <c r="D118" s="40" t="s">
        <v>900</v>
      </c>
      <c r="E118" s="40">
        <v>79941</v>
      </c>
      <c r="F118" s="40" t="s">
        <v>1045</v>
      </c>
      <c r="G118" s="40" t="s">
        <v>1046</v>
      </c>
      <c r="H118" s="40" t="s">
        <v>37</v>
      </c>
      <c r="I118" s="40" t="s">
        <v>24</v>
      </c>
      <c r="J118" s="40" t="s">
        <v>866</v>
      </c>
      <c r="K118" s="40" t="s">
        <v>802</v>
      </c>
      <c r="L118" s="40" t="s">
        <v>753</v>
      </c>
      <c r="M118" s="40" t="s">
        <v>721</v>
      </c>
      <c r="N118" s="40" t="s">
        <v>637</v>
      </c>
      <c r="O118" s="40"/>
      <c r="P118" s="40" t="s">
        <v>139</v>
      </c>
      <c r="Q118" s="40" t="s">
        <v>898</v>
      </c>
      <c r="R118" s="40"/>
      <c r="S118" s="40"/>
      <c r="T118" s="40"/>
      <c r="U118" s="40"/>
      <c r="V118" s="40"/>
      <c r="W118" s="40" t="s">
        <v>261</v>
      </c>
      <c r="X118" s="53">
        <v>45890.659722222219</v>
      </c>
      <c r="Y118" s="40" t="s">
        <v>806</v>
      </c>
      <c r="Z118" s="40"/>
      <c r="AA118" s="40"/>
      <c r="AB118" t="str">
        <f>IF(LEFT(Jira__325[[#This Row],[Resumen]],3)="POS","POS",IF(LEFT(Jira__325[[#This Row],[Resumen]],3)="BOT","BOT",""))</f>
        <v>POS</v>
      </c>
      <c r="AC118" s="12" t="s">
        <v>184</v>
      </c>
      <c r="AE118" s="22" t="str" cm="1">
        <f t="array" ref="AE118">_xlfn.IFS(OR(COUNTIF(P118:V118,Categorías!#REF!)&gt;0, COUNTIF(P118:V118,Categorías!#REF!)&gt;0), "Sprint 21",OR(COUNTIF(P118:V118,Categorías!#REF!)&gt;0, COUNTIF(P118:V118,Categorías!#REF!)&gt;0, COUNTIF(P118:V118,Categorías!#REF!)&gt;0), "Sprint 20",OR(COUNTIF(P118:V118,Categorías!#REF!)&gt;0, COUNTIF(P118:V118,Categorías!#REF!)&gt;0, COUNTIF(P118:V118,Categorías!#REF!)&gt;0), "Sprint 19",OR(COUNTIF(P118:V118,Categorías!#REF!)&gt;0, COUNTIF(P118:V118,Categorías!#REF!)&gt;0, COUNTIF(P118:V118,Categorías!#REF!)&gt;0), "Sprint 18",OR(COUNTIF(P118:V118,Categorías!#REF!)&gt;0, COUNTIF(P118:V118,Categorías!#REF!)&gt;0, COUNTIF(P118:V118,Categorías!#REF!)&gt;0, COUNTIF(P118:V118,Categorías!#REF!)&gt;0), "Sprint 17",OR(COUNTIF(P118:V118,Categorías!#REF!)&gt;0, COUNTIF(P118:V118,Categorías!#REF!)&gt;0, COUNTIF(P118:V118,Categorías!#REF!)&gt;0, COUNTIF(P118:V118,Categorías!#REF!)&gt;0), "Sprint 16", OR(COUNTIF(P118:V118,Categorías!#REF!)&gt;0, COUNTIF(P118:V118,Categorías!#REF!)&gt;0, COUNTIF(P118:V118,Categorías!#REF!)&gt;0, COUNTIF(P118:V118,Categorías!#REF!)&gt;0), "Sprint 16",TRUE, "")</f>
        <v/>
      </c>
      <c r="AF118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8" t="str" cm="1">
        <f t="array" ref="AG11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8" s="22" t="str" cm="1">
        <f t="array" ref="AH118">_xlfn.IFS(COUNTIF(P118:V118, Categorías!$A$2)&gt;0, "Funcional", COUNTIF(P118:V118, Categorías!$A$3)&gt;0, "Configuración", COUNTIF(P118:V118, Categorías!$A$4)&gt;0, "Look&amp;Feel", COUNTIF(P118:V118, Categorías!$A$5)&gt;0, "Integración", COUNTIF(P118:V118, Categorías!$A$6)&gt;0, "Contenido/Datos", COUNTIF(P118:V118, Categorías!$A$7)&gt;0, "Eventos_Cosmos", COUNTIF(P118:V118, Categorías!$A$8)&gt;0, "Eventos_iOT", COUNTIF(P118:V118, Categorías!$A$9)&gt;0, "Eventos_Fabric", TRUE, "No encontrado")</f>
        <v>Funcional</v>
      </c>
    </row>
    <row r="119" spans="1:34" ht="29.25">
      <c r="A119" s="40" t="s">
        <v>128</v>
      </c>
      <c r="B119" s="40" t="s">
        <v>901</v>
      </c>
      <c r="C119" s="40">
        <v>89157</v>
      </c>
      <c r="D119" s="40" t="s">
        <v>902</v>
      </c>
      <c r="E119" s="40">
        <v>87100</v>
      </c>
      <c r="F119" s="40" t="s">
        <v>1039</v>
      </c>
      <c r="G119" s="40" t="s">
        <v>1040</v>
      </c>
      <c r="H119" s="40" t="s">
        <v>37</v>
      </c>
      <c r="I119" s="40" t="s">
        <v>27</v>
      </c>
      <c r="J119" s="40" t="s">
        <v>866</v>
      </c>
      <c r="K119" s="40" t="s">
        <v>802</v>
      </c>
      <c r="L119" s="40" t="s">
        <v>1041</v>
      </c>
      <c r="M119" s="40"/>
      <c r="N119" s="40"/>
      <c r="O119" s="40"/>
      <c r="P119" s="40" t="s">
        <v>139</v>
      </c>
      <c r="Q119" s="40" t="s">
        <v>889</v>
      </c>
      <c r="R119" s="40" t="s">
        <v>226</v>
      </c>
      <c r="S119" s="40" t="s">
        <v>154</v>
      </c>
      <c r="T119" s="40"/>
      <c r="U119" s="40"/>
      <c r="V119" s="40"/>
      <c r="W119" s="40" t="s">
        <v>217</v>
      </c>
      <c r="X119" s="53">
        <v>45890.584027777775</v>
      </c>
      <c r="Y119" s="40" t="s">
        <v>806</v>
      </c>
      <c r="Z119" s="40"/>
      <c r="AA119" s="40"/>
      <c r="AB119" t="str">
        <f>IF(LEFT(Jira__325[[#This Row],[Resumen]],3)="POS","POS",IF(LEFT(Jira__325[[#This Row],[Resumen]],3)="BOT","BOT",""))</f>
        <v>POS</v>
      </c>
      <c r="AC119" s="9" t="s">
        <v>159</v>
      </c>
      <c r="AE119" s="22" t="str" cm="1">
        <f t="array" ref="AE119">_xlfn.IFS(OR(COUNTIF(P119:V119,Categorías!#REF!)&gt;0, COUNTIF(P119:V119,Categorías!#REF!)&gt;0), "Sprint 21",OR(COUNTIF(P119:V119,Categorías!#REF!)&gt;0, COUNTIF(P119:V119,Categorías!#REF!)&gt;0, COUNTIF(P119:V119,Categorías!#REF!)&gt;0), "Sprint 20",OR(COUNTIF(P119:V119,Categorías!#REF!)&gt;0, COUNTIF(P119:V119,Categorías!#REF!)&gt;0, COUNTIF(P119:V119,Categorías!#REF!)&gt;0), "Sprint 19",OR(COUNTIF(P119:V119,Categorías!#REF!)&gt;0, COUNTIF(P119:V119,Categorías!#REF!)&gt;0, COUNTIF(P119:V119,Categorías!#REF!)&gt;0), "Sprint 18",OR(COUNTIF(P119:V119,Categorías!#REF!)&gt;0, COUNTIF(P119:V119,Categorías!#REF!)&gt;0, COUNTIF(P119:V119,Categorías!#REF!)&gt;0, COUNTIF(P119:V119,Categorías!#REF!)&gt;0), "Sprint 17",OR(COUNTIF(P119:V119,Categorías!#REF!)&gt;0, COUNTIF(P119:V119,Categorías!#REF!)&gt;0, COUNTIF(P119:V119,Categorías!#REF!)&gt;0, COUNTIF(P119:V119,Categorías!#REF!)&gt;0), "Sprint 16", OR(COUNTIF(P119:V119,Categorías!#REF!)&gt;0, COUNTIF(P119:V119,Categorías!#REF!)&gt;0, COUNTIF(P119:V119,Categorías!#REF!)&gt;0, COUNTIF(P119:V119,Categorías!#REF!)&gt;0), "Sprint 16",TRUE, "")</f>
        <v/>
      </c>
      <c r="AF119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19" t="str" cm="1">
        <f t="array" ref="AG11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19" s="22" t="str" cm="1">
        <f t="array" ref="AH119">_xlfn.IFS(COUNTIF(P119:V119, Categorías!$A$2)&gt;0, "Funcional", COUNTIF(P119:V119, Categorías!$A$3)&gt;0, "Configuración", COUNTIF(P119:V119, Categorías!$A$4)&gt;0, "Look&amp;Feel", COUNTIF(P119:V119, Categorías!$A$5)&gt;0, "Integración", COUNTIF(P119:V119, Categorías!$A$6)&gt;0, "Contenido/Datos", COUNTIF(P119:V119, Categorías!$A$7)&gt;0, "Eventos_Cosmos", COUNTIF(P119:V119, Categorías!$A$8)&gt;0, "Eventos_iOT", COUNTIF(P119:V119, Categorías!$A$9)&gt;0, "Eventos_Fabric", TRUE, "No encontrado")</f>
        <v>Funcional</v>
      </c>
    </row>
    <row r="120" spans="1:34" ht="29.25">
      <c r="A120" s="40" t="s">
        <v>128</v>
      </c>
      <c r="B120" s="40" t="s">
        <v>903</v>
      </c>
      <c r="C120" s="40">
        <v>88654</v>
      </c>
      <c r="D120" s="40" t="s">
        <v>904</v>
      </c>
      <c r="E120" s="40">
        <v>79941</v>
      </c>
      <c r="F120" s="40" t="s">
        <v>1045</v>
      </c>
      <c r="G120" s="40" t="s">
        <v>1046</v>
      </c>
      <c r="H120" s="40" t="s">
        <v>37</v>
      </c>
      <c r="I120" s="40" t="s">
        <v>27</v>
      </c>
      <c r="J120" s="40" t="s">
        <v>866</v>
      </c>
      <c r="K120" s="40" t="s">
        <v>802</v>
      </c>
      <c r="L120" s="40" t="s">
        <v>1041</v>
      </c>
      <c r="M120" s="40"/>
      <c r="N120" s="40"/>
      <c r="O120" s="40"/>
      <c r="P120" s="40" t="s">
        <v>139</v>
      </c>
      <c r="Q120" s="40" t="s">
        <v>835</v>
      </c>
      <c r="R120" s="40" t="s">
        <v>898</v>
      </c>
      <c r="S120" s="40" t="s">
        <v>204</v>
      </c>
      <c r="T120" s="40" t="s">
        <v>153</v>
      </c>
      <c r="U120" s="40" t="s">
        <v>226</v>
      </c>
      <c r="V120" s="40" t="s">
        <v>154</v>
      </c>
      <c r="W120" s="40" t="s">
        <v>261</v>
      </c>
      <c r="X120" s="53">
        <v>45889.6875</v>
      </c>
      <c r="Y120" s="40" t="s">
        <v>806</v>
      </c>
      <c r="Z120" s="40"/>
      <c r="AA120" s="40"/>
      <c r="AB120" t="str">
        <f>IF(LEFT(Jira__325[[#This Row],[Resumen]],3)="POS","POS",IF(LEFT(Jira__325[[#This Row],[Resumen]],3)="BOT","BOT",""))</f>
        <v>BOT</v>
      </c>
      <c r="AC120" s="12" t="s">
        <v>184</v>
      </c>
      <c r="AE120" s="22" t="str" cm="1">
        <f t="array" ref="AE120">_xlfn.IFS(OR(COUNTIF(P120:V120,Categorías!#REF!)&gt;0, COUNTIF(P120:V120,Categorías!#REF!)&gt;0), "Sprint 21",OR(COUNTIF(P120:V120,Categorías!#REF!)&gt;0, COUNTIF(P120:V120,Categorías!#REF!)&gt;0, COUNTIF(P120:V120,Categorías!#REF!)&gt;0), "Sprint 20",OR(COUNTIF(P120:V120,Categorías!#REF!)&gt;0, COUNTIF(P120:V120,Categorías!#REF!)&gt;0, COUNTIF(P120:V120,Categorías!#REF!)&gt;0), "Sprint 19",OR(COUNTIF(P120:V120,Categorías!#REF!)&gt;0, COUNTIF(P120:V120,Categorías!#REF!)&gt;0, COUNTIF(P120:V120,Categorías!#REF!)&gt;0), "Sprint 18",OR(COUNTIF(P120:V120,Categorías!#REF!)&gt;0, COUNTIF(P120:V120,Categorías!#REF!)&gt;0, COUNTIF(P120:V120,Categorías!#REF!)&gt;0, COUNTIF(P120:V120,Categorías!#REF!)&gt;0), "Sprint 17",OR(COUNTIF(P120:V120,Categorías!#REF!)&gt;0, COUNTIF(P120:V120,Categorías!#REF!)&gt;0, COUNTIF(P120:V120,Categorías!#REF!)&gt;0, COUNTIF(P120:V120,Categorías!#REF!)&gt;0), "Sprint 16", OR(COUNTIF(P120:V120,Categorías!#REF!)&gt;0, COUNTIF(P120:V120,Categorías!#REF!)&gt;0, COUNTIF(P120:V120,Categorías!#REF!)&gt;0, COUNTIF(P120:V120,Categorías!#REF!)&gt;0), "Sprint 16",TRUE, "")</f>
        <v/>
      </c>
      <c r="AF120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0" t="str" cm="1">
        <f t="array" ref="AG12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0" s="22" t="str" cm="1">
        <f t="array" ref="AH120">_xlfn.IFS(COUNTIF(P120:V120, Categorías!$A$2)&gt;0, "Funcional", COUNTIF(P120:V120, Categorías!$A$3)&gt;0, "Configuración", COUNTIF(P120:V120, Categorías!$A$4)&gt;0, "Look&amp;Feel", COUNTIF(P120:V120, Categorías!$A$5)&gt;0, "Integración", COUNTIF(P120:V120, Categorías!$A$6)&gt;0, "Contenido/Datos", COUNTIF(P120:V120, Categorías!$A$7)&gt;0, "Eventos_Cosmos", COUNTIF(P120:V120, Categorías!$A$8)&gt;0, "Eventos_iOT", COUNTIF(P120:V120, Categorías!$A$9)&gt;0, "Eventos_Fabric", TRUE, "No encontrado")</f>
        <v>Funcional</v>
      </c>
    </row>
    <row r="121" spans="1:34" ht="29.25">
      <c r="A121" s="40" t="s">
        <v>128</v>
      </c>
      <c r="B121" s="40" t="s">
        <v>905</v>
      </c>
      <c r="C121" s="40">
        <v>88521</v>
      </c>
      <c r="D121" s="40" t="s">
        <v>906</v>
      </c>
      <c r="E121" s="40">
        <v>87100</v>
      </c>
      <c r="F121" s="40" t="s">
        <v>1039</v>
      </c>
      <c r="G121" s="40" t="s">
        <v>1040</v>
      </c>
      <c r="H121" s="40" t="s">
        <v>37</v>
      </c>
      <c r="I121" s="40" t="s">
        <v>26</v>
      </c>
      <c r="J121" s="40" t="s">
        <v>866</v>
      </c>
      <c r="K121" s="40" t="s">
        <v>802</v>
      </c>
      <c r="L121" s="40" t="s">
        <v>1041</v>
      </c>
      <c r="M121" s="40"/>
      <c r="N121" s="40"/>
      <c r="O121" s="40"/>
      <c r="P121" s="40" t="s">
        <v>132</v>
      </c>
      <c r="Q121" s="40" t="s">
        <v>889</v>
      </c>
      <c r="R121" s="40"/>
      <c r="S121" s="40"/>
      <c r="T121" s="40"/>
      <c r="U121" s="40"/>
      <c r="V121" s="40"/>
      <c r="W121" s="40" t="s">
        <v>217</v>
      </c>
      <c r="X121" s="53">
        <v>45889.436805555553</v>
      </c>
      <c r="Y121" s="40" t="s">
        <v>806</v>
      </c>
      <c r="Z121" s="40"/>
      <c r="AA121" s="40"/>
      <c r="AB121" t="str">
        <f>IF(LEFT(Jira__325[[#This Row],[Resumen]],3)="POS","POS",IF(LEFT(Jira__325[[#This Row],[Resumen]],3)="BOT","BOT",""))</f>
        <v>POS</v>
      </c>
      <c r="AC121" s="12" t="s">
        <v>184</v>
      </c>
      <c r="AE121" s="22" t="str" cm="1">
        <f t="array" ref="AE121">_xlfn.IFS(OR(COUNTIF(P121:V121,Categorías!#REF!)&gt;0, COUNTIF(P121:V121,Categorías!#REF!)&gt;0), "Sprint 21",OR(COUNTIF(P121:V121,Categorías!#REF!)&gt;0, COUNTIF(P121:V121,Categorías!#REF!)&gt;0, COUNTIF(P121:V121,Categorías!#REF!)&gt;0), "Sprint 20",OR(COUNTIF(P121:V121,Categorías!#REF!)&gt;0, COUNTIF(P121:V121,Categorías!#REF!)&gt;0, COUNTIF(P121:V121,Categorías!#REF!)&gt;0), "Sprint 19",OR(COUNTIF(P121:V121,Categorías!#REF!)&gt;0, COUNTIF(P121:V121,Categorías!#REF!)&gt;0, COUNTIF(P121:V121,Categorías!#REF!)&gt;0), "Sprint 18",OR(COUNTIF(P121:V121,Categorías!#REF!)&gt;0, COUNTIF(P121:V121,Categorías!#REF!)&gt;0, COUNTIF(P121:V121,Categorías!#REF!)&gt;0, COUNTIF(P121:V121,Categorías!#REF!)&gt;0), "Sprint 17",OR(COUNTIF(P121:V121,Categorías!#REF!)&gt;0, COUNTIF(P121:V121,Categorías!#REF!)&gt;0, COUNTIF(P121:V121,Categorías!#REF!)&gt;0, COUNTIF(P121:V121,Categorías!#REF!)&gt;0), "Sprint 16", OR(COUNTIF(P121:V121,Categorías!#REF!)&gt;0, COUNTIF(P121:V121,Categorías!#REF!)&gt;0, COUNTIF(P121:V121,Categorías!#REF!)&gt;0, COUNTIF(P121:V121,Categorías!#REF!)&gt;0), "Sprint 16",TRUE, "")</f>
        <v/>
      </c>
      <c r="AF121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1" t="str" cm="1">
        <f t="array" ref="AG12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1" s="22" t="str" cm="1">
        <f t="array" ref="AH121">_xlfn.IFS(COUNTIF(P121:V121, Categorías!$A$2)&gt;0, "Funcional", COUNTIF(P121:V121, Categorías!$A$3)&gt;0, "Configuración", COUNTIF(P121:V121, Categorías!$A$4)&gt;0, "Look&amp;Feel", COUNTIF(P121:V121, Categorías!$A$5)&gt;0, "Integración", COUNTIF(P121:V121, Categorías!$A$6)&gt;0, "Contenido/Datos", COUNTIF(P121:V121, Categorías!$A$7)&gt;0, "Eventos_Cosmos", COUNTIF(P121:V121, Categorías!$A$8)&gt;0, "Eventos_iOT", COUNTIF(P121:V121, Categorías!$A$9)&gt;0, "Eventos_Fabric", TRUE, "No encontrado")</f>
        <v>Look&amp;Feel</v>
      </c>
    </row>
    <row r="122" spans="1:34" ht="29.25">
      <c r="A122" s="40" t="s">
        <v>128</v>
      </c>
      <c r="B122" s="40" t="s">
        <v>907</v>
      </c>
      <c r="C122" s="40">
        <v>88313</v>
      </c>
      <c r="D122" s="40" t="s">
        <v>908</v>
      </c>
      <c r="E122" s="40">
        <v>79941</v>
      </c>
      <c r="F122" s="40" t="s">
        <v>1045</v>
      </c>
      <c r="G122" s="40" t="s">
        <v>1046</v>
      </c>
      <c r="H122" s="40" t="s">
        <v>37</v>
      </c>
      <c r="I122" s="40" t="s">
        <v>26</v>
      </c>
      <c r="J122" s="40" t="s">
        <v>866</v>
      </c>
      <c r="K122" s="40" t="s">
        <v>802</v>
      </c>
      <c r="L122" s="40" t="s">
        <v>1041</v>
      </c>
      <c r="M122" s="40"/>
      <c r="N122" s="40"/>
      <c r="O122" s="40"/>
      <c r="P122" s="40" t="s">
        <v>132</v>
      </c>
      <c r="Q122" s="40" t="s">
        <v>889</v>
      </c>
      <c r="R122" s="40"/>
      <c r="S122" s="40"/>
      <c r="T122" s="40"/>
      <c r="U122" s="40"/>
      <c r="V122" s="40"/>
      <c r="W122" s="40" t="s">
        <v>217</v>
      </c>
      <c r="X122" s="53">
        <v>45888.539583333331</v>
      </c>
      <c r="Y122" s="40" t="s">
        <v>806</v>
      </c>
      <c r="Z122" s="40"/>
      <c r="AA122" s="40"/>
      <c r="AB122" t="str">
        <f>IF(LEFT(Jira__325[[#This Row],[Resumen]],3)="POS","POS",IF(LEFT(Jira__325[[#This Row],[Resumen]],3)="BOT","BOT",""))</f>
        <v>POS</v>
      </c>
      <c r="AC122" s="9" t="s">
        <v>163</v>
      </c>
      <c r="AE122" s="22" t="str" cm="1">
        <f t="array" ref="AE122">_xlfn.IFS(OR(COUNTIF(P122:V122,Categorías!#REF!)&gt;0, COUNTIF(P122:V122,Categorías!#REF!)&gt;0), "Sprint 21",OR(COUNTIF(P122:V122,Categorías!#REF!)&gt;0, COUNTIF(P122:V122,Categorías!#REF!)&gt;0, COUNTIF(P122:V122,Categorías!#REF!)&gt;0), "Sprint 20",OR(COUNTIF(P122:V122,Categorías!#REF!)&gt;0, COUNTIF(P122:V122,Categorías!#REF!)&gt;0, COUNTIF(P122:V122,Categorías!#REF!)&gt;0), "Sprint 19",OR(COUNTIF(P122:V122,Categorías!#REF!)&gt;0, COUNTIF(P122:V122,Categorías!#REF!)&gt;0, COUNTIF(P122:V122,Categorías!#REF!)&gt;0), "Sprint 18",OR(COUNTIF(P122:V122,Categorías!#REF!)&gt;0, COUNTIF(P122:V122,Categorías!#REF!)&gt;0, COUNTIF(P122:V122,Categorías!#REF!)&gt;0, COUNTIF(P122:V122,Categorías!#REF!)&gt;0), "Sprint 17",OR(COUNTIF(P122:V122,Categorías!#REF!)&gt;0, COUNTIF(P122:V122,Categorías!#REF!)&gt;0, COUNTIF(P122:V122,Categorías!#REF!)&gt;0, COUNTIF(P122:V122,Categorías!#REF!)&gt;0), "Sprint 16", OR(COUNTIF(P122:V122,Categorías!#REF!)&gt;0, COUNTIF(P122:V122,Categorías!#REF!)&gt;0, COUNTIF(P122:V122,Categorías!#REF!)&gt;0, COUNTIF(P122:V122,Categorías!#REF!)&gt;0), "Sprint 16",TRUE, "")</f>
        <v/>
      </c>
      <c r="AF122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2" t="str" cm="1">
        <f t="array" ref="AG12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2" s="22" t="str" cm="1">
        <f t="array" ref="AH122">_xlfn.IFS(COUNTIF(P122:V122, Categorías!$A$2)&gt;0, "Funcional", COUNTIF(P122:V122, Categorías!$A$3)&gt;0, "Configuración", COUNTIF(P122:V122, Categorías!$A$4)&gt;0, "Look&amp;Feel", COUNTIF(P122:V122, Categorías!$A$5)&gt;0, "Integración", COUNTIF(P122:V122, Categorías!$A$6)&gt;0, "Contenido/Datos", COUNTIF(P122:V122, Categorías!$A$7)&gt;0, "Eventos_Cosmos", COUNTIF(P122:V122, Categorías!$A$8)&gt;0, "Eventos_iOT", COUNTIF(P122:V122, Categorías!$A$9)&gt;0, "Eventos_Fabric", TRUE, "No encontrado")</f>
        <v>Look&amp;Feel</v>
      </c>
    </row>
    <row r="123" spans="1:34" ht="29.25">
      <c r="A123" s="40" t="s">
        <v>128</v>
      </c>
      <c r="B123" s="40" t="s">
        <v>909</v>
      </c>
      <c r="C123" s="40">
        <v>86768</v>
      </c>
      <c r="D123" s="40" t="s">
        <v>910</v>
      </c>
      <c r="E123" s="40">
        <v>79941</v>
      </c>
      <c r="F123" s="40" t="s">
        <v>1045</v>
      </c>
      <c r="G123" s="40" t="s">
        <v>1046</v>
      </c>
      <c r="H123" s="40" t="s">
        <v>37</v>
      </c>
      <c r="I123" s="40" t="s">
        <v>26</v>
      </c>
      <c r="J123" s="40" t="s">
        <v>866</v>
      </c>
      <c r="K123" s="40" t="s">
        <v>802</v>
      </c>
      <c r="L123" s="40" t="s">
        <v>1041</v>
      </c>
      <c r="M123" s="40"/>
      <c r="N123" s="40"/>
      <c r="O123" s="40"/>
      <c r="P123" s="40" t="s">
        <v>490</v>
      </c>
      <c r="Q123" s="40" t="s">
        <v>803</v>
      </c>
      <c r="R123" s="40" t="s">
        <v>911</v>
      </c>
      <c r="S123" s="40" t="s">
        <v>226</v>
      </c>
      <c r="T123" s="40" t="s">
        <v>912</v>
      </c>
      <c r="U123" s="40" t="s">
        <v>154</v>
      </c>
      <c r="V123" s="40"/>
      <c r="W123" s="40" t="s">
        <v>217</v>
      </c>
      <c r="X123" s="53">
        <v>45883.369444444441</v>
      </c>
      <c r="Y123" s="40" t="s">
        <v>806</v>
      </c>
      <c r="Z123" s="40"/>
      <c r="AA123" s="40"/>
      <c r="AB123" t="str">
        <f>IF(LEFT(Jira__325[[#This Row],[Resumen]],3)="POS","POS",IF(LEFT(Jira__325[[#This Row],[Resumen]],3)="BOT","BOT",""))</f>
        <v>POS</v>
      </c>
      <c r="AC123" s="9" t="s">
        <v>163</v>
      </c>
      <c r="AE123" s="22" t="str" cm="1">
        <f t="array" ref="AE123">_xlfn.IFS(OR(COUNTIF(P123:V123,Categorías!#REF!)&gt;0, COUNTIF(P123:V123,Categorías!#REF!)&gt;0), "Sprint 21",OR(COUNTIF(P123:V123,Categorías!#REF!)&gt;0, COUNTIF(P123:V123,Categorías!#REF!)&gt;0, COUNTIF(P123:V123,Categorías!#REF!)&gt;0), "Sprint 20",OR(COUNTIF(P123:V123,Categorías!#REF!)&gt;0, COUNTIF(P123:V123,Categorías!#REF!)&gt;0, COUNTIF(P123:V123,Categorías!#REF!)&gt;0), "Sprint 19",OR(COUNTIF(P123:V123,Categorías!#REF!)&gt;0, COUNTIF(P123:V123,Categorías!#REF!)&gt;0, COUNTIF(P123:V123,Categorías!#REF!)&gt;0), "Sprint 18",OR(COUNTIF(P123:V123,Categorías!#REF!)&gt;0, COUNTIF(P123:V123,Categorías!#REF!)&gt;0, COUNTIF(P123:V123,Categorías!#REF!)&gt;0, COUNTIF(P123:V123,Categorías!#REF!)&gt;0), "Sprint 17",OR(COUNTIF(P123:V123,Categorías!#REF!)&gt;0, COUNTIF(P123:V123,Categorías!#REF!)&gt;0, COUNTIF(P123:V123,Categorías!#REF!)&gt;0, COUNTIF(P123:V123,Categorías!#REF!)&gt;0), "Sprint 16", OR(COUNTIF(P123:V123,Categorías!#REF!)&gt;0, COUNTIF(P123:V123,Categorías!#REF!)&gt;0, COUNTIF(P123:V123,Categorías!#REF!)&gt;0, COUNTIF(P123:V123,Categorías!#REF!)&gt;0), "Sprint 16",TRUE, "")</f>
        <v/>
      </c>
      <c r="AF123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3" t="str" cm="1">
        <f t="array" ref="AG12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3" s="22" t="str" cm="1">
        <f t="array" ref="AH123">_xlfn.IFS(COUNTIF(P123:V123, Categorías!$A$2)&gt;0, "Funcional", COUNTIF(P123:V123, Categorías!$A$3)&gt;0, "Configuración", COUNTIF(P123:V123, Categorías!$A$4)&gt;0, "Look&amp;Feel", COUNTIF(P123:V123, Categorías!$A$5)&gt;0, "Integración", COUNTIF(P123:V123, Categorías!$A$6)&gt;0, "Contenido/Datos", COUNTIF(P123:V123, Categorías!$A$7)&gt;0, "Eventos_Cosmos", COUNTIF(P123:V123, Categorías!$A$8)&gt;0, "Eventos_iOT", COUNTIF(P123:V123, Categorías!$A$9)&gt;0, "Eventos_Fabric", TRUE, "No encontrado")</f>
        <v>Contenido/Datos</v>
      </c>
    </row>
    <row r="124" spans="1:34" ht="29.25">
      <c r="A124" s="40" t="s">
        <v>128</v>
      </c>
      <c r="B124" s="40" t="s">
        <v>913</v>
      </c>
      <c r="C124" s="40">
        <v>86764</v>
      </c>
      <c r="D124" s="40" t="s">
        <v>914</v>
      </c>
      <c r="E124" s="40">
        <v>79941</v>
      </c>
      <c r="F124" s="40" t="s">
        <v>1045</v>
      </c>
      <c r="G124" s="40" t="s">
        <v>1046</v>
      </c>
      <c r="H124" s="40" t="s">
        <v>37</v>
      </c>
      <c r="I124" s="40" t="s">
        <v>26</v>
      </c>
      <c r="J124" s="40" t="s">
        <v>866</v>
      </c>
      <c r="K124" s="40" t="s">
        <v>802</v>
      </c>
      <c r="L124" s="40" t="s">
        <v>1041</v>
      </c>
      <c r="M124" s="40"/>
      <c r="N124" s="40"/>
      <c r="O124" s="40"/>
      <c r="P124" s="40" t="s">
        <v>490</v>
      </c>
      <c r="Q124" s="40" t="s">
        <v>911</v>
      </c>
      <c r="R124" s="40" t="s">
        <v>226</v>
      </c>
      <c r="S124" s="40" t="s">
        <v>912</v>
      </c>
      <c r="T124" s="40" t="s">
        <v>154</v>
      </c>
      <c r="U124" s="40"/>
      <c r="V124" s="40"/>
      <c r="W124" s="40" t="s">
        <v>217</v>
      </c>
      <c r="X124" s="53">
        <v>45883.339583333334</v>
      </c>
      <c r="Y124" s="40" t="s">
        <v>806</v>
      </c>
      <c r="Z124" s="40"/>
      <c r="AA124" s="40"/>
      <c r="AB124" t="str">
        <f>IF(LEFT(Jira__325[[#This Row],[Resumen]],3)="POS","POS",IF(LEFT(Jira__325[[#This Row],[Resumen]],3)="BOT","BOT",""))</f>
        <v>POS</v>
      </c>
      <c r="AC124" s="9" t="s">
        <v>163</v>
      </c>
      <c r="AE124" s="22" t="str" cm="1">
        <f t="array" ref="AE124">_xlfn.IFS(OR(COUNTIF(P124:V124,Categorías!#REF!)&gt;0, COUNTIF(P124:V124,Categorías!#REF!)&gt;0), "Sprint 21",OR(COUNTIF(P124:V124,Categorías!#REF!)&gt;0, COUNTIF(P124:V124,Categorías!#REF!)&gt;0, COUNTIF(P124:V124,Categorías!#REF!)&gt;0), "Sprint 20",OR(COUNTIF(P124:V124,Categorías!#REF!)&gt;0, COUNTIF(P124:V124,Categorías!#REF!)&gt;0, COUNTIF(P124:V124,Categorías!#REF!)&gt;0), "Sprint 19",OR(COUNTIF(P124:V124,Categorías!#REF!)&gt;0, COUNTIF(P124:V124,Categorías!#REF!)&gt;0, COUNTIF(P124:V124,Categorías!#REF!)&gt;0), "Sprint 18",OR(COUNTIF(P124:V124,Categorías!#REF!)&gt;0, COUNTIF(P124:V124,Categorías!#REF!)&gt;0, COUNTIF(P124:V124,Categorías!#REF!)&gt;0, COUNTIF(P124:V124,Categorías!#REF!)&gt;0), "Sprint 17",OR(COUNTIF(P124:V124,Categorías!#REF!)&gt;0, COUNTIF(P124:V124,Categorías!#REF!)&gt;0, COUNTIF(P124:V124,Categorías!#REF!)&gt;0, COUNTIF(P124:V124,Categorías!#REF!)&gt;0), "Sprint 16", OR(COUNTIF(P124:V124,Categorías!#REF!)&gt;0, COUNTIF(P124:V124,Categorías!#REF!)&gt;0, COUNTIF(P124:V124,Categorías!#REF!)&gt;0, COUNTIF(P124:V124,Categorías!#REF!)&gt;0), "Sprint 16",TRUE, "")</f>
        <v/>
      </c>
      <c r="AF124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4" t="str" cm="1">
        <f t="array" ref="AG12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4" s="22" t="str" cm="1">
        <f t="array" ref="AH124">_xlfn.IFS(COUNTIF(P124:V124, Categorías!$A$2)&gt;0, "Funcional", COUNTIF(P124:V124, Categorías!$A$3)&gt;0, "Configuración", COUNTIF(P124:V124, Categorías!$A$4)&gt;0, "Look&amp;Feel", COUNTIF(P124:V124, Categorías!$A$5)&gt;0, "Integración", COUNTIF(P124:V124, Categorías!$A$6)&gt;0, "Contenido/Datos", COUNTIF(P124:V124, Categorías!$A$7)&gt;0, "Eventos_Cosmos", COUNTIF(P124:V124, Categorías!$A$8)&gt;0, "Eventos_iOT", COUNTIF(P124:V124, Categorías!$A$9)&gt;0, "Eventos_Fabric", TRUE, "No encontrado")</f>
        <v>Contenido/Datos</v>
      </c>
    </row>
    <row r="125" spans="1:34" ht="29.25">
      <c r="A125" s="40" t="s">
        <v>128</v>
      </c>
      <c r="B125" s="40" t="s">
        <v>915</v>
      </c>
      <c r="C125" s="40">
        <v>86759</v>
      </c>
      <c r="D125" s="40" t="s">
        <v>916</v>
      </c>
      <c r="E125" s="40">
        <v>79941</v>
      </c>
      <c r="F125" s="40" t="s">
        <v>1045</v>
      </c>
      <c r="G125" s="40" t="s">
        <v>1046</v>
      </c>
      <c r="H125" s="40" t="s">
        <v>37</v>
      </c>
      <c r="I125" s="40" t="s">
        <v>26</v>
      </c>
      <c r="J125" s="40" t="s">
        <v>917</v>
      </c>
      <c r="K125" s="40" t="s">
        <v>866</v>
      </c>
      <c r="L125" s="40" t="s">
        <v>802</v>
      </c>
      <c r="M125" s="40" t="s">
        <v>1041</v>
      </c>
      <c r="N125" s="40"/>
      <c r="O125" s="40"/>
      <c r="P125" s="40" t="s">
        <v>139</v>
      </c>
      <c r="Q125" s="40" t="s">
        <v>911</v>
      </c>
      <c r="R125" s="40" t="s">
        <v>226</v>
      </c>
      <c r="S125" s="40" t="s">
        <v>154</v>
      </c>
      <c r="T125" s="40"/>
      <c r="U125" s="40"/>
      <c r="V125" s="40"/>
      <c r="W125" s="40" t="s">
        <v>217</v>
      </c>
      <c r="X125" s="53">
        <v>45883.322916666664</v>
      </c>
      <c r="Y125" s="40" t="s">
        <v>805</v>
      </c>
      <c r="Z125" s="40"/>
      <c r="AA125" s="40"/>
      <c r="AB125" t="str">
        <f>IF(LEFT(Jira__325[[#This Row],[Resumen]],3)="POS","POS",IF(LEFT(Jira__325[[#This Row],[Resumen]],3)="BOT","BOT",""))</f>
        <v>POS</v>
      </c>
      <c r="AC125" s="9" t="s">
        <v>163</v>
      </c>
      <c r="AE125" s="22" t="str" cm="1">
        <f t="array" ref="AE125">_xlfn.IFS(OR(COUNTIF(P125:V125,Categorías!#REF!)&gt;0, COUNTIF(P125:V125,Categorías!#REF!)&gt;0), "Sprint 21",OR(COUNTIF(P125:V125,Categorías!#REF!)&gt;0, COUNTIF(P125:V125,Categorías!#REF!)&gt;0, COUNTIF(P125:V125,Categorías!#REF!)&gt;0), "Sprint 20",OR(COUNTIF(P125:V125,Categorías!#REF!)&gt;0, COUNTIF(P125:V125,Categorías!#REF!)&gt;0, COUNTIF(P125:V125,Categorías!#REF!)&gt;0), "Sprint 19",OR(COUNTIF(P125:V125,Categorías!#REF!)&gt;0, COUNTIF(P125:V125,Categorías!#REF!)&gt;0, COUNTIF(P125:V125,Categorías!#REF!)&gt;0), "Sprint 18",OR(COUNTIF(P125:V125,Categorías!#REF!)&gt;0, COUNTIF(P125:V125,Categorías!#REF!)&gt;0, COUNTIF(P125:V125,Categorías!#REF!)&gt;0, COUNTIF(P125:V125,Categorías!#REF!)&gt;0), "Sprint 17",OR(COUNTIF(P125:V125,Categorías!#REF!)&gt;0, COUNTIF(P125:V125,Categorías!#REF!)&gt;0, COUNTIF(P125:V125,Categorías!#REF!)&gt;0, COUNTIF(P125:V125,Categorías!#REF!)&gt;0), "Sprint 16", OR(COUNTIF(P125:V125,Categorías!#REF!)&gt;0, COUNTIF(P125:V125,Categorías!#REF!)&gt;0, COUNTIF(P125:V125,Categorías!#REF!)&gt;0, COUNTIF(P125:V125,Categorías!#REF!)&gt;0), "Sprint 16",TRUE, "")</f>
        <v/>
      </c>
      <c r="AF125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25" t="str" cm="1">
        <f t="array" ref="AG12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25" s="22" t="str" cm="1">
        <f t="array" ref="AH125">_xlfn.IFS(COUNTIF(P125:V125, Categorías!$A$2)&gt;0, "Funcional", COUNTIF(P125:V125, Categorías!$A$3)&gt;0, "Configuración", COUNTIF(P125:V125, Categorías!$A$4)&gt;0, "Look&amp;Feel", COUNTIF(P125:V125, Categorías!$A$5)&gt;0, "Integración", COUNTIF(P125:V125, Categorías!$A$6)&gt;0, "Contenido/Datos", COUNTIF(P125:V125, Categorías!$A$7)&gt;0, "Eventos_Cosmos", COUNTIF(P125:V125, Categorías!$A$8)&gt;0, "Eventos_iOT", COUNTIF(P125:V125, Categorías!$A$9)&gt;0, "Eventos_Fabric", TRUE, "No encontrado")</f>
        <v>Funcional</v>
      </c>
    </row>
    <row r="126" spans="1:34" ht="29.25">
      <c r="A126" s="40" t="s">
        <v>128</v>
      </c>
      <c r="B126" s="40" t="s">
        <v>918</v>
      </c>
      <c r="C126" s="40">
        <v>86756</v>
      </c>
      <c r="D126" s="40" t="s">
        <v>919</v>
      </c>
      <c r="E126" s="40">
        <v>79941</v>
      </c>
      <c r="F126" s="40" t="s">
        <v>1045</v>
      </c>
      <c r="G126" s="40" t="s">
        <v>1046</v>
      </c>
      <c r="H126" s="40" t="s">
        <v>37</v>
      </c>
      <c r="I126" s="40" t="s">
        <v>26</v>
      </c>
      <c r="J126" s="40" t="s">
        <v>866</v>
      </c>
      <c r="K126" s="40" t="s">
        <v>802</v>
      </c>
      <c r="L126" s="40" t="s">
        <v>1041</v>
      </c>
      <c r="M126" s="40"/>
      <c r="N126" s="40"/>
      <c r="O126" s="40"/>
      <c r="P126" s="40" t="s">
        <v>139</v>
      </c>
      <c r="Q126" s="40" t="s">
        <v>911</v>
      </c>
      <c r="R126" s="40" t="s">
        <v>226</v>
      </c>
      <c r="S126" s="40" t="s">
        <v>912</v>
      </c>
      <c r="T126" s="40" t="s">
        <v>154</v>
      </c>
      <c r="U126" s="40"/>
      <c r="V126" s="40"/>
      <c r="W126" s="40" t="s">
        <v>217</v>
      </c>
      <c r="X126" s="53">
        <v>45883.3125</v>
      </c>
      <c r="Y126" s="40" t="s">
        <v>806</v>
      </c>
      <c r="Z126" s="40"/>
      <c r="AA126" s="40"/>
      <c r="AB126" t="str">
        <f>IF(LEFT(Jira__325[[#This Row],[Resumen]],3)="POS","POS",IF(LEFT(Jira__325[[#This Row],[Resumen]],3)="BOT","BOT",""))</f>
        <v>POS</v>
      </c>
      <c r="AC126" s="12" t="s">
        <v>184</v>
      </c>
      <c r="AE126" s="22" t="str" cm="1">
        <f t="array" ref="AE126">_xlfn.IFS(OR(COUNTIF(P126:V126,Categorías!#REF!)&gt;0, COUNTIF(P126:V126,Categorías!#REF!)&gt;0), "Sprint 21",OR(COUNTIF(P126:V126,Categorías!#REF!)&gt;0, COUNTIF(P126:V126,Categorías!#REF!)&gt;0, COUNTIF(P126:V126,Categorías!#REF!)&gt;0), "Sprint 20",OR(COUNTIF(P126:V126,Categorías!#REF!)&gt;0, COUNTIF(P126:V126,Categorías!#REF!)&gt;0, COUNTIF(P126:V126,Categorías!#REF!)&gt;0), "Sprint 19",OR(COUNTIF(P126:V126,Categorías!#REF!)&gt;0, COUNTIF(P126:V126,Categorías!#REF!)&gt;0, COUNTIF(P126:V126,Categorías!#REF!)&gt;0), "Sprint 18",OR(COUNTIF(P126:V126,Categorías!#REF!)&gt;0, COUNTIF(P126:V126,Categorías!#REF!)&gt;0, COUNTIF(P126:V126,Categorías!#REF!)&gt;0, COUNTIF(P126:V126,Categorías!#REF!)&gt;0), "Sprint 17",OR(COUNTIF(P126:V126,Categorías!#REF!)&gt;0, COUNTIF(P126:V126,Categorías!#REF!)&gt;0, COUNTIF(P126:V126,Categorías!#REF!)&gt;0, COUNTIF(P126:V126,Categorías!#REF!)&gt;0), "Sprint 16", OR(COUNTIF(P126:V126,Categorías!#REF!)&gt;0, COUNTIF(P126:V126,Categorías!#REF!)&gt;0, COUNTIF(P126:V126,Categorías!#REF!)&gt;0, COUNTIF(P126:V126,Categorías!#REF!)&gt;0), "Sprint 16",TRUE, "")</f>
        <v/>
      </c>
      <c r="AF126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26" t="str" cm="1">
        <f t="array" ref="AG12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26" s="22" t="str" cm="1">
        <f t="array" ref="AH126">_xlfn.IFS(COUNTIF(P126:V126, Categorías!$A$2)&gt;0, "Funcional", COUNTIF(P126:V126, Categorías!$A$3)&gt;0, "Configuración", COUNTIF(P126:V126, Categorías!$A$4)&gt;0, "Look&amp;Feel", COUNTIF(P126:V126, Categorías!$A$5)&gt;0, "Integración", COUNTIF(P126:V126, Categorías!$A$6)&gt;0, "Contenido/Datos", COUNTIF(P126:V126, Categorías!$A$7)&gt;0, "Eventos_Cosmos", COUNTIF(P126:V126, Categorías!$A$8)&gt;0, "Eventos_iOT", COUNTIF(P126:V126, Categorías!$A$9)&gt;0, "Eventos_Fabric", TRUE, "No encontrado")</f>
        <v>Funcional</v>
      </c>
    </row>
    <row r="127" spans="1:34" ht="29.25">
      <c r="A127" s="40" t="s">
        <v>128</v>
      </c>
      <c r="B127" s="40" t="s">
        <v>920</v>
      </c>
      <c r="C127" s="40">
        <v>86496</v>
      </c>
      <c r="D127" s="40" t="s">
        <v>921</v>
      </c>
      <c r="E127" s="40">
        <v>79941</v>
      </c>
      <c r="F127" s="40" t="s">
        <v>1045</v>
      </c>
      <c r="G127" s="40" t="s">
        <v>1046</v>
      </c>
      <c r="H127" s="40" t="s">
        <v>37</v>
      </c>
      <c r="I127" s="40" t="s">
        <v>27</v>
      </c>
      <c r="J127" s="40" t="s">
        <v>1041</v>
      </c>
      <c r="K127" s="40"/>
      <c r="L127" s="40"/>
      <c r="M127" s="40"/>
      <c r="N127" s="40"/>
      <c r="O127" s="40"/>
      <c r="P127" s="40" t="s">
        <v>139</v>
      </c>
      <c r="Q127" s="40" t="s">
        <v>922</v>
      </c>
      <c r="R127" s="40"/>
      <c r="S127" s="40"/>
      <c r="T127" s="40"/>
      <c r="U127" s="40"/>
      <c r="V127" s="40"/>
      <c r="W127" s="40" t="s">
        <v>261</v>
      </c>
      <c r="X127" s="53">
        <v>45882.668055555558</v>
      </c>
      <c r="Y127" s="40"/>
      <c r="Z127" s="40"/>
      <c r="AA127" s="40"/>
      <c r="AB127" t="str">
        <f>IF(LEFT(Jira__325[[#This Row],[Resumen]],3)="POS","POS",IF(LEFT(Jira__325[[#This Row],[Resumen]],3)="BOT","BOT",""))</f>
        <v>POS</v>
      </c>
      <c r="AC127" s="9" t="s">
        <v>221</v>
      </c>
      <c r="AE127" s="22" t="str" cm="1">
        <f t="array" ref="AE127">_xlfn.IFS(OR(COUNTIF(P127:V127,Categorías!#REF!)&gt;0, COUNTIF(P127:V127,Categorías!#REF!)&gt;0), "Sprint 21",OR(COUNTIF(P127:V127,Categorías!#REF!)&gt;0, COUNTIF(P127:V127,Categorías!#REF!)&gt;0, COUNTIF(P127:V127,Categorías!#REF!)&gt;0), "Sprint 20",OR(COUNTIF(P127:V127,Categorías!#REF!)&gt;0, COUNTIF(P127:V127,Categorías!#REF!)&gt;0, COUNTIF(P127:V127,Categorías!#REF!)&gt;0), "Sprint 19",OR(COUNTIF(P127:V127,Categorías!#REF!)&gt;0, COUNTIF(P127:V127,Categorías!#REF!)&gt;0, COUNTIF(P127:V127,Categorías!#REF!)&gt;0), "Sprint 18",OR(COUNTIF(P127:V127,Categorías!#REF!)&gt;0, COUNTIF(P127:V127,Categorías!#REF!)&gt;0, COUNTIF(P127:V127,Categorías!#REF!)&gt;0, COUNTIF(P127:V127,Categorías!#REF!)&gt;0), "Sprint 17",OR(COUNTIF(P127:V127,Categorías!#REF!)&gt;0, COUNTIF(P127:V127,Categorías!#REF!)&gt;0, COUNTIF(P127:V127,Categorías!#REF!)&gt;0, COUNTIF(P127:V127,Categorías!#REF!)&gt;0), "Sprint 16", OR(COUNTIF(P127:V127,Categorías!#REF!)&gt;0, COUNTIF(P127:V127,Categorías!#REF!)&gt;0, COUNTIF(P127:V127,Categorías!#REF!)&gt;0, COUNTIF(P127:V127,Categorías!#REF!)&gt;0), "Sprint 16",TRUE, "")</f>
        <v/>
      </c>
      <c r="AF127" s="2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27" t="str" cm="1">
        <f t="array" ref="AG12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27" s="22" t="str" cm="1">
        <f t="array" ref="AH127">_xlfn.IFS(COUNTIF(P127:V127, Categorías!$A$2)&gt;0, "Funcional", COUNTIF(P127:V127, Categorías!$A$3)&gt;0, "Configuración", COUNTIF(P127:V127, Categorías!$A$4)&gt;0, "Look&amp;Feel", COUNTIF(P127:V127, Categorías!$A$5)&gt;0, "Integración", COUNTIF(P127:V127, Categorías!$A$6)&gt;0, "Contenido/Datos", COUNTIF(P127:V127, Categorías!$A$7)&gt;0, "Eventos_Cosmos", COUNTIF(P127:V127, Categorías!$A$8)&gt;0, "Eventos_iOT", COUNTIF(P127:V127, Categorías!$A$9)&gt;0, "Eventos_Fabric", TRUE, "No encontrado")</f>
        <v>Funcional</v>
      </c>
    </row>
    <row r="128" spans="1:34" ht="57.75">
      <c r="A128" s="40" t="s">
        <v>128</v>
      </c>
      <c r="B128" s="40" t="s">
        <v>923</v>
      </c>
      <c r="C128" s="40">
        <v>86493</v>
      </c>
      <c r="D128" s="40" t="s">
        <v>924</v>
      </c>
      <c r="E128" s="40">
        <v>87100</v>
      </c>
      <c r="F128" s="40" t="s">
        <v>1039</v>
      </c>
      <c r="G128" s="40" t="s">
        <v>1040</v>
      </c>
      <c r="H128" s="40" t="s">
        <v>37</v>
      </c>
      <c r="I128" s="40" t="s">
        <v>24</v>
      </c>
      <c r="J128" s="40"/>
      <c r="K128" s="40"/>
      <c r="L128" s="40"/>
      <c r="M128" s="40"/>
      <c r="N128" s="40"/>
      <c r="O128" s="40"/>
      <c r="P128" s="40" t="s">
        <v>139</v>
      </c>
      <c r="Q128" s="40" t="s">
        <v>922</v>
      </c>
      <c r="R128" s="40"/>
      <c r="S128" s="40"/>
      <c r="T128" s="40"/>
      <c r="U128" s="40"/>
      <c r="V128" s="40"/>
      <c r="W128" s="40" t="s">
        <v>261</v>
      </c>
      <c r="X128" s="53">
        <v>45882.664583333331</v>
      </c>
      <c r="Y128" s="40"/>
      <c r="Z128" s="40"/>
      <c r="AA128" s="40"/>
      <c r="AB128" t="str">
        <f>IF(LEFT(Jira__325[[#This Row],[Resumen]],3)="POS","POS",IF(LEFT(Jira__325[[#This Row],[Resumen]],3)="BOT","BOT",""))</f>
        <v>POS</v>
      </c>
      <c r="AC128" s="42" t="s">
        <v>221</v>
      </c>
      <c r="AE128" s="22" t="str" cm="1">
        <f t="array" ref="AE128">_xlfn.IFS(OR(COUNTIF(P128:V128,Categorías!#REF!)&gt;0, COUNTIF(P128:V128,Categorías!#REF!)&gt;0), "Sprint 21",OR(COUNTIF(P128:V128,Categorías!#REF!)&gt;0, COUNTIF(P128:V128,Categorías!#REF!)&gt;0, COUNTIF(P128:V128,Categorías!#REF!)&gt;0), "Sprint 20",OR(COUNTIF(P128:V128,Categorías!#REF!)&gt;0, COUNTIF(P128:V128,Categorías!#REF!)&gt;0, COUNTIF(P128:V128,Categorías!#REF!)&gt;0), "Sprint 19",OR(COUNTIF(P128:V128,Categorías!#REF!)&gt;0, COUNTIF(P128:V128,Categorías!#REF!)&gt;0, COUNTIF(P128:V128,Categorías!#REF!)&gt;0), "Sprint 18",OR(COUNTIF(P128:V128,Categorías!#REF!)&gt;0, COUNTIF(P128:V128,Categorías!#REF!)&gt;0, COUNTIF(P128:V128,Categorías!#REF!)&gt;0, COUNTIF(P128:V128,Categorías!#REF!)&gt;0), "Sprint 17",OR(COUNTIF(P128:V128,Categorías!#REF!)&gt;0, COUNTIF(P128:V128,Categorías!#REF!)&gt;0, COUNTIF(P128:V128,Categorías!#REF!)&gt;0, COUNTIF(P128:V128,Categorías!#REF!)&gt;0), "Sprint 16", OR(COUNTIF(P128:V128,Categorías!#REF!)&gt;0, COUNTIF(P128:V128,Categorías!#REF!)&gt;0, COUNTIF(P128:V128,Categorías!#REF!)&gt;0, COUNTIF(P128:V128,Categorías!#REF!)&gt;0), "Sprint 16",TRUE, "")</f>
        <v/>
      </c>
      <c r="AF128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28" t="str" cm="1">
        <f t="array" ref="AG12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28" s="22" t="str" cm="1">
        <f t="array" ref="AH128">_xlfn.IFS(COUNTIF(P128:V128, Categorías!$A$2)&gt;0, "Funcional", COUNTIF(P128:V128, Categorías!$A$3)&gt;0, "Configuración", COUNTIF(P128:V128, Categorías!$A$4)&gt;0, "Look&amp;Feel", COUNTIF(P128:V128, Categorías!$A$5)&gt;0, "Integración", COUNTIF(P128:V128, Categorías!$A$6)&gt;0, "Contenido/Datos", COUNTIF(P128:V128, Categorías!$A$7)&gt;0, "Eventos_Cosmos", COUNTIF(P128:V128, Categorías!$A$8)&gt;0, "Eventos_iOT", COUNTIF(P128:V128, Categorías!$A$9)&gt;0, "Eventos_Fabric", TRUE, "No encontrado")</f>
        <v>Funcional</v>
      </c>
    </row>
    <row r="129" spans="1:34" ht="29.25">
      <c r="A129" s="40" t="s">
        <v>128</v>
      </c>
      <c r="B129" s="40" t="s">
        <v>925</v>
      </c>
      <c r="C129" s="40">
        <v>86368</v>
      </c>
      <c r="D129" s="40" t="s">
        <v>926</v>
      </c>
      <c r="E129" s="40" t="s">
        <v>1049</v>
      </c>
      <c r="F129" s="40" t="s">
        <v>1049</v>
      </c>
      <c r="G129" s="40" t="s">
        <v>1049</v>
      </c>
      <c r="H129" s="40" t="s">
        <v>37</v>
      </c>
      <c r="I129" s="40" t="s">
        <v>26</v>
      </c>
      <c r="J129" s="40" t="s">
        <v>917</v>
      </c>
      <c r="K129" s="40" t="s">
        <v>866</v>
      </c>
      <c r="L129" s="40" t="s">
        <v>802</v>
      </c>
      <c r="M129" s="40" t="s">
        <v>1041</v>
      </c>
      <c r="N129" s="40"/>
      <c r="O129" s="40"/>
      <c r="P129" s="40" t="s">
        <v>490</v>
      </c>
      <c r="Q129" s="40" t="s">
        <v>922</v>
      </c>
      <c r="R129" s="40" t="s">
        <v>226</v>
      </c>
      <c r="S129" s="40" t="s">
        <v>154</v>
      </c>
      <c r="T129" s="40"/>
      <c r="U129" s="40"/>
      <c r="V129" s="40"/>
      <c r="W129" s="40" t="s">
        <v>261</v>
      </c>
      <c r="X129" s="53">
        <v>45882.5625</v>
      </c>
      <c r="Y129" s="40" t="s">
        <v>805</v>
      </c>
      <c r="Z129" s="40"/>
      <c r="AA129" s="40"/>
      <c r="AB129" t="str">
        <f>IF(LEFT(Jira__325[[#This Row],[Resumen]],3)="POS","POS",IF(LEFT(Jira__325[[#This Row],[Resumen]],3)="BOT","BOT",""))</f>
        <v>POS</v>
      </c>
      <c r="AC129" s="9" t="s">
        <v>218</v>
      </c>
      <c r="AE129" s="22" t="str" cm="1">
        <f t="array" ref="AE129">_xlfn.IFS(OR(COUNTIF(P129:V129,Categorías!#REF!)&gt;0, COUNTIF(P129:V129,Categorías!#REF!)&gt;0), "Sprint 21",OR(COUNTIF(P129:V129,Categorías!#REF!)&gt;0, COUNTIF(P129:V129,Categorías!#REF!)&gt;0, COUNTIF(P129:V129,Categorías!#REF!)&gt;0), "Sprint 20",OR(COUNTIF(P129:V129,Categorías!#REF!)&gt;0, COUNTIF(P129:V129,Categorías!#REF!)&gt;0, COUNTIF(P129:V129,Categorías!#REF!)&gt;0), "Sprint 19",OR(COUNTIF(P129:V129,Categorías!#REF!)&gt;0, COUNTIF(P129:V129,Categorías!#REF!)&gt;0, COUNTIF(P129:V129,Categorías!#REF!)&gt;0), "Sprint 18",OR(COUNTIF(P129:V129,Categorías!#REF!)&gt;0, COUNTIF(P129:V129,Categorías!#REF!)&gt;0, COUNTIF(P129:V129,Categorías!#REF!)&gt;0, COUNTIF(P129:V129,Categorías!#REF!)&gt;0), "Sprint 17",OR(COUNTIF(P129:V129,Categorías!#REF!)&gt;0, COUNTIF(P129:V129,Categorías!#REF!)&gt;0, COUNTIF(P129:V129,Categorías!#REF!)&gt;0, COUNTIF(P129:V129,Categorías!#REF!)&gt;0), "Sprint 16", OR(COUNTIF(P129:V129,Categorías!#REF!)&gt;0, COUNTIF(P129:V129,Categorías!#REF!)&gt;0, COUNTIF(P129:V129,Categorías!#REF!)&gt;0, COUNTIF(P129:V129,Categorías!#REF!)&gt;0), "Sprint 16",TRUE, "")</f>
        <v/>
      </c>
      <c r="AF129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29" t="str" cm="1">
        <f t="array" ref="AG12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29" s="22" t="str" cm="1">
        <f t="array" ref="AH129">_xlfn.IFS(COUNTIF(P129:V129, Categorías!$A$2)&gt;0, "Funcional", COUNTIF(P129:V129, Categorías!$A$3)&gt;0, "Configuración", COUNTIF(P129:V129, Categorías!$A$4)&gt;0, "Look&amp;Feel", COUNTIF(P129:V129, Categorías!$A$5)&gt;0, "Integración", COUNTIF(P129:V129, Categorías!$A$6)&gt;0, "Contenido/Datos", COUNTIF(P129:V129, Categorías!$A$7)&gt;0, "Eventos_Cosmos", COUNTIF(P129:V129, Categorías!$A$8)&gt;0, "Eventos_iOT", COUNTIF(P129:V129, Categorías!$A$9)&gt;0, "Eventos_Fabric", TRUE, "No encontrado")</f>
        <v>Contenido/Datos</v>
      </c>
    </row>
    <row r="130" spans="1:34" ht="29.25">
      <c r="A130" s="40" t="s">
        <v>128</v>
      </c>
      <c r="B130" s="40" t="s">
        <v>927</v>
      </c>
      <c r="C130" s="40">
        <v>86077</v>
      </c>
      <c r="D130" s="40" t="s">
        <v>928</v>
      </c>
      <c r="E130" s="40" t="s">
        <v>1049</v>
      </c>
      <c r="F130" s="40" t="s">
        <v>1049</v>
      </c>
      <c r="G130" s="40" t="s">
        <v>1049</v>
      </c>
      <c r="H130" s="40" t="s">
        <v>37</v>
      </c>
      <c r="I130" s="40" t="s">
        <v>24</v>
      </c>
      <c r="J130" s="40" t="s">
        <v>917</v>
      </c>
      <c r="K130" s="40" t="s">
        <v>866</v>
      </c>
      <c r="L130" s="40" t="s">
        <v>802</v>
      </c>
      <c r="M130" s="40" t="s">
        <v>753</v>
      </c>
      <c r="N130" s="40" t="s">
        <v>721</v>
      </c>
      <c r="O130" s="40" t="s">
        <v>637</v>
      </c>
      <c r="P130" s="40" t="s">
        <v>139</v>
      </c>
      <c r="Q130" s="40" t="s">
        <v>922</v>
      </c>
      <c r="R130" s="40" t="s">
        <v>226</v>
      </c>
      <c r="S130" s="40" t="s">
        <v>154</v>
      </c>
      <c r="T130" s="40"/>
      <c r="U130" s="40"/>
      <c r="V130" s="40"/>
      <c r="W130" s="40" t="s">
        <v>261</v>
      </c>
      <c r="X130" s="53">
        <v>45881.670138888891</v>
      </c>
      <c r="Y130" s="40" t="s">
        <v>805</v>
      </c>
      <c r="Z130" s="40"/>
      <c r="AA130" s="40"/>
      <c r="AB130" t="str">
        <f>IF(LEFT(Jira__325[[#This Row],[Resumen]],3)="POS","POS",IF(LEFT(Jira__325[[#This Row],[Resumen]],3)="BOT","BOT",""))</f>
        <v>POS</v>
      </c>
      <c r="AC130" s="9" t="s">
        <v>218</v>
      </c>
      <c r="AE130" s="22" t="str" cm="1">
        <f t="array" ref="AE130">_xlfn.IFS(OR(COUNTIF(P130:V130,Categorías!#REF!)&gt;0, COUNTIF(P130:V130,Categorías!#REF!)&gt;0), "Sprint 21",OR(COUNTIF(P130:V130,Categorías!#REF!)&gt;0, COUNTIF(P130:V130,Categorías!#REF!)&gt;0, COUNTIF(P130:V130,Categorías!#REF!)&gt;0), "Sprint 20",OR(COUNTIF(P130:V130,Categorías!#REF!)&gt;0, COUNTIF(P130:V130,Categorías!#REF!)&gt;0, COUNTIF(P130:V130,Categorías!#REF!)&gt;0), "Sprint 19",OR(COUNTIF(P130:V130,Categorías!#REF!)&gt;0, COUNTIF(P130:V130,Categorías!#REF!)&gt;0, COUNTIF(P130:V130,Categorías!#REF!)&gt;0), "Sprint 18",OR(COUNTIF(P130:V130,Categorías!#REF!)&gt;0, COUNTIF(P130:V130,Categorías!#REF!)&gt;0, COUNTIF(P130:V130,Categorías!#REF!)&gt;0, COUNTIF(P130:V130,Categorías!#REF!)&gt;0), "Sprint 17",OR(COUNTIF(P130:V130,Categorías!#REF!)&gt;0, COUNTIF(P130:V130,Categorías!#REF!)&gt;0, COUNTIF(P130:V130,Categorías!#REF!)&gt;0, COUNTIF(P130:V130,Categorías!#REF!)&gt;0), "Sprint 16", OR(COUNTIF(P130:V130,Categorías!#REF!)&gt;0, COUNTIF(P130:V130,Categorías!#REF!)&gt;0, COUNTIF(P130:V130,Categorías!#REF!)&gt;0, COUNTIF(P130:V130,Categorías!#REF!)&gt;0), "Sprint 16",TRUE, "")</f>
        <v/>
      </c>
      <c r="AF130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30" t="str" cm="1">
        <f t="array" ref="AG130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30" s="22" t="str" cm="1">
        <f t="array" ref="AH130">_xlfn.IFS(COUNTIF(P130:V130, Categorías!$A$2)&gt;0, "Funcional", COUNTIF(P130:V130, Categorías!$A$3)&gt;0, "Configuración", COUNTIF(P130:V130, Categorías!$A$4)&gt;0, "Look&amp;Feel", COUNTIF(P130:V130, Categorías!$A$5)&gt;0, "Integración", COUNTIF(P130:V130, Categorías!$A$6)&gt;0, "Contenido/Datos", COUNTIF(P130:V130, Categorías!$A$7)&gt;0, "Eventos_Cosmos", COUNTIF(P130:V130, Categorías!$A$8)&gt;0, "Eventos_iOT", COUNTIF(P130:V130, Categorías!$A$9)&gt;0, "Eventos_Fabric", TRUE, "No encontrado")</f>
        <v>Funcional</v>
      </c>
    </row>
    <row r="131" spans="1:34" ht="29.25">
      <c r="A131" s="40" t="s">
        <v>128</v>
      </c>
      <c r="B131" s="40" t="s">
        <v>929</v>
      </c>
      <c r="C131" s="40">
        <v>86040</v>
      </c>
      <c r="D131" s="40" t="s">
        <v>930</v>
      </c>
      <c r="E131" s="40">
        <v>87100</v>
      </c>
      <c r="F131" s="40" t="s">
        <v>1039</v>
      </c>
      <c r="G131" s="40" t="s">
        <v>1040</v>
      </c>
      <c r="H131" s="40" t="s">
        <v>40</v>
      </c>
      <c r="I131" s="40" t="s">
        <v>27</v>
      </c>
      <c r="J131" s="40" t="s">
        <v>1041</v>
      </c>
      <c r="K131" s="40"/>
      <c r="L131" s="40"/>
      <c r="M131" s="40"/>
      <c r="N131" s="40"/>
      <c r="O131" s="40"/>
      <c r="P131" s="40" t="s">
        <v>132</v>
      </c>
      <c r="Q131" s="40" t="s">
        <v>922</v>
      </c>
      <c r="R131" s="40"/>
      <c r="S131" s="40"/>
      <c r="T131" s="40"/>
      <c r="U131" s="40"/>
      <c r="V131" s="40"/>
      <c r="W131" s="40" t="s">
        <v>261</v>
      </c>
      <c r="X131" s="53">
        <v>45881.660416666666</v>
      </c>
      <c r="Y131" s="40"/>
      <c r="Z131" s="40"/>
      <c r="AA131" s="40"/>
      <c r="AB131" t="str">
        <f>IF(LEFT(Jira__325[[#This Row],[Resumen]],3)="POS","POS",IF(LEFT(Jira__325[[#This Row],[Resumen]],3)="BOT","BOT",""))</f>
        <v>POS</v>
      </c>
      <c r="AC131" s="13" t="s">
        <v>320</v>
      </c>
      <c r="AE131" s="22" t="str" cm="1">
        <f t="array" ref="AE131">_xlfn.IFS(OR(COUNTIF(P131:V131,Categorías!#REF!)&gt;0, COUNTIF(P131:V131,Categorías!#REF!)&gt;0), "Sprint 21",OR(COUNTIF(P131:V131,Categorías!#REF!)&gt;0, COUNTIF(P131:V131,Categorías!#REF!)&gt;0, COUNTIF(P131:V131,Categorías!#REF!)&gt;0), "Sprint 20",OR(COUNTIF(P131:V131,Categorías!#REF!)&gt;0, COUNTIF(P131:V131,Categorías!#REF!)&gt;0, COUNTIF(P131:V131,Categorías!#REF!)&gt;0), "Sprint 19",OR(COUNTIF(P131:V131,Categorías!#REF!)&gt;0, COUNTIF(P131:V131,Categorías!#REF!)&gt;0, COUNTIF(P131:V131,Categorías!#REF!)&gt;0), "Sprint 18",OR(COUNTIF(P131:V131,Categorías!#REF!)&gt;0, COUNTIF(P131:V131,Categorías!#REF!)&gt;0, COUNTIF(P131:V131,Categorías!#REF!)&gt;0, COUNTIF(P131:V131,Categorías!#REF!)&gt;0), "Sprint 17",OR(COUNTIF(P131:V131,Categorías!#REF!)&gt;0, COUNTIF(P131:V131,Categorías!#REF!)&gt;0, COUNTIF(P131:V131,Categorías!#REF!)&gt;0, COUNTIF(P131:V131,Categorías!#REF!)&gt;0), "Sprint 16", OR(COUNTIF(P131:V131,Categorías!#REF!)&gt;0, COUNTIF(P131:V131,Categorías!#REF!)&gt;0, COUNTIF(P131:V131,Categorías!#REF!)&gt;0, COUNTIF(P131:V131,Categorías!#REF!)&gt;0), "Sprint 16",TRUE, "")</f>
        <v/>
      </c>
      <c r="AF131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31" t="str" cm="1">
        <f t="array" ref="AG131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31" s="22" t="str" cm="1">
        <f t="array" ref="AH131">_xlfn.IFS(COUNTIF(P131:V131, Categorías!$A$2)&gt;0, "Funcional", COUNTIF(P131:V131, Categorías!$A$3)&gt;0, "Configuración", COUNTIF(P131:V131, Categorías!$A$4)&gt;0, "Look&amp;Feel", COUNTIF(P131:V131, Categorías!$A$5)&gt;0, "Integración", COUNTIF(P131:V131, Categorías!$A$6)&gt;0, "Contenido/Datos", COUNTIF(P131:V131, Categorías!$A$7)&gt;0, "Eventos_Cosmos", COUNTIF(P131:V131, Categorías!$A$8)&gt;0, "Eventos_iOT", COUNTIF(P131:V131, Categorías!$A$9)&gt;0, "Eventos_Fabric", TRUE, "No encontrado")</f>
        <v>Look&amp;Feel</v>
      </c>
    </row>
    <row r="132" spans="1:34" ht="50.25">
      <c r="A132" s="40" t="s">
        <v>128</v>
      </c>
      <c r="B132" s="40" t="s">
        <v>931</v>
      </c>
      <c r="C132" s="40">
        <v>86036</v>
      </c>
      <c r="D132" s="40" t="s">
        <v>932</v>
      </c>
      <c r="E132" s="40">
        <v>87100</v>
      </c>
      <c r="F132" s="40" t="s">
        <v>1039</v>
      </c>
      <c r="G132" s="40" t="s">
        <v>1040</v>
      </c>
      <c r="H132" s="40" t="s">
        <v>37</v>
      </c>
      <c r="I132" s="40" t="s">
        <v>24</v>
      </c>
      <c r="J132" s="40" t="s">
        <v>917</v>
      </c>
      <c r="K132" s="40" t="s">
        <v>866</v>
      </c>
      <c r="L132" s="40" t="s">
        <v>802</v>
      </c>
      <c r="M132" s="40" t="s">
        <v>753</v>
      </c>
      <c r="N132" s="40" t="s">
        <v>721</v>
      </c>
      <c r="O132" s="40" t="s">
        <v>637</v>
      </c>
      <c r="P132" s="40" t="s">
        <v>490</v>
      </c>
      <c r="Q132" s="40" t="s">
        <v>922</v>
      </c>
      <c r="R132" s="40" t="s">
        <v>226</v>
      </c>
      <c r="S132" s="40" t="s">
        <v>154</v>
      </c>
      <c r="T132" s="40"/>
      <c r="U132" s="40"/>
      <c r="V132" s="40"/>
      <c r="W132" s="40" t="s">
        <v>261</v>
      </c>
      <c r="X132" s="53">
        <v>45881.646527777775</v>
      </c>
      <c r="Y132" s="40" t="s">
        <v>805</v>
      </c>
      <c r="Z132" s="40"/>
      <c r="AA132" s="40"/>
      <c r="AB132" t="str">
        <f>IF(LEFT(Jira__325[[#This Row],[Resumen]],3)="POS","POS",IF(LEFT(Jira__325[[#This Row],[Resumen]],3)="BOT","BOT",""))</f>
        <v>POS</v>
      </c>
      <c r="AC132" s="43" t="s">
        <v>617</v>
      </c>
      <c r="AE132" s="22" t="str" cm="1">
        <f t="array" ref="AE132">_xlfn.IFS(OR(COUNTIF(P132:V132,Categorías!#REF!)&gt;0, COUNTIF(P132:V132,Categorías!#REF!)&gt;0), "Sprint 21",OR(COUNTIF(P132:V132,Categorías!#REF!)&gt;0, COUNTIF(P132:V132,Categorías!#REF!)&gt;0, COUNTIF(P132:V132,Categorías!#REF!)&gt;0), "Sprint 20",OR(COUNTIF(P132:V132,Categorías!#REF!)&gt;0, COUNTIF(P132:V132,Categorías!#REF!)&gt;0, COUNTIF(P132:V132,Categorías!#REF!)&gt;0), "Sprint 19",OR(COUNTIF(P132:V132,Categorías!#REF!)&gt;0, COUNTIF(P132:V132,Categorías!#REF!)&gt;0, COUNTIF(P132:V132,Categorías!#REF!)&gt;0), "Sprint 18",OR(COUNTIF(P132:V132,Categorías!#REF!)&gt;0, COUNTIF(P132:V132,Categorías!#REF!)&gt;0, COUNTIF(P132:V132,Categorías!#REF!)&gt;0, COUNTIF(P132:V132,Categorías!#REF!)&gt;0), "Sprint 17",OR(COUNTIF(P132:V132,Categorías!#REF!)&gt;0, COUNTIF(P132:V132,Categorías!#REF!)&gt;0, COUNTIF(P132:V132,Categorías!#REF!)&gt;0, COUNTIF(P132:V132,Categorías!#REF!)&gt;0), "Sprint 16", OR(COUNTIF(P132:V132,Categorías!#REF!)&gt;0, COUNTIF(P132:V132,Categorías!#REF!)&gt;0, COUNTIF(P132:V132,Categorías!#REF!)&gt;0, COUNTIF(P132:V132,Categorías!#REF!)&gt;0), "Sprint 16",TRUE, "")</f>
        <v/>
      </c>
      <c r="AF132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32" t="str" cm="1">
        <f t="array" ref="AG132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32" s="22" t="str" cm="1">
        <f t="array" ref="AH132">_xlfn.IFS(COUNTIF(P132:V132, Categorías!$A$2)&gt;0, "Funcional", COUNTIF(P132:V132, Categorías!$A$3)&gt;0, "Configuración", COUNTIF(P132:V132, Categorías!$A$4)&gt;0, "Look&amp;Feel", COUNTIF(P132:V132, Categorías!$A$5)&gt;0, "Integración", COUNTIF(P132:V132, Categorías!$A$6)&gt;0, "Contenido/Datos", COUNTIF(P132:V132, Categorías!$A$7)&gt;0, "Eventos_Cosmos", COUNTIF(P132:V132, Categorías!$A$8)&gt;0, "Eventos_iOT", COUNTIF(P132:V132, Categorías!$A$9)&gt;0, "Eventos_Fabric", TRUE, "No encontrado")</f>
        <v>Contenido/Datos</v>
      </c>
    </row>
    <row r="133" spans="1:34" ht="29.25">
      <c r="A133" s="40" t="s">
        <v>128</v>
      </c>
      <c r="B133" s="40" t="s">
        <v>933</v>
      </c>
      <c r="C133" s="40">
        <v>85607</v>
      </c>
      <c r="D133" s="40" t="s">
        <v>934</v>
      </c>
      <c r="E133" s="40">
        <v>87100</v>
      </c>
      <c r="F133" s="40" t="s">
        <v>1039</v>
      </c>
      <c r="G133" s="40" t="s">
        <v>1040</v>
      </c>
      <c r="H133" s="40" t="s">
        <v>37</v>
      </c>
      <c r="I133" s="40" t="s">
        <v>24</v>
      </c>
      <c r="J133" s="40" t="s">
        <v>866</v>
      </c>
      <c r="K133" s="40" t="s">
        <v>802</v>
      </c>
      <c r="L133" s="40" t="s">
        <v>753</v>
      </c>
      <c r="M133" s="40" t="s">
        <v>721</v>
      </c>
      <c r="N133" s="40" t="s">
        <v>637</v>
      </c>
      <c r="O133" s="40"/>
      <c r="P133" s="40" t="s">
        <v>139</v>
      </c>
      <c r="Q133" s="40" t="s">
        <v>935</v>
      </c>
      <c r="R133" s="40"/>
      <c r="S133" s="40"/>
      <c r="T133" s="40"/>
      <c r="U133" s="40"/>
      <c r="V133" s="40"/>
      <c r="W133" s="40" t="s">
        <v>217</v>
      </c>
      <c r="X133" s="53">
        <v>45880.621527777781</v>
      </c>
      <c r="Y133" s="40"/>
      <c r="Z133" s="40"/>
      <c r="AA133" s="40"/>
      <c r="AB133" t="str">
        <f>IF(LEFT(Jira__325[[#This Row],[Resumen]],3)="POS","POS",IF(LEFT(Jira__325[[#This Row],[Resumen]],3)="BOT","BOT",""))</f>
        <v>BOT</v>
      </c>
      <c r="AC133" t="s">
        <v>221</v>
      </c>
      <c r="AE133" s="22" t="str" cm="1">
        <f t="array" ref="AE133">_xlfn.IFS(OR(COUNTIF(P133:V133,Categorías!#REF!)&gt;0, COUNTIF(P133:V133,Categorías!#REF!)&gt;0), "Sprint 21",OR(COUNTIF(P133:V133,Categorías!#REF!)&gt;0, COUNTIF(P133:V133,Categorías!#REF!)&gt;0, COUNTIF(P133:V133,Categorías!#REF!)&gt;0), "Sprint 20",OR(COUNTIF(P133:V133,Categorías!#REF!)&gt;0, COUNTIF(P133:V133,Categorías!#REF!)&gt;0, COUNTIF(P133:V133,Categorías!#REF!)&gt;0), "Sprint 19",OR(COUNTIF(P133:V133,Categorías!#REF!)&gt;0, COUNTIF(P133:V133,Categorías!#REF!)&gt;0, COUNTIF(P133:V133,Categorías!#REF!)&gt;0), "Sprint 18",OR(COUNTIF(P133:V133,Categorías!#REF!)&gt;0, COUNTIF(P133:V133,Categorías!#REF!)&gt;0, COUNTIF(P133:V133,Categorías!#REF!)&gt;0, COUNTIF(P133:V133,Categorías!#REF!)&gt;0), "Sprint 17",OR(COUNTIF(P133:V133,Categorías!#REF!)&gt;0, COUNTIF(P133:V133,Categorías!#REF!)&gt;0, COUNTIF(P133:V133,Categorías!#REF!)&gt;0, COUNTIF(P133:V133,Categorías!#REF!)&gt;0), "Sprint 16", OR(COUNTIF(P133:V133,Categorías!#REF!)&gt;0, COUNTIF(P133:V133,Categorías!#REF!)&gt;0, COUNTIF(P133:V133,Categorías!#REF!)&gt;0, COUNTIF(P133:V133,Categorías!#REF!)&gt;0), "Sprint 16",TRUE, "")</f>
        <v/>
      </c>
      <c r="AF133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</v>
      </c>
      <c r="AG133" t="str" cm="1">
        <f t="array" ref="AG133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N/A</v>
      </c>
      <c r="AH133" s="22" t="str" cm="1">
        <f t="array" ref="AH133">_xlfn.IFS(COUNTIF(P133:V133, Categorías!$A$2)&gt;0, "Funcional", COUNTIF(P133:V133, Categorías!$A$3)&gt;0, "Configuración", COUNTIF(P133:V133, Categorías!$A$4)&gt;0, "Look&amp;Feel", COUNTIF(P133:V133, Categorías!$A$5)&gt;0, "Integración", COUNTIF(P133:V133, Categorías!$A$6)&gt;0, "Contenido/Datos", COUNTIF(P133:V133, Categorías!$A$7)&gt;0, "Eventos_Cosmos", COUNTIF(P133:V133, Categorías!$A$8)&gt;0, "Eventos_iOT", COUNTIF(P133:V133, Categorías!$A$9)&gt;0, "Eventos_Fabric", TRUE, "No encontrado")</f>
        <v>Funcional</v>
      </c>
    </row>
    <row r="134" spans="1:34" ht="29.25">
      <c r="A134" s="40" t="s">
        <v>128</v>
      </c>
      <c r="B134" s="40" t="s">
        <v>936</v>
      </c>
      <c r="C134" s="40">
        <v>85515</v>
      </c>
      <c r="D134" s="40" t="s">
        <v>937</v>
      </c>
      <c r="E134" s="40">
        <v>87100</v>
      </c>
      <c r="F134" s="40" t="s">
        <v>1039</v>
      </c>
      <c r="G134" s="40" t="s">
        <v>1040</v>
      </c>
      <c r="H134" s="40" t="s">
        <v>37</v>
      </c>
      <c r="I134" s="40" t="s">
        <v>26</v>
      </c>
      <c r="J134" s="40" t="s">
        <v>866</v>
      </c>
      <c r="K134" s="40"/>
      <c r="L134" s="40"/>
      <c r="M134" s="40"/>
      <c r="N134" s="40"/>
      <c r="O134" s="40"/>
      <c r="P134" s="40" t="s">
        <v>132</v>
      </c>
      <c r="Q134" s="40" t="s">
        <v>935</v>
      </c>
      <c r="R134" s="40" t="s">
        <v>204</v>
      </c>
      <c r="S134" s="40" t="s">
        <v>912</v>
      </c>
      <c r="T134" s="40" t="s">
        <v>154</v>
      </c>
      <c r="U134" s="40"/>
      <c r="V134" s="40"/>
      <c r="W134" s="40" t="s">
        <v>217</v>
      </c>
      <c r="X134" s="53">
        <v>45880.470833333333</v>
      </c>
      <c r="Y134" s="40" t="s">
        <v>806</v>
      </c>
      <c r="Z134" s="40"/>
      <c r="AA134" s="40"/>
      <c r="AB134" t="str">
        <f>IF(LEFT(Jira__325[[#This Row],[Resumen]],3)="POS","POS",IF(LEFT(Jira__325[[#This Row],[Resumen]],3)="BOT","BOT",""))</f>
        <v>BOT</v>
      </c>
      <c r="AC134" s="9" t="s">
        <v>163</v>
      </c>
      <c r="AE134" s="22" t="str" cm="1">
        <f t="array" ref="AE134">_xlfn.IFS(OR(COUNTIF(P134:V134,Categorías!#REF!)&gt;0, COUNTIF(P134:V134,Categorías!#REF!)&gt;0), "Sprint 21",OR(COUNTIF(P134:V134,Categorías!#REF!)&gt;0, COUNTIF(P134:V134,Categorías!#REF!)&gt;0, COUNTIF(P134:V134,Categorías!#REF!)&gt;0), "Sprint 20",OR(COUNTIF(P134:V134,Categorías!#REF!)&gt;0, COUNTIF(P134:V134,Categorías!#REF!)&gt;0, COUNTIF(P134:V134,Categorías!#REF!)&gt;0), "Sprint 19",OR(COUNTIF(P134:V134,Categorías!#REF!)&gt;0, COUNTIF(P134:V134,Categorías!#REF!)&gt;0, COUNTIF(P134:V134,Categorías!#REF!)&gt;0), "Sprint 18",OR(COUNTIF(P134:V134,Categorías!#REF!)&gt;0, COUNTIF(P134:V134,Categorías!#REF!)&gt;0, COUNTIF(P134:V134,Categorías!#REF!)&gt;0, COUNTIF(P134:V134,Categorías!#REF!)&gt;0), "Sprint 17",OR(COUNTIF(P134:V134,Categorías!#REF!)&gt;0, COUNTIF(P134:V134,Categorías!#REF!)&gt;0, COUNTIF(P134:V134,Categorías!#REF!)&gt;0, COUNTIF(P134:V134,Categorías!#REF!)&gt;0), "Sprint 16", OR(COUNTIF(P134:V134,Categorías!#REF!)&gt;0, COUNTIF(P134:V134,Categorías!#REF!)&gt;0, COUNTIF(P134:V134,Categorías!#REF!)&gt;0, COUNTIF(P134:V134,Categorías!#REF!)&gt;0), "Sprint 16",TRUE, "")</f>
        <v/>
      </c>
      <c r="AF134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34" t="str" cm="1">
        <f t="array" ref="AG134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34" s="22" t="str" cm="1">
        <f t="array" ref="AH134">_xlfn.IFS(COUNTIF(P134:V134, Categorías!$A$2)&gt;0, "Funcional", COUNTIF(P134:V134, Categorías!$A$3)&gt;0, "Configuración", COUNTIF(P134:V134, Categorías!$A$4)&gt;0, "Look&amp;Feel", COUNTIF(P134:V134, Categorías!$A$5)&gt;0, "Integración", COUNTIF(P134:V134, Categorías!$A$6)&gt;0, "Contenido/Datos", COUNTIF(P134:V134, Categorías!$A$7)&gt;0, "Eventos_Cosmos", COUNTIF(P134:V134, Categorías!$A$8)&gt;0, "Eventos_iOT", COUNTIF(P134:V134, Categorías!$A$9)&gt;0, "Eventos_Fabric", TRUE, "No encontrado")</f>
        <v>Look&amp;Feel</v>
      </c>
    </row>
    <row r="135" spans="1:34" ht="29.25">
      <c r="A135" s="40" t="s">
        <v>128</v>
      </c>
      <c r="B135" s="40" t="s">
        <v>938</v>
      </c>
      <c r="C135" s="40">
        <v>84751</v>
      </c>
      <c r="D135" s="40" t="s">
        <v>939</v>
      </c>
      <c r="H135" s="40" t="s">
        <v>37</v>
      </c>
      <c r="I135" s="40" t="s">
        <v>26</v>
      </c>
      <c r="J135" s="40" t="s">
        <v>866</v>
      </c>
      <c r="K135" s="40" t="s">
        <v>802</v>
      </c>
      <c r="L135" s="40" t="s">
        <v>1041</v>
      </c>
      <c r="M135" s="40"/>
      <c r="N135" s="40"/>
      <c r="O135" s="40"/>
      <c r="P135" s="40" t="s">
        <v>490</v>
      </c>
      <c r="Q135" s="40" t="s">
        <v>935</v>
      </c>
      <c r="R135" s="40" t="s">
        <v>226</v>
      </c>
      <c r="S135" s="40" t="s">
        <v>912</v>
      </c>
      <c r="T135" s="40" t="s">
        <v>154</v>
      </c>
      <c r="U135" s="40"/>
      <c r="V135" s="40"/>
      <c r="W135" s="40" t="s">
        <v>217</v>
      </c>
      <c r="X135" s="53">
        <v>45877.421527777777</v>
      </c>
      <c r="Y135" s="40" t="s">
        <v>806</v>
      </c>
      <c r="Z135" s="40"/>
      <c r="AA135" s="40"/>
      <c r="AB135" t="str">
        <f>IF(LEFT(Jira__325[[#This Row],[Resumen]],3)="POS","POS",IF(LEFT(Jira__325[[#This Row],[Resumen]],3)="BOT","BOT",""))</f>
        <v>POS</v>
      </c>
      <c r="AC135" s="9"/>
      <c r="AE135" s="22" t="str" cm="1">
        <f t="array" ref="AE135">_xlfn.IFS(OR(COUNTIF(P135:V135,Categorías!#REF!)&gt;0, COUNTIF(P135:V135,Categorías!#REF!)&gt;0), "Sprint 21",OR(COUNTIF(P135:V135,Categorías!#REF!)&gt;0, COUNTIF(P135:V135,Categorías!#REF!)&gt;0, COUNTIF(P135:V135,Categorías!#REF!)&gt;0), "Sprint 20",OR(COUNTIF(P135:V135,Categorías!#REF!)&gt;0, COUNTIF(P135:V135,Categorías!#REF!)&gt;0, COUNTIF(P135:V135,Categorías!#REF!)&gt;0), "Sprint 19",OR(COUNTIF(P135:V135,Categorías!#REF!)&gt;0, COUNTIF(P135:V135,Categorías!#REF!)&gt;0, COUNTIF(P135:V135,Categorías!#REF!)&gt;0), "Sprint 18",OR(COUNTIF(P135:V135,Categorías!#REF!)&gt;0, COUNTIF(P135:V135,Categorías!#REF!)&gt;0, COUNTIF(P135:V135,Categorías!#REF!)&gt;0, COUNTIF(P135:V135,Categorías!#REF!)&gt;0), "Sprint 17",OR(COUNTIF(P135:V135,Categorías!#REF!)&gt;0, COUNTIF(P135:V135,Categorías!#REF!)&gt;0, COUNTIF(P135:V135,Categorías!#REF!)&gt;0, COUNTIF(P135:V135,Categorías!#REF!)&gt;0), "Sprint 16", OR(COUNTIF(P135:V135,Categorías!#REF!)&gt;0, COUNTIF(P135:V135,Categorías!#REF!)&gt;0, COUNTIF(P135:V135,Categorías!#REF!)&gt;0, COUNTIF(P135:V135,Categorías!#REF!)&gt;0), "Sprint 16",TRUE, "")</f>
        <v/>
      </c>
      <c r="AF135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35" t="str" cm="1">
        <f t="array" ref="AG135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35" s="22" t="str" cm="1">
        <f t="array" ref="AH135">_xlfn.IFS(COUNTIF(P135:V135, Categorías!$A$2)&gt;0, "Funcional", COUNTIF(P135:V135, Categorías!$A$3)&gt;0, "Configuración", COUNTIF(P135:V135, Categorías!$A$4)&gt;0, "Look&amp;Feel", COUNTIF(P135:V135, Categorías!$A$5)&gt;0, "Integración", COUNTIF(P135:V135, Categorías!$A$6)&gt;0, "Contenido/Datos", COUNTIF(P135:V135, Categorías!$A$7)&gt;0, "Eventos_Cosmos", COUNTIF(P135:V135, Categorías!$A$8)&gt;0, "Eventos_iOT", COUNTIF(P135:V135, Categorías!$A$9)&gt;0, "Eventos_Fabric", TRUE, "No encontrado")</f>
        <v>Contenido/Datos</v>
      </c>
    </row>
    <row r="136" spans="1:34" ht="29.25">
      <c r="A136" s="40" t="s">
        <v>128</v>
      </c>
      <c r="B136" s="40" t="s">
        <v>940</v>
      </c>
      <c r="C136" s="40">
        <v>84623</v>
      </c>
      <c r="D136" s="40" t="s">
        <v>941</v>
      </c>
      <c r="H136" s="40" t="s">
        <v>37</v>
      </c>
      <c r="I136" s="40" t="s">
        <v>27</v>
      </c>
      <c r="J136" s="40" t="s">
        <v>866</v>
      </c>
      <c r="K136" s="40" t="s">
        <v>802</v>
      </c>
      <c r="L136" s="40" t="s">
        <v>1041</v>
      </c>
      <c r="M136" s="40"/>
      <c r="N136" s="40"/>
      <c r="O136" s="40"/>
      <c r="P136" s="40" t="s">
        <v>490</v>
      </c>
      <c r="Q136" s="40" t="s">
        <v>935</v>
      </c>
      <c r="R136" s="40" t="s">
        <v>204</v>
      </c>
      <c r="S136" s="40" t="s">
        <v>912</v>
      </c>
      <c r="T136" s="40" t="s">
        <v>154</v>
      </c>
      <c r="U136" s="40"/>
      <c r="V136" s="40"/>
      <c r="W136" s="40" t="s">
        <v>217</v>
      </c>
      <c r="X136" s="53">
        <v>45877.323611111111</v>
      </c>
      <c r="Y136" s="40" t="s">
        <v>806</v>
      </c>
      <c r="Z136" s="40"/>
      <c r="AA136" s="40"/>
      <c r="AB136" t="str">
        <f>IF(LEFT(Jira__325[[#This Row],[Resumen]],3)="POS","POS",IF(LEFT(Jira__325[[#This Row],[Resumen]],3)="BOT","BOT",""))</f>
        <v>BOT</v>
      </c>
      <c r="AC136" s="9"/>
      <c r="AE136" s="22" t="str" cm="1">
        <f t="array" ref="AE136">_xlfn.IFS(OR(COUNTIF(P136:V136,Categorías!#REF!)&gt;0, COUNTIF(P136:V136,Categorías!#REF!)&gt;0), "Sprint 21",OR(COUNTIF(P136:V136,Categorías!#REF!)&gt;0, COUNTIF(P136:V136,Categorías!#REF!)&gt;0, COUNTIF(P136:V136,Categorías!#REF!)&gt;0), "Sprint 20",OR(COUNTIF(P136:V136,Categorías!#REF!)&gt;0, COUNTIF(P136:V136,Categorías!#REF!)&gt;0, COUNTIF(P136:V136,Categorías!#REF!)&gt;0), "Sprint 19",OR(COUNTIF(P136:V136,Categorías!#REF!)&gt;0, COUNTIF(P136:V136,Categorías!#REF!)&gt;0, COUNTIF(P136:V136,Categorías!#REF!)&gt;0), "Sprint 18",OR(COUNTIF(P136:V136,Categorías!#REF!)&gt;0, COUNTIF(P136:V136,Categorías!#REF!)&gt;0, COUNTIF(P136:V136,Categorías!#REF!)&gt;0, COUNTIF(P136:V136,Categorías!#REF!)&gt;0), "Sprint 17",OR(COUNTIF(P136:V136,Categorías!#REF!)&gt;0, COUNTIF(P136:V136,Categorías!#REF!)&gt;0, COUNTIF(P136:V136,Categorías!#REF!)&gt;0, COUNTIF(P136:V136,Categorías!#REF!)&gt;0), "Sprint 16", OR(COUNTIF(P136:V136,Categorías!#REF!)&gt;0, COUNTIF(P136:V136,Categorías!#REF!)&gt;0, COUNTIF(P136:V136,Categorías!#REF!)&gt;0, COUNTIF(P136:V136,Categorías!#REF!)&gt;0), "Sprint 16",TRUE, "")</f>
        <v/>
      </c>
      <c r="AF136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36" t="str" cm="1">
        <f t="array" ref="AG136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36" s="22" t="str" cm="1">
        <f t="array" ref="AH136">_xlfn.IFS(COUNTIF(P136:V136, Categorías!$A$2)&gt;0, "Funcional", COUNTIF(P136:V136, Categorías!$A$3)&gt;0, "Configuración", COUNTIF(P136:V136, Categorías!$A$4)&gt;0, "Look&amp;Feel", COUNTIF(P136:V136, Categorías!$A$5)&gt;0, "Integración", COUNTIF(P136:V136, Categorías!$A$6)&gt;0, "Contenido/Datos", COUNTIF(P136:V136, Categorías!$A$7)&gt;0, "Eventos_Cosmos", COUNTIF(P136:V136, Categorías!$A$8)&gt;0, "Eventos_iOT", COUNTIF(P136:V136, Categorías!$A$9)&gt;0, "Eventos_Fabric", TRUE, "No encontrado")</f>
        <v>Contenido/Datos</v>
      </c>
    </row>
    <row r="137" spans="1:34" ht="29.25">
      <c r="A137" s="40" t="s">
        <v>128</v>
      </c>
      <c r="B137" s="40" t="s">
        <v>942</v>
      </c>
      <c r="C137" s="40">
        <v>84620</v>
      </c>
      <c r="D137" s="40" t="s">
        <v>943</v>
      </c>
      <c r="H137" s="40" t="s">
        <v>37</v>
      </c>
      <c r="I137" s="40" t="s">
        <v>26</v>
      </c>
      <c r="J137" s="40" t="s">
        <v>866</v>
      </c>
      <c r="K137" s="40" t="s">
        <v>802</v>
      </c>
      <c r="L137" s="40" t="s">
        <v>1041</v>
      </c>
      <c r="M137" s="40"/>
      <c r="N137" s="40"/>
      <c r="O137" s="40"/>
      <c r="P137" s="40" t="s">
        <v>139</v>
      </c>
      <c r="Q137" s="40" t="s">
        <v>935</v>
      </c>
      <c r="R137" s="40" t="s">
        <v>226</v>
      </c>
      <c r="S137" s="40" t="s">
        <v>912</v>
      </c>
      <c r="T137" s="40" t="s">
        <v>154</v>
      </c>
      <c r="U137" s="40"/>
      <c r="V137" s="40"/>
      <c r="W137" s="40" t="s">
        <v>217</v>
      </c>
      <c r="X137" s="53">
        <v>45877.289583333331</v>
      </c>
      <c r="Y137" s="40" t="s">
        <v>806</v>
      </c>
      <c r="Z137" s="40"/>
      <c r="AA137" s="40"/>
      <c r="AB137" t="str">
        <f>IF(LEFT(Jira__325[[#This Row],[Resumen]],3)="POS","POS",IF(LEFT(Jira__325[[#This Row],[Resumen]],3)="BOT","BOT",""))</f>
        <v>POS</v>
      </c>
      <c r="AC137" s="9"/>
      <c r="AE137" s="22" t="str" cm="1">
        <f t="array" ref="AE137">_xlfn.IFS(OR(COUNTIF(P137:V137,Categorías!#REF!)&gt;0, COUNTIF(P137:V137,Categorías!#REF!)&gt;0), "Sprint 21",OR(COUNTIF(P137:V137,Categorías!#REF!)&gt;0, COUNTIF(P137:V137,Categorías!#REF!)&gt;0, COUNTIF(P137:V137,Categorías!#REF!)&gt;0), "Sprint 20",OR(COUNTIF(P137:V137,Categorías!#REF!)&gt;0, COUNTIF(P137:V137,Categorías!#REF!)&gt;0, COUNTIF(P137:V137,Categorías!#REF!)&gt;0), "Sprint 19",OR(COUNTIF(P137:V137,Categorías!#REF!)&gt;0, COUNTIF(P137:V137,Categorías!#REF!)&gt;0, COUNTIF(P137:V137,Categorías!#REF!)&gt;0), "Sprint 18",OR(COUNTIF(P137:V137,Categorías!#REF!)&gt;0, COUNTIF(P137:V137,Categorías!#REF!)&gt;0, COUNTIF(P137:V137,Categorías!#REF!)&gt;0, COUNTIF(P137:V137,Categorías!#REF!)&gt;0), "Sprint 17",OR(COUNTIF(P137:V137,Categorías!#REF!)&gt;0, COUNTIF(P137:V137,Categorías!#REF!)&gt;0, COUNTIF(P137:V137,Categorías!#REF!)&gt;0, COUNTIF(P137:V137,Categorías!#REF!)&gt;0), "Sprint 16", OR(COUNTIF(P137:V137,Categorías!#REF!)&gt;0, COUNTIF(P137:V137,Categorías!#REF!)&gt;0, COUNTIF(P137:V137,Categorías!#REF!)&gt;0, COUNTIF(P137:V137,Categorías!#REF!)&gt;0), "Sprint 16",TRUE, "")</f>
        <v/>
      </c>
      <c r="AF137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37" t="str" cm="1">
        <f t="array" ref="AG137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37" s="22" t="str" cm="1">
        <f t="array" ref="AH137">_xlfn.IFS(COUNTIF(P137:V137, Categorías!$A$2)&gt;0, "Funcional", COUNTIF(P137:V137, Categorías!$A$3)&gt;0, "Configuración", COUNTIF(P137:V137, Categorías!$A$4)&gt;0, "Look&amp;Feel", COUNTIF(P137:V137, Categorías!$A$5)&gt;0, "Integración", COUNTIF(P137:V137, Categorías!$A$6)&gt;0, "Contenido/Datos", COUNTIF(P137:V137, Categorías!$A$7)&gt;0, "Eventos_Cosmos", COUNTIF(P137:V137, Categorías!$A$8)&gt;0, "Eventos_iOT", COUNTIF(P137:V137, Categorías!$A$9)&gt;0, "Eventos_Fabric", TRUE, "No encontrado")</f>
        <v>Funcional</v>
      </c>
    </row>
    <row r="138" spans="1:34" ht="29.25">
      <c r="A138" s="40" t="s">
        <v>128</v>
      </c>
      <c r="B138" s="40" t="s">
        <v>944</v>
      </c>
      <c r="C138" s="40">
        <v>84449</v>
      </c>
      <c r="D138" s="40" t="s">
        <v>945</v>
      </c>
      <c r="H138" s="40" t="s">
        <v>37</v>
      </c>
      <c r="I138" s="40" t="s">
        <v>24</v>
      </c>
      <c r="J138" s="40" t="s">
        <v>866</v>
      </c>
      <c r="K138" s="40" t="s">
        <v>802</v>
      </c>
      <c r="L138" s="40" t="s">
        <v>753</v>
      </c>
      <c r="M138" s="40" t="s">
        <v>721</v>
      </c>
      <c r="N138" s="40" t="s">
        <v>637</v>
      </c>
      <c r="O138" s="40"/>
      <c r="P138" s="40" t="s">
        <v>139</v>
      </c>
      <c r="Q138" s="40" t="s">
        <v>935</v>
      </c>
      <c r="R138" s="40" t="s">
        <v>226</v>
      </c>
      <c r="S138" s="40" t="s">
        <v>154</v>
      </c>
      <c r="T138" s="40"/>
      <c r="U138" s="40"/>
      <c r="V138" s="40"/>
      <c r="W138" s="40" t="s">
        <v>217</v>
      </c>
      <c r="X138" s="53">
        <v>45876.560416666667</v>
      </c>
      <c r="Y138" s="40" t="s">
        <v>806</v>
      </c>
      <c r="Z138" s="40"/>
      <c r="AA138" s="40"/>
      <c r="AB138" t="str">
        <f>IF(LEFT(Jira__325[[#This Row],[Resumen]],3)="POS","POS",IF(LEFT(Jira__325[[#This Row],[Resumen]],3)="BOT","BOT",""))</f>
        <v>POS</v>
      </c>
      <c r="AC138" s="9"/>
      <c r="AE138" s="22" t="str" cm="1">
        <f t="array" ref="AE138">_xlfn.IFS(OR(COUNTIF(P138:V138,Categorías!#REF!)&gt;0, COUNTIF(P138:V138,Categorías!#REF!)&gt;0), "Sprint 21",OR(COUNTIF(P138:V138,Categorías!#REF!)&gt;0, COUNTIF(P138:V138,Categorías!#REF!)&gt;0, COUNTIF(P138:V138,Categorías!#REF!)&gt;0), "Sprint 20",OR(COUNTIF(P138:V138,Categorías!#REF!)&gt;0, COUNTIF(P138:V138,Categorías!#REF!)&gt;0, COUNTIF(P138:V138,Categorías!#REF!)&gt;0), "Sprint 19",OR(COUNTIF(P138:V138,Categorías!#REF!)&gt;0, COUNTIF(P138:V138,Categorías!#REF!)&gt;0, COUNTIF(P138:V138,Categorías!#REF!)&gt;0), "Sprint 18",OR(COUNTIF(P138:V138,Categorías!#REF!)&gt;0, COUNTIF(P138:V138,Categorías!#REF!)&gt;0, COUNTIF(P138:V138,Categorías!#REF!)&gt;0, COUNTIF(P138:V138,Categorías!#REF!)&gt;0), "Sprint 17",OR(COUNTIF(P138:V138,Categorías!#REF!)&gt;0, COUNTIF(P138:V138,Categorías!#REF!)&gt;0, COUNTIF(P138:V138,Categorías!#REF!)&gt;0, COUNTIF(P138:V138,Categorías!#REF!)&gt;0), "Sprint 16", OR(COUNTIF(P138:V138,Categorías!#REF!)&gt;0, COUNTIF(P138:V138,Categorías!#REF!)&gt;0, COUNTIF(P138:V138,Categorías!#REF!)&gt;0, COUNTIF(P138:V138,Categorías!#REF!)&gt;0), "Sprint 16",TRUE, "")</f>
        <v/>
      </c>
      <c r="AF138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v0.6</v>
      </c>
      <c r="AG138" t="str" cm="1">
        <f t="array" ref="AG138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18</v>
      </c>
      <c r="AH138" s="22" t="str" cm="1">
        <f t="array" ref="AH138">_xlfn.IFS(COUNTIF(P138:V138, Categorías!$A$2)&gt;0, "Funcional", COUNTIF(P138:V138, Categorías!$A$3)&gt;0, "Configuración", COUNTIF(P138:V138, Categorías!$A$4)&gt;0, "Look&amp;Feel", COUNTIF(P138:V138, Categorías!$A$5)&gt;0, "Integración", COUNTIF(P138:V138, Categorías!$A$6)&gt;0, "Contenido/Datos", COUNTIF(P138:V138, Categorías!$A$7)&gt;0, "Eventos_Cosmos", COUNTIF(P138:V138, Categorías!$A$8)&gt;0, "Eventos_iOT", COUNTIF(P138:V138, Categorías!$A$9)&gt;0, "Eventos_Fabric", TRUE, "No encontrado")</f>
        <v>Funcional</v>
      </c>
    </row>
    <row r="139" spans="1:34" ht="29.25">
      <c r="A139" s="40" t="s">
        <v>128</v>
      </c>
      <c r="B139" s="40" t="s">
        <v>946</v>
      </c>
      <c r="C139" s="40">
        <v>84277</v>
      </c>
      <c r="D139" s="40" t="s">
        <v>947</v>
      </c>
      <c r="H139" s="40" t="s">
        <v>37</v>
      </c>
      <c r="I139" s="40" t="s">
        <v>26</v>
      </c>
      <c r="J139" s="40" t="s">
        <v>866</v>
      </c>
      <c r="K139" s="40" t="s">
        <v>802</v>
      </c>
      <c r="L139" s="40" t="s">
        <v>1041</v>
      </c>
      <c r="M139" s="40"/>
      <c r="N139" s="40"/>
      <c r="O139" s="40"/>
      <c r="P139" s="40" t="s">
        <v>490</v>
      </c>
      <c r="Q139" s="40" t="s">
        <v>935</v>
      </c>
      <c r="R139" s="40" t="s">
        <v>226</v>
      </c>
      <c r="S139" s="40" t="s">
        <v>154</v>
      </c>
      <c r="T139" s="40"/>
      <c r="U139" s="40"/>
      <c r="V139" s="40"/>
      <c r="W139" s="40" t="s">
        <v>217</v>
      </c>
      <c r="X139" s="53">
        <v>45876.388194444444</v>
      </c>
      <c r="Y139" s="40" t="s">
        <v>805</v>
      </c>
      <c r="Z139" s="40"/>
      <c r="AA139" s="40"/>
      <c r="AB139" t="str">
        <f>IF(LEFT(Jira__325[[#This Row],[Resumen]],3)="POS","POS",IF(LEFT(Jira__325[[#This Row],[Resumen]],3)="BOT","BOT",""))</f>
        <v>POS</v>
      </c>
      <c r="AC139" s="9"/>
      <c r="AE139" s="22" t="str" cm="1">
        <f t="array" ref="AE139">_xlfn.IFS(OR(COUNTIF(P139:V139,Categorías!#REF!)&gt;0, COUNTIF(P139:V139,Categorías!#REF!)&gt;0), "Sprint 21",OR(COUNTIF(P139:V139,Categorías!#REF!)&gt;0, COUNTIF(P139:V139,Categorías!#REF!)&gt;0, COUNTIF(P139:V139,Categorías!#REF!)&gt;0), "Sprint 20",OR(COUNTIF(P139:V139,Categorías!#REF!)&gt;0, COUNTIF(P139:V139,Categorías!#REF!)&gt;0, COUNTIF(P139:V139,Categorías!#REF!)&gt;0), "Sprint 19",OR(COUNTIF(P139:V139,Categorías!#REF!)&gt;0, COUNTIF(P139:V139,Categorías!#REF!)&gt;0, COUNTIF(P139:V139,Categorías!#REF!)&gt;0), "Sprint 18",OR(COUNTIF(P139:V139,Categorías!#REF!)&gt;0, COUNTIF(P139:V139,Categorías!#REF!)&gt;0, COUNTIF(P139:V139,Categorías!#REF!)&gt;0, COUNTIF(P139:V139,Categorías!#REF!)&gt;0), "Sprint 17",OR(COUNTIF(P139:V139,Categorías!#REF!)&gt;0, COUNTIF(P139:V139,Categorías!#REF!)&gt;0, COUNTIF(P139:V139,Categorías!#REF!)&gt;0, COUNTIF(P139:V139,Categorías!#REF!)&gt;0), "Sprint 16", OR(COUNTIF(P139:V139,Categorías!#REF!)&gt;0, COUNTIF(P139:V139,Categorías!#REF!)&gt;0, COUNTIF(P139:V139,Categorías!#REF!)&gt;0, COUNTIF(P139:V139,Categorías!#REF!)&gt;0), "Sprint 16",TRUE, "")</f>
        <v/>
      </c>
      <c r="AF139" t="str">
        <f>"v"&amp;MAX(
    IFERROR(VALUE(MID(Jira__325[[#This Row],[Versiones corregidas]],2,99)),0),
    IFERROR(VALUE(MID(Jira__325[[#This Row],[Versiones corregidas_13]],2,99)),0),
    IFERROR(VALUE(MID(Jira__325[[#This Row],[Versiones corregidas_14]],2,99)),0)
)</f>
        <v>v0.5</v>
      </c>
      <c r="AG139" t="str" cm="1">
        <f t="array" ref="AG139">_xlfn.IFS(Jira__325[[#This Row],[¿En qué versión fue corregido?]]="v0","N/A",Jira__325[[#This Row],[¿En qué versión fue corregido?]]="v0.4","Sprint 16", Jira__325[[#This Row],[¿En qué versión fue corregido?]]="v0.5","Sprint 17", Jira__325[[#This Row],[¿En qué versión fue corregido?]]="v0.6","Sprint 18", Jira__325[[#This Row],[¿En qué versión fue corregido?]]="v0.7","Sprint 19",  Jira__325[[#This Row],[¿En qué versión fue corregido?]]="v0.8","Sprint 20",Jira__325[[#This Row],[¿En qué versión fue corregido?]]="v0.9","Sprint 21", TRUE,"Desconocido")</f>
        <v>Sprint 17</v>
      </c>
      <c r="AH139" s="22" t="str" cm="1">
        <f t="array" ref="AH139">_xlfn.IFS(COUNTIF(P139:V139, Categorías!$A$2)&gt;0, "Funcional", COUNTIF(P139:V139, Categorías!$A$3)&gt;0, "Configuración", COUNTIF(P139:V139, Categorías!$A$4)&gt;0, "Look&amp;Feel", COUNTIF(P139:V139, Categorías!$A$5)&gt;0, "Integración", COUNTIF(P139:V139, Categorías!$A$6)&gt;0, "Contenido/Datos", COUNTIF(P139:V139, Categorías!$A$7)&gt;0, "Eventos_Cosmos", COUNTIF(P139:V139, Categorías!$A$8)&gt;0, "Eventos_iOT", COUNTIF(P139:V139, Categorías!$A$9)&gt;0, "Eventos_Fabric", TRUE, "No encontrado")</f>
        <v>Contenido/Datos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92A4-0952-4F7B-A217-7635029B7804}">
  <dimension ref="A1:K39"/>
  <sheetViews>
    <sheetView workbookViewId="0">
      <selection activeCell="G27" sqref="G27"/>
    </sheetView>
  </sheetViews>
  <sheetFormatPr defaultColWidth="11.42578125" defaultRowHeight="15"/>
  <cols>
    <col min="1" max="1" width="21.5703125" bestFit="1" customWidth="1"/>
    <col min="2" max="2" width="26.5703125" bestFit="1" customWidth="1"/>
    <col min="3" max="3" width="12" bestFit="1" customWidth="1"/>
    <col min="4" max="4" width="10.42578125" bestFit="1" customWidth="1"/>
    <col min="5" max="5" width="13.7109375" customWidth="1"/>
    <col min="6" max="6" width="14.7109375" bestFit="1" customWidth="1"/>
    <col min="7" max="7" width="5.5703125" customWidth="1"/>
    <col min="8" max="8" width="14.7109375" customWidth="1"/>
    <col min="9" max="9" width="12.140625" customWidth="1"/>
    <col min="10" max="10" width="5.5703125" bestFit="1" customWidth="1"/>
    <col min="11" max="11" width="15.42578125" bestFit="1" customWidth="1"/>
    <col min="12" max="13" width="14.140625" bestFit="1" customWidth="1"/>
    <col min="14" max="14" width="17.28515625" bestFit="1" customWidth="1"/>
    <col min="15" max="15" width="10.7109375" bestFit="1" customWidth="1"/>
    <col min="16" max="17" width="12.5703125" bestFit="1" customWidth="1"/>
    <col min="18" max="18" width="15.5703125" bestFit="1" customWidth="1"/>
    <col min="19" max="19" width="16.140625" bestFit="1" customWidth="1"/>
    <col min="20" max="20" width="19.28515625" bestFit="1" customWidth="1"/>
    <col min="21" max="21" width="11.42578125" bestFit="1" customWidth="1"/>
    <col min="22" max="22" width="14.42578125" bestFit="1" customWidth="1"/>
    <col min="23" max="23" width="12.5703125" bestFit="1" customWidth="1"/>
    <col min="24" max="24" width="15.5703125" bestFit="1" customWidth="1"/>
    <col min="25" max="25" width="16.140625" bestFit="1" customWidth="1"/>
    <col min="26" max="26" width="14.42578125" bestFit="1" customWidth="1"/>
    <col min="27" max="27" width="19.28515625" bestFit="1" customWidth="1"/>
    <col min="28" max="28" width="11.42578125" bestFit="1" customWidth="1"/>
    <col min="29" max="29" width="5.85546875" bestFit="1" customWidth="1"/>
    <col min="30" max="30" width="14.42578125" bestFit="1" customWidth="1"/>
    <col min="31" max="31" width="12.5703125" bestFit="1" customWidth="1"/>
    <col min="32" max="32" width="20.140625" bestFit="1" customWidth="1"/>
    <col min="33" max="33" width="5.85546875" bestFit="1" customWidth="1"/>
    <col min="34" max="34" width="14.42578125" bestFit="1" customWidth="1"/>
    <col min="35" max="35" width="23.28515625" bestFit="1" customWidth="1"/>
    <col min="36" max="36" width="20.7109375" bestFit="1" customWidth="1"/>
    <col min="37" max="37" width="14.42578125" bestFit="1" customWidth="1"/>
    <col min="38" max="38" width="17.28515625" bestFit="1" customWidth="1"/>
    <col min="39" max="39" width="23.85546875" bestFit="1" customWidth="1"/>
    <col min="40" max="40" width="16.140625" bestFit="1" customWidth="1"/>
    <col min="41" max="41" width="19.28515625" bestFit="1" customWidth="1"/>
    <col min="42" max="42" width="15.5703125" bestFit="1" customWidth="1"/>
    <col min="43" max="43" width="16.140625" bestFit="1" customWidth="1"/>
    <col min="44" max="44" width="14.42578125" bestFit="1" customWidth="1"/>
    <col min="45" max="45" width="19.28515625" bestFit="1" customWidth="1"/>
    <col min="46" max="46" width="11.42578125" bestFit="1" customWidth="1"/>
    <col min="47" max="47" width="5.85546875" bestFit="1" customWidth="1"/>
    <col min="48" max="48" width="14.42578125" bestFit="1" customWidth="1"/>
    <col min="49" max="49" width="19.140625" bestFit="1" customWidth="1"/>
    <col min="50" max="50" width="16" bestFit="1" customWidth="1"/>
    <col min="51" max="51" width="15.5703125" bestFit="1" customWidth="1"/>
    <col min="52" max="52" width="17.28515625" bestFit="1" customWidth="1"/>
    <col min="53" max="53" width="11.42578125" bestFit="1" customWidth="1"/>
    <col min="54" max="54" width="5.85546875" bestFit="1" customWidth="1"/>
    <col min="55" max="55" width="14.42578125" bestFit="1" customWidth="1"/>
    <col min="56" max="56" width="19.140625" bestFit="1" customWidth="1"/>
    <col min="57" max="57" width="16" bestFit="1" customWidth="1"/>
    <col min="58" max="59" width="5.85546875" bestFit="1" customWidth="1"/>
    <col min="60" max="60" width="11.42578125" bestFit="1" customWidth="1"/>
    <col min="61" max="61" width="5.85546875" bestFit="1" customWidth="1"/>
    <col min="62" max="62" width="14.42578125" bestFit="1" customWidth="1"/>
    <col min="63" max="63" width="19.140625" bestFit="1" customWidth="1"/>
    <col min="64" max="64" width="16.5703125" bestFit="1" customWidth="1"/>
    <col min="65" max="66" width="5.85546875" bestFit="1" customWidth="1"/>
    <col min="67" max="67" width="19.7109375" bestFit="1" customWidth="1"/>
    <col min="68" max="68" width="12.42578125" bestFit="1" customWidth="1"/>
    <col min="69" max="70" width="5.85546875" bestFit="1" customWidth="1"/>
    <col min="71" max="71" width="12.5703125" bestFit="1" customWidth="1"/>
    <col min="72" max="72" width="14.42578125" bestFit="1" customWidth="1"/>
    <col min="73" max="73" width="15.5703125" bestFit="1" customWidth="1"/>
    <col min="74" max="74" width="11.42578125" bestFit="1" customWidth="1"/>
    <col min="75" max="75" width="5.85546875" bestFit="1" customWidth="1"/>
    <col min="76" max="76" width="14.42578125" bestFit="1" customWidth="1"/>
    <col min="77" max="77" width="15.42578125" bestFit="1" customWidth="1"/>
    <col min="78" max="78" width="12.5703125" bestFit="1" customWidth="1"/>
    <col min="79" max="80" width="5.85546875" bestFit="1" customWidth="1"/>
    <col min="81" max="81" width="11.42578125" bestFit="1" customWidth="1"/>
    <col min="82" max="82" width="5.85546875" bestFit="1" customWidth="1"/>
    <col min="83" max="83" width="14.42578125" bestFit="1" customWidth="1"/>
    <col min="84" max="84" width="15.5703125" bestFit="1" customWidth="1"/>
    <col min="85" max="85" width="12.5703125" bestFit="1" customWidth="1"/>
    <col min="86" max="86" width="15.5703125" bestFit="1" customWidth="1"/>
    <col min="87" max="87" width="17.28515625" bestFit="1" customWidth="1"/>
    <col min="88" max="88" width="16.140625" bestFit="1" customWidth="1"/>
    <col min="89" max="89" width="5.85546875" bestFit="1" customWidth="1"/>
    <col min="90" max="90" width="14.42578125" bestFit="1" customWidth="1"/>
    <col min="91" max="91" width="19.28515625" bestFit="1" customWidth="1"/>
    <col min="92" max="92" width="11.42578125" bestFit="1" customWidth="1"/>
    <col min="93" max="94" width="5.85546875" bestFit="1" customWidth="1"/>
    <col min="95" max="95" width="14.42578125" bestFit="1" customWidth="1"/>
    <col min="96" max="96" width="15.42578125" bestFit="1" customWidth="1"/>
    <col min="97" max="97" width="16.140625" bestFit="1" customWidth="1"/>
    <col min="98" max="98" width="5.85546875" bestFit="1" customWidth="1"/>
    <col min="99" max="99" width="14.42578125" bestFit="1" customWidth="1"/>
    <col min="100" max="100" width="19.28515625" bestFit="1" customWidth="1"/>
    <col min="101" max="101" width="11.42578125" bestFit="1" customWidth="1"/>
    <col min="102" max="103" width="5.85546875" bestFit="1" customWidth="1"/>
    <col min="104" max="104" width="14.42578125" bestFit="1" customWidth="1"/>
    <col min="105" max="105" width="15.5703125" bestFit="1" customWidth="1"/>
    <col min="106" max="106" width="12.5703125" bestFit="1" customWidth="1"/>
    <col min="107" max="107" width="14.42578125" bestFit="1" customWidth="1"/>
    <col min="108" max="108" width="15.5703125" bestFit="1" customWidth="1"/>
    <col min="109" max="109" width="19.140625" bestFit="1" customWidth="1"/>
    <col min="110" max="110" width="16" bestFit="1" customWidth="1"/>
    <col min="111" max="111" width="15.5703125" bestFit="1" customWidth="1"/>
    <col min="112" max="112" width="17.28515625" bestFit="1" customWidth="1"/>
    <col min="113" max="113" width="11.42578125" bestFit="1" customWidth="1"/>
    <col min="114" max="114" width="5.85546875" bestFit="1" customWidth="1"/>
    <col min="115" max="115" width="14.42578125" bestFit="1" customWidth="1"/>
    <col min="116" max="116" width="15.42578125" bestFit="1" customWidth="1"/>
    <col min="117" max="117" width="19.140625" bestFit="1" customWidth="1"/>
    <col min="118" max="118" width="16" bestFit="1" customWidth="1"/>
    <col min="119" max="119" width="5.85546875" bestFit="1" customWidth="1"/>
    <col min="120" max="120" width="14.42578125" bestFit="1" customWidth="1"/>
    <col min="121" max="121" width="15.42578125" bestFit="1" customWidth="1"/>
    <col min="122" max="122" width="19.140625" bestFit="1" customWidth="1"/>
    <col min="123" max="123" width="16.5703125" bestFit="1" customWidth="1"/>
    <col min="124" max="126" width="5.85546875" bestFit="1" customWidth="1"/>
    <col min="127" max="127" width="19.7109375" bestFit="1" customWidth="1"/>
    <col min="128" max="128" width="16.140625" bestFit="1" customWidth="1"/>
    <col min="129" max="129" width="5.85546875" bestFit="1" customWidth="1"/>
    <col min="130" max="130" width="14.42578125" bestFit="1" customWidth="1"/>
    <col min="131" max="131" width="19.28515625" bestFit="1" customWidth="1"/>
    <col min="132" max="132" width="11.42578125" bestFit="1" customWidth="1"/>
    <col min="133" max="134" width="5.85546875" bestFit="1" customWidth="1"/>
    <col min="135" max="135" width="14.42578125" bestFit="1" customWidth="1"/>
    <col min="136" max="136" width="15.42578125" bestFit="1" customWidth="1"/>
    <col min="137" max="137" width="16.140625" bestFit="1" customWidth="1"/>
    <col min="138" max="138" width="5.85546875" bestFit="1" customWidth="1"/>
    <col min="139" max="139" width="14.42578125" bestFit="1" customWidth="1"/>
    <col min="140" max="140" width="19.28515625" bestFit="1" customWidth="1"/>
    <col min="141" max="141" width="11.42578125" bestFit="1" customWidth="1"/>
    <col min="142" max="143" width="5.85546875" bestFit="1" customWidth="1"/>
    <col min="144" max="144" width="14.42578125" bestFit="1" customWidth="1"/>
    <col min="145" max="145" width="15.5703125" bestFit="1" customWidth="1"/>
    <col min="146" max="146" width="14.5703125" bestFit="1" customWidth="1"/>
    <col min="147" max="147" width="12.28515625" bestFit="1" customWidth="1"/>
    <col min="148" max="151" width="5.85546875" bestFit="1" customWidth="1"/>
    <col min="152" max="152" width="20.140625" bestFit="1" customWidth="1"/>
    <col min="153" max="153" width="5.85546875" bestFit="1" customWidth="1"/>
    <col min="154" max="154" width="14.42578125" bestFit="1" customWidth="1"/>
    <col min="155" max="155" width="15.5703125" bestFit="1" customWidth="1"/>
    <col min="156" max="156" width="23.28515625" bestFit="1" customWidth="1"/>
    <col min="157" max="157" width="20.7109375" bestFit="1" customWidth="1"/>
    <col min="158" max="158" width="14.42578125" bestFit="1" customWidth="1"/>
    <col min="159" max="159" width="17.28515625" bestFit="1" customWidth="1"/>
    <col min="160" max="160" width="15.42578125" bestFit="1" customWidth="1"/>
    <col min="161" max="161" width="23.85546875" bestFit="1" customWidth="1"/>
    <col min="162" max="162" width="16.140625" bestFit="1" customWidth="1"/>
    <col min="163" max="163" width="5.85546875" bestFit="1" customWidth="1"/>
    <col min="164" max="164" width="14.42578125" bestFit="1" customWidth="1"/>
    <col min="165" max="165" width="19.28515625" bestFit="1" customWidth="1"/>
    <col min="166" max="166" width="11.42578125" bestFit="1" customWidth="1"/>
    <col min="167" max="168" width="5.85546875" bestFit="1" customWidth="1"/>
    <col min="169" max="169" width="14.42578125" bestFit="1" customWidth="1"/>
    <col min="170" max="170" width="15.42578125" bestFit="1" customWidth="1"/>
    <col min="171" max="171" width="12.5703125" bestFit="1" customWidth="1"/>
    <col min="172" max="173" width="5.85546875" bestFit="1" customWidth="1"/>
    <col min="174" max="174" width="14.42578125" bestFit="1" customWidth="1"/>
    <col min="175" max="175" width="15.5703125" bestFit="1" customWidth="1"/>
    <col min="176" max="176" width="15.28515625" bestFit="1" customWidth="1"/>
    <col min="177" max="177" width="12.5703125" bestFit="1" customWidth="1"/>
    <col min="178" max="178" width="19.140625" bestFit="1" customWidth="1"/>
    <col min="179" max="179" width="16.5703125" bestFit="1" customWidth="1"/>
    <col min="180" max="182" width="5.85546875" bestFit="1" customWidth="1"/>
    <col min="183" max="183" width="19.7109375" bestFit="1" customWidth="1"/>
    <col min="184" max="184" width="8.42578125" bestFit="1" customWidth="1"/>
    <col min="185" max="185" width="17.7109375" bestFit="1" customWidth="1"/>
    <col min="186" max="187" width="5.85546875" bestFit="1" customWidth="1"/>
    <col min="188" max="188" width="14.42578125" bestFit="1" customWidth="1"/>
    <col min="189" max="189" width="15.42578125" bestFit="1" customWidth="1"/>
    <col min="190" max="190" width="20.85546875" bestFit="1" customWidth="1"/>
    <col min="191" max="191" width="20.140625" bestFit="1" customWidth="1"/>
    <col min="192" max="195" width="5.85546875" bestFit="1" customWidth="1"/>
    <col min="196" max="196" width="16.140625" bestFit="1" customWidth="1"/>
    <col min="197" max="197" width="5.85546875" bestFit="1" customWidth="1"/>
    <col min="198" max="198" width="14.42578125" bestFit="1" customWidth="1"/>
    <col min="199" max="199" width="19.28515625" bestFit="1" customWidth="1"/>
    <col min="200" max="200" width="11.42578125" bestFit="1" customWidth="1"/>
    <col min="201" max="202" width="5.85546875" bestFit="1" customWidth="1"/>
    <col min="203" max="203" width="14.42578125" bestFit="1" customWidth="1"/>
    <col min="204" max="204" width="15.5703125" bestFit="1" customWidth="1"/>
    <col min="205" max="205" width="23.28515625" bestFit="1" customWidth="1"/>
    <col min="206" max="206" width="20.140625" bestFit="1" customWidth="1"/>
    <col min="207" max="210" width="5.85546875" bestFit="1" customWidth="1"/>
    <col min="211" max="211" width="12.5703125" bestFit="1" customWidth="1"/>
    <col min="212" max="213" width="5.85546875" bestFit="1" customWidth="1"/>
    <col min="214" max="214" width="14.42578125" bestFit="1" customWidth="1"/>
    <col min="215" max="215" width="15.5703125" bestFit="1" customWidth="1"/>
    <col min="216" max="216" width="23.28515625" bestFit="1" customWidth="1"/>
    <col min="217" max="217" width="20.7109375" bestFit="1" customWidth="1"/>
    <col min="218" max="218" width="5.85546875" bestFit="1" customWidth="1"/>
    <col min="219" max="219" width="14.42578125" bestFit="1" customWidth="1"/>
    <col min="220" max="220" width="19.28515625" bestFit="1" customWidth="1"/>
    <col min="221" max="221" width="11.42578125" bestFit="1" customWidth="1"/>
    <col min="222" max="223" width="5.85546875" bestFit="1" customWidth="1"/>
    <col min="224" max="224" width="14.42578125" bestFit="1" customWidth="1"/>
    <col min="225" max="225" width="15.5703125" bestFit="1" customWidth="1"/>
    <col min="226" max="226" width="23.85546875" bestFit="1" customWidth="1"/>
    <col min="227" max="227" width="20.140625" bestFit="1" customWidth="1"/>
    <col min="228" max="231" width="5.85546875" bestFit="1" customWidth="1"/>
    <col min="232" max="232" width="12.42578125" bestFit="1" customWidth="1"/>
    <col min="233" max="234" width="5.85546875" bestFit="1" customWidth="1"/>
    <col min="235" max="235" width="14.42578125" bestFit="1" customWidth="1"/>
    <col min="236" max="236" width="15.42578125" bestFit="1" customWidth="1"/>
    <col min="237" max="237" width="23.28515625" bestFit="1" customWidth="1"/>
    <col min="238" max="238" width="20.7109375" bestFit="1" customWidth="1"/>
    <col min="239" max="242" width="5.85546875" bestFit="1" customWidth="1"/>
    <col min="243" max="243" width="12.42578125" bestFit="1" customWidth="1"/>
    <col min="244" max="245" width="5.85546875" bestFit="1" customWidth="1"/>
    <col min="246" max="246" width="14.42578125" bestFit="1" customWidth="1"/>
    <col min="247" max="247" width="15.42578125" bestFit="1" customWidth="1"/>
    <col min="248" max="248" width="12.5703125" bestFit="1" customWidth="1"/>
    <col min="249" max="250" width="5.85546875" bestFit="1" customWidth="1"/>
    <col min="251" max="251" width="14.42578125" bestFit="1" customWidth="1"/>
    <col min="252" max="252" width="15.5703125" bestFit="1" customWidth="1"/>
    <col min="253" max="253" width="23.85546875" bestFit="1" customWidth="1"/>
    <col min="254" max="254" width="20.140625" bestFit="1" customWidth="1"/>
    <col min="255" max="258" width="5.85546875" bestFit="1" customWidth="1"/>
    <col min="259" max="259" width="12.42578125" bestFit="1" customWidth="1"/>
    <col min="260" max="261" width="5.85546875" bestFit="1" customWidth="1"/>
    <col min="262" max="262" width="14.42578125" bestFit="1" customWidth="1"/>
    <col min="263" max="263" width="15.42578125" bestFit="1" customWidth="1"/>
    <col min="264" max="264" width="23.28515625" bestFit="1" customWidth="1"/>
    <col min="265" max="265" width="20.140625" bestFit="1" customWidth="1"/>
    <col min="266" max="269" width="5.85546875" bestFit="1" customWidth="1"/>
    <col min="270" max="270" width="23.28515625" bestFit="1" customWidth="1"/>
    <col min="271" max="271" width="16" bestFit="1" customWidth="1"/>
    <col min="272" max="275" width="5.85546875" bestFit="1" customWidth="1"/>
    <col min="276" max="276" width="16.140625" bestFit="1" customWidth="1"/>
    <col min="277" max="277" width="5.85546875" bestFit="1" customWidth="1"/>
    <col min="278" max="278" width="14.42578125" bestFit="1" customWidth="1"/>
    <col min="279" max="279" width="19.28515625" bestFit="1" customWidth="1"/>
    <col min="280" max="280" width="11.42578125" bestFit="1" customWidth="1"/>
    <col min="281" max="282" width="5.85546875" bestFit="1" customWidth="1"/>
    <col min="283" max="283" width="14.42578125" bestFit="1" customWidth="1"/>
    <col min="284" max="284" width="15.42578125" bestFit="1" customWidth="1"/>
    <col min="285" max="285" width="12.5703125" bestFit="1" customWidth="1"/>
    <col min="286" max="287" width="5.85546875" bestFit="1" customWidth="1"/>
    <col min="288" max="288" width="14.42578125" bestFit="1" customWidth="1"/>
    <col min="289" max="289" width="15.5703125" bestFit="1" customWidth="1"/>
    <col min="290" max="290" width="19.140625" bestFit="1" customWidth="1"/>
    <col min="291" max="291" width="16" bestFit="1" customWidth="1"/>
    <col min="292" max="295" width="5.85546875" bestFit="1" customWidth="1"/>
    <col min="296" max="296" width="19.140625" bestFit="1" customWidth="1"/>
    <col min="297" max="297" width="16.5703125" bestFit="1" customWidth="1"/>
    <col min="298" max="301" width="5.85546875" bestFit="1" customWidth="1"/>
    <col min="302" max="302" width="12.5703125" bestFit="1" customWidth="1"/>
    <col min="303" max="304" width="5.85546875" bestFit="1" customWidth="1"/>
    <col min="305" max="305" width="14.42578125" bestFit="1" customWidth="1"/>
    <col min="306" max="306" width="15.5703125" bestFit="1" customWidth="1"/>
    <col min="307" max="307" width="19.7109375" bestFit="1" customWidth="1"/>
    <col min="308" max="308" width="16" bestFit="1" customWidth="1"/>
    <col min="309" max="312" width="5.85546875" bestFit="1" customWidth="1"/>
    <col min="313" max="313" width="19.140625" bestFit="1" customWidth="1"/>
    <col min="314" max="314" width="16.5703125" bestFit="1" customWidth="1"/>
    <col min="315" max="318" width="5.85546875" bestFit="1" customWidth="1"/>
    <col min="319" max="319" width="12.5703125" bestFit="1" customWidth="1"/>
    <col min="320" max="321" width="5.85546875" bestFit="1" customWidth="1"/>
    <col min="322" max="322" width="14.42578125" bestFit="1" customWidth="1"/>
    <col min="323" max="323" width="15.5703125" bestFit="1" customWidth="1"/>
    <col min="324" max="324" width="19.7109375" bestFit="1" customWidth="1"/>
    <col min="325" max="325" width="14.5703125" bestFit="1" customWidth="1"/>
    <col min="326" max="326" width="20.140625" bestFit="1" customWidth="1"/>
    <col min="327" max="327" width="5.85546875" bestFit="1" customWidth="1"/>
    <col min="328" max="328" width="14.42578125" bestFit="1" customWidth="1"/>
    <col min="329" max="329" width="15.5703125" bestFit="1" customWidth="1"/>
    <col min="330" max="330" width="23.28515625" bestFit="1" customWidth="1"/>
    <col min="331" max="331" width="20.7109375" bestFit="1" customWidth="1"/>
    <col min="332" max="332" width="14.42578125" bestFit="1" customWidth="1"/>
    <col min="333" max="333" width="17.28515625" bestFit="1" customWidth="1"/>
    <col min="334" max="334" width="15.42578125" bestFit="1" customWidth="1"/>
    <col min="335" max="335" width="23.85546875" bestFit="1" customWidth="1"/>
    <col min="336" max="336" width="8.42578125" bestFit="1" customWidth="1"/>
    <col min="337" max="337" width="17.7109375" bestFit="1" customWidth="1"/>
    <col min="338" max="341" width="5.85546875" bestFit="1" customWidth="1"/>
    <col min="342" max="342" width="20.85546875" bestFit="1" customWidth="1"/>
    <col min="343" max="343" width="20.140625" bestFit="1" customWidth="1"/>
    <col min="344" max="344" width="5.85546875" bestFit="1" customWidth="1"/>
    <col min="345" max="345" width="14.42578125" bestFit="1" customWidth="1"/>
    <col min="346" max="346" width="19.28515625" bestFit="1" customWidth="1"/>
    <col min="347" max="347" width="15.42578125" bestFit="1" customWidth="1"/>
    <col min="348" max="348" width="23.28515625" bestFit="1" customWidth="1"/>
    <col min="349" max="349" width="20.140625" bestFit="1" customWidth="1"/>
    <col min="350" max="353" width="5.85546875" bestFit="1" customWidth="1"/>
    <col min="354" max="354" width="12.5703125" bestFit="1" customWidth="1"/>
    <col min="355" max="356" width="5.85546875" bestFit="1" customWidth="1"/>
    <col min="357" max="357" width="14.42578125" bestFit="1" customWidth="1"/>
    <col min="358" max="358" width="15.5703125" bestFit="1" customWidth="1"/>
    <col min="359" max="359" width="23.28515625" bestFit="1" customWidth="1"/>
    <col min="360" max="360" width="20.140625" bestFit="1" customWidth="1"/>
    <col min="361" max="364" width="5.85546875" bestFit="1" customWidth="1"/>
    <col min="365" max="365" width="12.42578125" bestFit="1" customWidth="1"/>
    <col min="366" max="367" width="5.85546875" bestFit="1" customWidth="1"/>
    <col min="368" max="368" width="14.42578125" bestFit="1" customWidth="1"/>
    <col min="369" max="369" width="15.42578125" bestFit="1" customWidth="1"/>
    <col min="370" max="370" width="23.28515625" bestFit="1" customWidth="1"/>
    <col min="371" max="371" width="20.140625" bestFit="1" customWidth="1"/>
    <col min="372" max="375" width="5.85546875" bestFit="1" customWidth="1"/>
    <col min="376" max="376" width="23.28515625" bestFit="1" customWidth="1"/>
    <col min="377" max="377" width="20.140625" bestFit="1" customWidth="1"/>
    <col min="378" max="381" width="5.85546875" bestFit="1" customWidth="1"/>
    <col min="382" max="382" width="23.28515625" bestFit="1" customWidth="1"/>
    <col min="383" max="383" width="16.5703125" bestFit="1" customWidth="1"/>
    <col min="384" max="387" width="5.85546875" bestFit="1" customWidth="1"/>
    <col min="388" max="388" width="19.7109375" bestFit="1" customWidth="1"/>
    <col min="389" max="389" width="16" bestFit="1" customWidth="1"/>
    <col min="390" max="393" width="5.85546875" bestFit="1" customWidth="1"/>
    <col min="394" max="394" width="19.140625" bestFit="1" customWidth="1"/>
    <col min="395" max="395" width="16.5703125" bestFit="1" customWidth="1"/>
    <col min="396" max="397" width="5.85546875" bestFit="1" customWidth="1"/>
    <col min="398" max="398" width="14.42578125" bestFit="1" customWidth="1"/>
    <col min="399" max="399" width="15.42578125" bestFit="1" customWidth="1"/>
    <col min="400" max="400" width="19.7109375" bestFit="1" customWidth="1"/>
    <col min="401" max="401" width="15.28515625" bestFit="1" customWidth="1"/>
    <col min="402" max="402" width="12.5703125" bestFit="1" customWidth="1"/>
  </cols>
  <sheetData>
    <row r="1" spans="1:9" s="26" customFormat="1">
      <c r="A1" s="26" t="s">
        <v>1055</v>
      </c>
    </row>
    <row r="2" spans="1:9">
      <c r="A2" s="31" t="s">
        <v>1056</v>
      </c>
      <c r="B2" s="31" t="s">
        <v>1057</v>
      </c>
      <c r="C2" s="31"/>
      <c r="D2" s="31"/>
      <c r="E2" s="31"/>
      <c r="F2" s="31"/>
      <c r="G2" s="31"/>
      <c r="H2" s="31"/>
      <c r="I2" s="31"/>
    </row>
    <row r="3" spans="1:9">
      <c r="A3" s="15" t="s">
        <v>1058</v>
      </c>
      <c r="B3" s="15" t="s">
        <v>139</v>
      </c>
      <c r="C3" s="15" t="s">
        <v>490</v>
      </c>
      <c r="D3" s="15" t="s">
        <v>287</v>
      </c>
      <c r="E3" s="15" t="s">
        <v>132</v>
      </c>
      <c r="F3" s="15" t="s">
        <v>961</v>
      </c>
      <c r="G3" s="15" t="s">
        <v>229</v>
      </c>
      <c r="H3" s="15" t="s">
        <v>549</v>
      </c>
      <c r="I3" s="15" t="s">
        <v>1059</v>
      </c>
    </row>
    <row r="4" spans="1:9">
      <c r="A4" s="17" t="s">
        <v>41</v>
      </c>
      <c r="B4" s="14">
        <v>24</v>
      </c>
      <c r="C4" s="14">
        <v>2</v>
      </c>
      <c r="D4" s="14"/>
      <c r="E4" s="14">
        <v>1</v>
      </c>
      <c r="F4" s="14"/>
      <c r="G4" s="14"/>
      <c r="H4" s="14"/>
      <c r="I4" s="14">
        <v>27</v>
      </c>
    </row>
    <row r="5" spans="1:9">
      <c r="A5" s="17" t="s">
        <v>36</v>
      </c>
      <c r="B5" s="14">
        <v>105</v>
      </c>
      <c r="C5" s="14">
        <v>4</v>
      </c>
      <c r="D5" s="14">
        <v>18</v>
      </c>
      <c r="E5" s="14">
        <v>15</v>
      </c>
      <c r="F5" s="14"/>
      <c r="G5" s="14"/>
      <c r="H5" s="14">
        <v>1</v>
      </c>
      <c r="I5" s="14">
        <v>143</v>
      </c>
    </row>
    <row r="6" spans="1:9">
      <c r="A6" s="17" t="s">
        <v>37</v>
      </c>
      <c r="B6" s="14">
        <v>102</v>
      </c>
      <c r="C6" s="14">
        <v>10</v>
      </c>
      <c r="D6" s="14">
        <v>1</v>
      </c>
      <c r="E6" s="14">
        <v>50</v>
      </c>
      <c r="F6" s="14">
        <v>1</v>
      </c>
      <c r="G6" s="14">
        <v>1</v>
      </c>
      <c r="H6" s="14"/>
      <c r="I6" s="14">
        <v>165</v>
      </c>
    </row>
    <row r="7" spans="1:9">
      <c r="A7" s="17" t="s">
        <v>40</v>
      </c>
      <c r="B7" s="14">
        <v>9</v>
      </c>
      <c r="C7" s="14">
        <v>2</v>
      </c>
      <c r="D7" s="14"/>
      <c r="E7" s="14">
        <v>12</v>
      </c>
      <c r="F7" s="14"/>
      <c r="G7" s="14">
        <v>2</v>
      </c>
      <c r="H7" s="14"/>
      <c r="I7" s="14">
        <v>25</v>
      </c>
    </row>
    <row r="8" spans="1:9">
      <c r="A8" s="14" t="s">
        <v>1059</v>
      </c>
      <c r="B8" s="14">
        <v>240</v>
      </c>
      <c r="C8" s="14">
        <v>18</v>
      </c>
      <c r="D8" s="14">
        <v>19</v>
      </c>
      <c r="E8" s="14">
        <v>78</v>
      </c>
      <c r="F8" s="14">
        <v>1</v>
      </c>
      <c r="G8" s="14">
        <v>3</v>
      </c>
      <c r="H8" s="14">
        <v>1</v>
      </c>
      <c r="I8" s="14">
        <v>360</v>
      </c>
    </row>
    <row r="10" spans="1:9" s="26" customFormat="1">
      <c r="A10" s="26" t="s">
        <v>1060</v>
      </c>
    </row>
    <row r="12" spans="1:9">
      <c r="A12" s="31" t="s">
        <v>1056</v>
      </c>
      <c r="B12" s="31" t="s">
        <v>1057</v>
      </c>
      <c r="C12" s="31"/>
      <c r="D12" s="31"/>
      <c r="E12" s="31"/>
      <c r="F12" s="31"/>
      <c r="G12" s="31"/>
      <c r="H12" s="31"/>
    </row>
    <row r="13" spans="1:9">
      <c r="A13" s="15" t="s">
        <v>1058</v>
      </c>
      <c r="B13" s="15" t="s">
        <v>139</v>
      </c>
      <c r="C13" s="15" t="s">
        <v>490</v>
      </c>
      <c r="D13" s="15" t="s">
        <v>287</v>
      </c>
      <c r="E13" s="15" t="s">
        <v>132</v>
      </c>
      <c r="F13" s="15" t="s">
        <v>961</v>
      </c>
      <c r="G13" s="15" t="s">
        <v>229</v>
      </c>
      <c r="H13" s="15" t="s">
        <v>1059</v>
      </c>
    </row>
    <row r="14" spans="1:9">
      <c r="A14" s="17" t="s">
        <v>41</v>
      </c>
      <c r="B14" s="14">
        <v>15</v>
      </c>
      <c r="C14" s="14">
        <v>2</v>
      </c>
      <c r="D14" s="14"/>
      <c r="E14" s="14">
        <v>1</v>
      </c>
      <c r="F14" s="14"/>
      <c r="G14" s="14"/>
      <c r="H14" s="14">
        <v>18</v>
      </c>
    </row>
    <row r="15" spans="1:9">
      <c r="A15" s="17" t="s">
        <v>36</v>
      </c>
      <c r="B15" s="14">
        <v>40</v>
      </c>
      <c r="C15" s="14">
        <v>4</v>
      </c>
      <c r="D15" s="14">
        <v>11</v>
      </c>
      <c r="E15" s="14">
        <v>10</v>
      </c>
      <c r="F15" s="14"/>
      <c r="G15" s="14"/>
      <c r="H15" s="14">
        <v>65</v>
      </c>
    </row>
    <row r="16" spans="1:9">
      <c r="A16" s="17" t="s">
        <v>37</v>
      </c>
      <c r="B16" s="14">
        <v>33</v>
      </c>
      <c r="C16" s="14">
        <v>7</v>
      </c>
      <c r="D16" s="14"/>
      <c r="E16" s="14">
        <v>23</v>
      </c>
      <c r="F16" s="14">
        <v>1</v>
      </c>
      <c r="G16" s="14"/>
      <c r="H16" s="14">
        <v>64</v>
      </c>
    </row>
    <row r="17" spans="1:11">
      <c r="A17" s="17" t="s">
        <v>40</v>
      </c>
      <c r="B17" s="14">
        <v>6</v>
      </c>
      <c r="C17" s="14"/>
      <c r="D17" s="14"/>
      <c r="E17" s="14">
        <v>4</v>
      </c>
      <c r="F17" s="14"/>
      <c r="G17" s="14">
        <v>1</v>
      </c>
      <c r="H17" s="14">
        <v>11</v>
      </c>
    </row>
    <row r="18" spans="1:11">
      <c r="A18" s="14" t="s">
        <v>1059</v>
      </c>
      <c r="B18" s="14">
        <v>94</v>
      </c>
      <c r="C18" s="14">
        <v>13</v>
      </c>
      <c r="D18" s="14">
        <v>11</v>
      </c>
      <c r="E18" s="14">
        <v>38</v>
      </c>
      <c r="F18" s="14">
        <v>1</v>
      </c>
      <c r="G18" s="14">
        <v>1</v>
      </c>
      <c r="H18" s="14">
        <v>158</v>
      </c>
    </row>
    <row r="21" spans="1:11" s="26" customFormat="1">
      <c r="A21" s="26" t="s">
        <v>1061</v>
      </c>
    </row>
    <row r="23" spans="1:11">
      <c r="A23" s="31" t="s">
        <v>1056</v>
      </c>
      <c r="B23" s="31" t="s">
        <v>1057</v>
      </c>
      <c r="C23" s="31"/>
      <c r="D23" s="31"/>
      <c r="E23" s="31"/>
      <c r="F23" s="31"/>
      <c r="G23" s="31"/>
    </row>
    <row r="24" spans="1:11">
      <c r="A24" s="15" t="s">
        <v>1058</v>
      </c>
      <c r="B24" s="15" t="s">
        <v>139</v>
      </c>
      <c r="C24" s="15" t="s">
        <v>287</v>
      </c>
      <c r="D24" s="15" t="s">
        <v>132</v>
      </c>
      <c r="E24" s="15" t="s">
        <v>229</v>
      </c>
      <c r="F24" s="15" t="s">
        <v>549</v>
      </c>
      <c r="G24" s="15" t="s">
        <v>1059</v>
      </c>
    </row>
    <row r="25" spans="1:11">
      <c r="A25" s="17" t="s">
        <v>41</v>
      </c>
      <c r="B25" s="14">
        <v>5</v>
      </c>
      <c r="C25" s="14"/>
      <c r="D25" s="14"/>
      <c r="E25" s="14"/>
      <c r="F25" s="14"/>
      <c r="G25" s="14">
        <v>5</v>
      </c>
      <c r="K25">
        <f>57/15</f>
        <v>3.8</v>
      </c>
    </row>
    <row r="26" spans="1:11">
      <c r="A26" s="17" t="s">
        <v>36</v>
      </c>
      <c r="B26" s="14">
        <v>45</v>
      </c>
      <c r="C26" s="14">
        <v>6</v>
      </c>
      <c r="D26" s="14">
        <v>4</v>
      </c>
      <c r="E26" s="14"/>
      <c r="F26" s="14">
        <v>1</v>
      </c>
      <c r="G26" s="14">
        <v>56</v>
      </c>
      <c r="K26">
        <f>73/146</f>
        <v>0.5</v>
      </c>
    </row>
    <row r="27" spans="1:11">
      <c r="A27" s="17" t="s">
        <v>37</v>
      </c>
      <c r="B27" s="14">
        <v>53</v>
      </c>
      <c r="C27" s="14">
        <v>1</v>
      </c>
      <c r="D27" s="14">
        <v>22</v>
      </c>
      <c r="E27" s="14">
        <v>1</v>
      </c>
      <c r="F27" s="14"/>
      <c r="G27" s="14">
        <v>77</v>
      </c>
    </row>
    <row r="28" spans="1:11">
      <c r="A28" s="17" t="s">
        <v>40</v>
      </c>
      <c r="B28" s="14">
        <v>3</v>
      </c>
      <c r="C28" s="14"/>
      <c r="D28" s="14">
        <v>5</v>
      </c>
      <c r="E28" s="14"/>
      <c r="F28" s="14"/>
      <c r="G28" s="14">
        <v>8</v>
      </c>
    </row>
    <row r="29" spans="1:11">
      <c r="A29" s="14" t="s">
        <v>1059</v>
      </c>
      <c r="B29" s="14">
        <v>106</v>
      </c>
      <c r="C29" s="14">
        <v>7</v>
      </c>
      <c r="D29" s="14">
        <v>31</v>
      </c>
      <c r="E29" s="14">
        <v>1</v>
      </c>
      <c r="F29" s="14">
        <v>1</v>
      </c>
      <c r="G29" s="14">
        <v>146</v>
      </c>
    </row>
    <row r="30" spans="1:11">
      <c r="I30" s="199">
        <f>(G25+G26)/G29</f>
        <v>0.4178082191780822</v>
      </c>
    </row>
    <row r="31" spans="1:11">
      <c r="I31" s="200">
        <f>(G27+G28)/G29</f>
        <v>0.5821917808219178</v>
      </c>
    </row>
    <row r="32" spans="1:11">
      <c r="I32" s="58"/>
    </row>
    <row r="33" spans="9:9">
      <c r="I33" s="58"/>
    </row>
    <row r="34" spans="9:9">
      <c r="I34" s="200">
        <f>B29/G29</f>
        <v>0.72602739726027399</v>
      </c>
    </row>
    <row r="35" spans="9:9">
      <c r="I35" s="58"/>
    </row>
    <row r="36" spans="9:9">
      <c r="I36" s="58"/>
    </row>
    <row r="37" spans="9:9">
      <c r="I37" s="58"/>
    </row>
    <row r="38" spans="9:9">
      <c r="I38" s="58"/>
    </row>
    <row r="39" spans="9:9">
      <c r="I39" s="58"/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D0E2-093F-4C09-86FE-3E3D3D5E148D}">
  <dimension ref="A1:K32"/>
  <sheetViews>
    <sheetView topLeftCell="A4" workbookViewId="0">
      <selection activeCell="H39" sqref="H39"/>
    </sheetView>
  </sheetViews>
  <sheetFormatPr defaultColWidth="9.140625" defaultRowHeight="15"/>
  <cols>
    <col min="1" max="1" width="25.85546875" bestFit="1" customWidth="1"/>
    <col min="2" max="2" width="13.85546875" bestFit="1" customWidth="1"/>
    <col min="3" max="3" width="16" bestFit="1" customWidth="1"/>
    <col min="4" max="4" width="12.5703125" bestFit="1" customWidth="1"/>
    <col min="5" max="5" width="6.140625" bestFit="1" customWidth="1"/>
    <col min="6" max="6" width="19.42578125" bestFit="1" customWidth="1"/>
    <col min="7" max="7" width="15.140625" bestFit="1" customWidth="1"/>
    <col min="8" max="8" width="8.28515625" bestFit="1" customWidth="1"/>
    <col min="9" max="9" width="8.7109375" bestFit="1" customWidth="1"/>
    <col min="10" max="10" width="19.85546875" bestFit="1" customWidth="1"/>
    <col min="11" max="13" width="12.5703125" bestFit="1" customWidth="1"/>
    <col min="14" max="14" width="9.5703125" bestFit="1" customWidth="1"/>
    <col min="15" max="15" width="12.5703125" bestFit="1" customWidth="1"/>
    <col min="16" max="16" width="9.5703125" bestFit="1" customWidth="1"/>
    <col min="17" max="17" width="12.5703125" bestFit="1" customWidth="1"/>
    <col min="18" max="18" width="20.7109375" bestFit="1" customWidth="1"/>
    <col min="19" max="19" width="12.5703125" bestFit="1" customWidth="1"/>
    <col min="20" max="27" width="26.7109375" bestFit="1" customWidth="1"/>
    <col min="28" max="28" width="20.7109375" bestFit="1" customWidth="1"/>
    <col min="29" max="29" width="12.5703125" bestFit="1" customWidth="1"/>
  </cols>
  <sheetData>
    <row r="1" spans="1:11" s="11" customFormat="1" ht="21">
      <c r="A1" s="11" t="s">
        <v>1062</v>
      </c>
    </row>
    <row r="3" spans="1:11" ht="15.75">
      <c r="A3" s="16" t="s">
        <v>1063</v>
      </c>
      <c r="B3" s="16" t="s">
        <v>18</v>
      </c>
      <c r="C3" s="94"/>
      <c r="D3" s="94"/>
      <c r="E3" s="94"/>
      <c r="F3" s="94"/>
      <c r="G3" s="94"/>
      <c r="H3" s="94"/>
      <c r="I3" s="94"/>
      <c r="J3" s="94"/>
      <c r="K3" s="94"/>
    </row>
    <row r="4" spans="1:11">
      <c r="A4" s="15" t="s">
        <v>119</v>
      </c>
      <c r="B4" s="15" t="s">
        <v>24</v>
      </c>
      <c r="C4" s="15" t="s">
        <v>27</v>
      </c>
      <c r="D4" s="15" t="s">
        <v>246</v>
      </c>
      <c r="E4" s="15" t="s">
        <v>242</v>
      </c>
      <c r="F4" s="15" t="s">
        <v>25</v>
      </c>
      <c r="G4" s="15" t="s">
        <v>26</v>
      </c>
      <c r="H4" s="15" t="s">
        <v>23</v>
      </c>
      <c r="I4" s="15" t="s">
        <v>51</v>
      </c>
      <c r="J4" s="15" t="s">
        <v>28</v>
      </c>
      <c r="K4" s="15" t="s">
        <v>29</v>
      </c>
    </row>
    <row r="5" spans="1:11">
      <c r="A5" s="17" t="s">
        <v>595</v>
      </c>
      <c r="B5" s="14">
        <v>1</v>
      </c>
      <c r="C5" s="14"/>
      <c r="D5" s="14"/>
      <c r="E5" s="14"/>
      <c r="F5" s="14"/>
      <c r="G5" s="14"/>
      <c r="H5" s="14"/>
      <c r="I5" s="14"/>
      <c r="J5" s="14"/>
      <c r="K5" s="14">
        <v>1</v>
      </c>
    </row>
    <row r="6" spans="1:11">
      <c r="A6" s="17" t="s">
        <v>136</v>
      </c>
      <c r="B6" s="14">
        <v>3</v>
      </c>
      <c r="C6" s="14">
        <v>11</v>
      </c>
      <c r="D6" s="14"/>
      <c r="E6" s="14"/>
      <c r="F6" s="14"/>
      <c r="G6" s="14">
        <v>7</v>
      </c>
      <c r="H6" s="14"/>
      <c r="I6" s="14">
        <v>1</v>
      </c>
      <c r="J6" s="14"/>
      <c r="K6" s="14">
        <v>22</v>
      </c>
    </row>
    <row r="7" spans="1:11">
      <c r="A7" s="17" t="s">
        <v>184</v>
      </c>
      <c r="B7" s="14">
        <v>7</v>
      </c>
      <c r="C7" s="14">
        <v>9</v>
      </c>
      <c r="D7" s="14"/>
      <c r="E7" s="14"/>
      <c r="F7" s="14"/>
      <c r="G7" s="14">
        <v>12</v>
      </c>
      <c r="H7" s="14"/>
      <c r="I7" s="14"/>
      <c r="J7" s="14"/>
      <c r="K7" s="14">
        <v>28</v>
      </c>
    </row>
    <row r="8" spans="1:11">
      <c r="A8" s="17" t="s">
        <v>320</v>
      </c>
      <c r="B8" s="14">
        <v>2</v>
      </c>
      <c r="C8" s="14">
        <v>3</v>
      </c>
      <c r="D8" s="14"/>
      <c r="E8" s="14"/>
      <c r="F8" s="14"/>
      <c r="G8" s="14">
        <v>2</v>
      </c>
      <c r="H8" s="14"/>
      <c r="I8" s="14"/>
      <c r="J8" s="14"/>
      <c r="K8" s="14">
        <v>7</v>
      </c>
    </row>
    <row r="9" spans="1:11">
      <c r="A9" s="17" t="s">
        <v>221</v>
      </c>
      <c r="B9" s="14">
        <v>2</v>
      </c>
      <c r="C9" s="14">
        <v>6</v>
      </c>
      <c r="D9" s="14"/>
      <c r="E9" s="14"/>
      <c r="F9" s="14"/>
      <c r="G9" s="14">
        <v>10</v>
      </c>
      <c r="H9" s="14"/>
      <c r="I9" s="14"/>
      <c r="J9" s="14">
        <v>1</v>
      </c>
      <c r="K9" s="14">
        <v>19</v>
      </c>
    </row>
    <row r="10" spans="1:11">
      <c r="A10" s="17" t="s">
        <v>159</v>
      </c>
      <c r="B10" s="14">
        <v>3</v>
      </c>
      <c r="C10" s="14">
        <v>13</v>
      </c>
      <c r="D10" s="14"/>
      <c r="E10" s="14"/>
      <c r="F10" s="14"/>
      <c r="G10" s="14">
        <v>15</v>
      </c>
      <c r="H10" s="14"/>
      <c r="I10" s="14"/>
      <c r="J10" s="14"/>
      <c r="K10" s="14">
        <v>31</v>
      </c>
    </row>
    <row r="11" spans="1:11">
      <c r="A11" s="17" t="s">
        <v>142</v>
      </c>
      <c r="B11" s="14">
        <v>1</v>
      </c>
      <c r="C11" s="14">
        <v>4</v>
      </c>
      <c r="D11" s="14"/>
      <c r="E11" s="14"/>
      <c r="F11" s="14"/>
      <c r="G11" s="14"/>
      <c r="H11" s="14"/>
      <c r="I11" s="14"/>
      <c r="J11" s="14">
        <v>1</v>
      </c>
      <c r="K11" s="14">
        <v>6</v>
      </c>
    </row>
    <row r="12" spans="1:11">
      <c r="A12" s="17" t="s">
        <v>617</v>
      </c>
      <c r="B12" s="14">
        <v>1</v>
      </c>
      <c r="C12" s="14"/>
      <c r="D12" s="14"/>
      <c r="E12" s="14"/>
      <c r="F12" s="14"/>
      <c r="G12" s="14">
        <v>5</v>
      </c>
      <c r="H12" s="14">
        <v>1</v>
      </c>
      <c r="I12" s="14"/>
      <c r="J12" s="14"/>
      <c r="K12" s="14">
        <v>7</v>
      </c>
    </row>
    <row r="13" spans="1:11">
      <c r="A13" s="17" t="s">
        <v>163</v>
      </c>
      <c r="B13" s="14"/>
      <c r="C13" s="14">
        <v>12</v>
      </c>
      <c r="D13" s="14"/>
      <c r="E13" s="14"/>
      <c r="F13" s="14"/>
      <c r="G13" s="14">
        <v>4</v>
      </c>
      <c r="H13" s="14"/>
      <c r="I13" s="14"/>
      <c r="J13" s="14"/>
      <c r="K13" s="14">
        <v>16</v>
      </c>
    </row>
    <row r="14" spans="1:11">
      <c r="A14" s="17" t="s">
        <v>218</v>
      </c>
      <c r="B14" s="14">
        <v>1</v>
      </c>
      <c r="C14" s="14">
        <v>7</v>
      </c>
      <c r="D14" s="14"/>
      <c r="E14" s="14"/>
      <c r="F14" s="14"/>
      <c r="G14" s="14">
        <v>3</v>
      </c>
      <c r="H14" s="14"/>
      <c r="I14" s="14"/>
      <c r="J14" s="14">
        <v>1</v>
      </c>
      <c r="K14" s="14">
        <v>12</v>
      </c>
    </row>
    <row r="15" spans="1:11">
      <c r="A15" s="17" t="s">
        <v>1064</v>
      </c>
      <c r="B15" s="14">
        <v>35</v>
      </c>
      <c r="C15" s="14">
        <v>51</v>
      </c>
      <c r="D15" s="14">
        <v>7</v>
      </c>
      <c r="E15" s="14">
        <v>3</v>
      </c>
      <c r="F15" s="14">
        <v>1</v>
      </c>
      <c r="G15" s="14">
        <v>100</v>
      </c>
      <c r="H15" s="14">
        <v>7</v>
      </c>
      <c r="I15" s="14">
        <v>1</v>
      </c>
      <c r="J15" s="14">
        <v>6</v>
      </c>
      <c r="K15" s="14">
        <v>211</v>
      </c>
    </row>
    <row r="16" spans="1:11">
      <c r="A16" s="14" t="s">
        <v>29</v>
      </c>
      <c r="B16" s="14">
        <v>56</v>
      </c>
      <c r="C16" s="14">
        <v>116</v>
      </c>
      <c r="D16" s="14">
        <v>7</v>
      </c>
      <c r="E16" s="14">
        <v>3</v>
      </c>
      <c r="F16" s="14">
        <v>1</v>
      </c>
      <c r="G16" s="14">
        <v>158</v>
      </c>
      <c r="H16" s="14">
        <v>8</v>
      </c>
      <c r="I16" s="14">
        <v>2</v>
      </c>
      <c r="J16" s="14">
        <v>9</v>
      </c>
      <c r="K16" s="14">
        <v>360</v>
      </c>
    </row>
    <row r="17" spans="1:6">
      <c r="A17" s="26" t="s">
        <v>1065</v>
      </c>
    </row>
    <row r="18" spans="1:6" ht="15.75">
      <c r="A18" s="19" t="s">
        <v>1066</v>
      </c>
      <c r="B18" s="19" t="s">
        <v>22</v>
      </c>
      <c r="C18" s="19" t="s">
        <v>18</v>
      </c>
      <c r="D18" s="19"/>
      <c r="E18" s="19"/>
      <c r="F18" s="19"/>
    </row>
    <row r="19" spans="1:6" ht="15.75">
      <c r="A19" s="19"/>
      <c r="B19" s="20" t="s">
        <v>41</v>
      </c>
      <c r="C19" s="20" t="s">
        <v>36</v>
      </c>
      <c r="D19" s="20" t="s">
        <v>37</v>
      </c>
      <c r="E19" s="20" t="s">
        <v>40</v>
      </c>
      <c r="F19" s="20" t="s">
        <v>29</v>
      </c>
    </row>
    <row r="20" spans="1:6">
      <c r="A20" s="20" t="s">
        <v>119</v>
      </c>
      <c r="B20" s="9"/>
      <c r="C20" s="9"/>
      <c r="D20" s="9"/>
      <c r="E20" s="9"/>
      <c r="F20" s="20"/>
    </row>
    <row r="21" spans="1:6">
      <c r="A21" s="9" t="s">
        <v>595</v>
      </c>
      <c r="B21" s="14"/>
      <c r="C21" s="14">
        <v>1</v>
      </c>
      <c r="D21" s="14"/>
      <c r="E21" s="14"/>
      <c r="F21" s="14">
        <v>1</v>
      </c>
    </row>
    <row r="22" spans="1:6">
      <c r="A22" s="9" t="s">
        <v>136</v>
      </c>
      <c r="B22" s="14">
        <v>1</v>
      </c>
      <c r="C22" s="14">
        <v>13</v>
      </c>
      <c r="D22" s="14">
        <v>6</v>
      </c>
      <c r="E22" s="14">
        <v>2</v>
      </c>
      <c r="F22" s="14">
        <v>22</v>
      </c>
    </row>
    <row r="23" spans="1:6">
      <c r="A23" s="9" t="s">
        <v>184</v>
      </c>
      <c r="B23" s="14">
        <v>4</v>
      </c>
      <c r="C23" s="14">
        <v>10</v>
      </c>
      <c r="D23" s="14">
        <v>8</v>
      </c>
      <c r="E23" s="14">
        <v>6</v>
      </c>
      <c r="F23" s="14">
        <v>28</v>
      </c>
    </row>
    <row r="24" spans="1:6">
      <c r="A24" s="9" t="s">
        <v>320</v>
      </c>
      <c r="B24" s="14">
        <v>1</v>
      </c>
      <c r="C24" s="14">
        <v>4</v>
      </c>
      <c r="D24" s="14">
        <v>2</v>
      </c>
      <c r="E24" s="14"/>
      <c r="F24" s="14">
        <v>7</v>
      </c>
    </row>
    <row r="25" spans="1:6">
      <c r="A25" s="9" t="s">
        <v>221</v>
      </c>
      <c r="B25" s="14"/>
      <c r="C25" s="14">
        <v>10</v>
      </c>
      <c r="D25" s="14">
        <v>7</v>
      </c>
      <c r="E25" s="14">
        <v>2</v>
      </c>
      <c r="F25" s="14">
        <v>19</v>
      </c>
    </row>
    <row r="26" spans="1:6">
      <c r="A26" s="9" t="s">
        <v>159</v>
      </c>
      <c r="B26" s="14">
        <v>1</v>
      </c>
      <c r="C26" s="14">
        <v>17</v>
      </c>
      <c r="D26" s="14">
        <v>11</v>
      </c>
      <c r="E26" s="14">
        <v>2</v>
      </c>
      <c r="F26" s="14">
        <v>31</v>
      </c>
    </row>
    <row r="27" spans="1:6">
      <c r="A27" s="9" t="s">
        <v>142</v>
      </c>
      <c r="B27" s="14">
        <v>1</v>
      </c>
      <c r="C27" s="14">
        <v>4</v>
      </c>
      <c r="D27" s="14">
        <v>1</v>
      </c>
      <c r="E27" s="14"/>
      <c r="F27" s="14">
        <v>6</v>
      </c>
    </row>
    <row r="28" spans="1:6">
      <c r="A28" s="9" t="s">
        <v>617</v>
      </c>
      <c r="B28" s="14"/>
      <c r="C28" s="14">
        <v>5</v>
      </c>
      <c r="D28" s="14">
        <v>1</v>
      </c>
      <c r="E28" s="14">
        <v>1</v>
      </c>
      <c r="F28" s="14">
        <v>7</v>
      </c>
    </row>
    <row r="29" spans="1:6">
      <c r="A29" s="9" t="s">
        <v>163</v>
      </c>
      <c r="B29" s="14">
        <v>1</v>
      </c>
      <c r="C29" s="14">
        <v>6</v>
      </c>
      <c r="D29" s="14">
        <v>8</v>
      </c>
      <c r="E29" s="14">
        <v>1</v>
      </c>
      <c r="F29" s="14">
        <v>16</v>
      </c>
    </row>
    <row r="30" spans="1:6">
      <c r="A30" s="9" t="s">
        <v>218</v>
      </c>
      <c r="B30" s="14">
        <v>1</v>
      </c>
      <c r="C30" s="14">
        <v>8</v>
      </c>
      <c r="D30" s="14">
        <v>3</v>
      </c>
      <c r="E30" s="14"/>
      <c r="F30" s="14">
        <v>12</v>
      </c>
    </row>
    <row r="31" spans="1:6">
      <c r="A31" s="9" t="s">
        <v>1064</v>
      </c>
      <c r="B31" s="14"/>
      <c r="C31" s="14"/>
      <c r="D31" s="14"/>
      <c r="E31" s="14"/>
      <c r="F31" s="14"/>
    </row>
    <row r="32" spans="1:6">
      <c r="A32" s="9" t="s">
        <v>29</v>
      </c>
      <c r="B32" s="14">
        <v>10</v>
      </c>
      <c r="C32" s="14">
        <v>78</v>
      </c>
      <c r="D32" s="14">
        <v>47</v>
      </c>
      <c r="E32" s="14">
        <v>14</v>
      </c>
      <c r="F32" s="14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00F-8F9A-4B9A-ACB5-96F4B6B3AF0E}">
  <dimension ref="A1:T24"/>
  <sheetViews>
    <sheetView zoomScale="85" zoomScaleNormal="85" workbookViewId="0">
      <selection activeCell="I16" sqref="I16"/>
    </sheetView>
  </sheetViews>
  <sheetFormatPr defaultColWidth="9.140625" defaultRowHeight="15" customHeight="1"/>
  <cols>
    <col min="2" max="2" width="13.5703125" customWidth="1"/>
    <col min="3" max="3" width="16" bestFit="1" customWidth="1"/>
    <col min="4" max="4" width="12.5703125" hidden="1" customWidth="1"/>
    <col min="5" max="5" width="17.7109375" customWidth="1"/>
    <col min="6" max="6" width="19.42578125" hidden="1" customWidth="1"/>
    <col min="7" max="8" width="15.140625" customWidth="1"/>
    <col min="9" max="9" width="22" customWidth="1"/>
    <col min="10" max="10" width="14.85546875" bestFit="1" customWidth="1"/>
    <col min="11" max="11" width="12.5703125" customWidth="1"/>
    <col min="12" max="12" width="15" customWidth="1"/>
    <col min="13" max="13" width="13.5703125" bestFit="1" customWidth="1"/>
    <col min="14" max="14" width="16" bestFit="1" customWidth="1"/>
    <col min="15" max="15" width="6.140625" bestFit="1" customWidth="1"/>
    <col min="16" max="16" width="19.42578125" bestFit="1" customWidth="1"/>
    <col min="17" max="17" width="8.28515625" bestFit="1" customWidth="1"/>
    <col min="18" max="18" width="8.7109375" bestFit="1" customWidth="1"/>
    <col min="19" max="19" width="19.85546875" bestFit="1" customWidth="1"/>
    <col min="20" max="25" width="6" bestFit="1" customWidth="1"/>
  </cols>
  <sheetData>
    <row r="1" spans="1:20" ht="15" customHeight="1">
      <c r="M1" s="210" t="s">
        <v>1067</v>
      </c>
      <c r="N1" s="210"/>
      <c r="O1" s="210"/>
      <c r="P1" s="210"/>
      <c r="Q1" s="210"/>
      <c r="R1" s="210"/>
      <c r="S1" s="210"/>
      <c r="T1" s="210"/>
    </row>
    <row r="3" spans="1:20" ht="43.5">
      <c r="A3" s="37"/>
      <c r="B3" s="107" t="s">
        <v>92</v>
      </c>
      <c r="C3" s="108" t="s">
        <v>1068</v>
      </c>
      <c r="D3" s="109" t="s">
        <v>1069</v>
      </c>
      <c r="E3" s="110" t="s">
        <v>43</v>
      </c>
      <c r="F3" s="111" t="s">
        <v>44</v>
      </c>
      <c r="G3" s="112" t="s">
        <v>45</v>
      </c>
      <c r="H3" s="113" t="s">
        <v>3</v>
      </c>
      <c r="I3" s="110" t="s">
        <v>46</v>
      </c>
      <c r="J3" s="114" t="s">
        <v>47</v>
      </c>
      <c r="K3" s="33"/>
      <c r="M3" s="36" t="s">
        <v>1070</v>
      </c>
      <c r="N3" s="36" t="s">
        <v>1071</v>
      </c>
      <c r="O3" s="36"/>
      <c r="P3" s="36"/>
      <c r="Q3" s="36"/>
      <c r="R3" s="36"/>
      <c r="S3" s="36"/>
      <c r="T3" s="36"/>
    </row>
    <row r="4" spans="1:20">
      <c r="A4" s="38"/>
      <c r="B4" s="98" t="s">
        <v>1072</v>
      </c>
      <c r="C4" s="60">
        <v>135</v>
      </c>
      <c r="D4" s="60"/>
      <c r="E4" s="60">
        <f>'BUGS X SPRINT'!J15</f>
        <v>0</v>
      </c>
      <c r="F4" s="76" t="e">
        <f>+#REF!/C4</f>
        <v>#REF!</v>
      </c>
      <c r="G4" s="60">
        <f>N5</f>
        <v>1</v>
      </c>
      <c r="H4" s="60">
        <f>R5</f>
        <v>0</v>
      </c>
      <c r="I4" s="77">
        <f>O5+P5+Q5+S5+T5+U5</f>
        <v>1</v>
      </c>
      <c r="J4" s="99" t="e">
        <f>I4/E4</f>
        <v>#DIV/0!</v>
      </c>
      <c r="K4" s="34"/>
      <c r="M4" s="15" t="s">
        <v>1073</v>
      </c>
      <c r="N4" s="15" t="s">
        <v>27</v>
      </c>
      <c r="O4" s="15" t="s">
        <v>242</v>
      </c>
      <c r="P4" s="15" t="s">
        <v>25</v>
      </c>
      <c r="Q4" s="15" t="s">
        <v>23</v>
      </c>
      <c r="R4" s="15" t="s">
        <v>51</v>
      </c>
      <c r="S4" s="15" t="s">
        <v>28</v>
      </c>
      <c r="T4" s="15" t="s">
        <v>1074</v>
      </c>
    </row>
    <row r="5" spans="1:20">
      <c r="A5" s="38"/>
      <c r="B5" s="98" t="s">
        <v>1075</v>
      </c>
      <c r="C5" s="60">
        <v>135</v>
      </c>
      <c r="D5" s="60"/>
      <c r="E5" s="60">
        <f>'BUGS X SPRINT'!J14</f>
        <v>0</v>
      </c>
      <c r="F5" s="76">
        <f>+E4/C5</f>
        <v>0</v>
      </c>
      <c r="G5" s="60">
        <f t="shared" ref="G5:G11" si="0">N6</f>
        <v>1</v>
      </c>
      <c r="H5" s="60">
        <f t="shared" ref="H5:H12" si="1">R6</f>
        <v>0</v>
      </c>
      <c r="I5" s="77">
        <f t="shared" ref="I5:I12" si="2">O6+P6+Q6+S6+T6+U6</f>
        <v>1</v>
      </c>
      <c r="J5" s="99" t="e">
        <f t="shared" ref="J5:J12" si="3">I5/E5</f>
        <v>#DIV/0!</v>
      </c>
      <c r="K5" s="34"/>
      <c r="M5" s="14">
        <v>16</v>
      </c>
      <c r="N5" s="14">
        <v>1</v>
      </c>
      <c r="O5" s="14"/>
      <c r="P5" s="14"/>
      <c r="Q5" s="14"/>
      <c r="R5" s="14"/>
      <c r="S5" s="14"/>
      <c r="T5" s="14">
        <v>1</v>
      </c>
    </row>
    <row r="6" spans="1:20">
      <c r="A6" s="38"/>
      <c r="B6" s="98" t="s">
        <v>1076</v>
      </c>
      <c r="C6" s="60">
        <v>135</v>
      </c>
      <c r="D6" s="60"/>
      <c r="E6" s="60">
        <f>'BUGS X SPRINT'!J13</f>
        <v>0</v>
      </c>
      <c r="F6" s="76">
        <f>+E5/C6</f>
        <v>0</v>
      </c>
      <c r="G6" s="60">
        <f t="shared" si="0"/>
        <v>1</v>
      </c>
      <c r="H6" s="60">
        <f t="shared" si="1"/>
        <v>1</v>
      </c>
      <c r="I6" s="77">
        <f t="shared" si="2"/>
        <v>2</v>
      </c>
      <c r="J6" s="99" t="e">
        <f t="shared" si="3"/>
        <v>#DIV/0!</v>
      </c>
      <c r="K6" s="34"/>
      <c r="M6" s="14">
        <v>17</v>
      </c>
      <c r="N6" s="14">
        <v>1</v>
      </c>
      <c r="O6" s="14"/>
      <c r="P6" s="14"/>
      <c r="Q6" s="14"/>
      <c r="R6" s="14"/>
      <c r="S6" s="14"/>
      <c r="T6" s="14">
        <v>1</v>
      </c>
    </row>
    <row r="7" spans="1:20">
      <c r="A7" s="39"/>
      <c r="B7" s="98" t="s">
        <v>1077</v>
      </c>
      <c r="C7" s="60">
        <v>135</v>
      </c>
      <c r="D7" s="60"/>
      <c r="E7" s="60">
        <f>'BUGS X SPRINT'!J12</f>
        <v>0</v>
      </c>
      <c r="F7" s="76">
        <f>+E6/C7</f>
        <v>0</v>
      </c>
      <c r="G7" s="60">
        <f t="shared" si="0"/>
        <v>19</v>
      </c>
      <c r="H7" s="60">
        <f t="shared" si="1"/>
        <v>0</v>
      </c>
      <c r="I7" s="77">
        <f t="shared" si="2"/>
        <v>21</v>
      </c>
      <c r="J7" s="99" t="e">
        <f t="shared" si="3"/>
        <v>#DIV/0!</v>
      </c>
      <c r="K7" s="34"/>
      <c r="M7" s="14">
        <v>20</v>
      </c>
      <c r="N7" s="14">
        <v>1</v>
      </c>
      <c r="O7" s="14"/>
      <c r="P7" s="14"/>
      <c r="Q7" s="14"/>
      <c r="R7" s="14">
        <v>1</v>
      </c>
      <c r="S7" s="14"/>
      <c r="T7" s="14">
        <v>2</v>
      </c>
    </row>
    <row r="8" spans="1:20">
      <c r="B8" s="98" t="s">
        <v>1078</v>
      </c>
      <c r="C8" s="60">
        <v>135</v>
      </c>
      <c r="D8" s="60" t="s">
        <v>1079</v>
      </c>
      <c r="E8" s="60">
        <f>'BUGS X SPRINT'!J11</f>
        <v>0</v>
      </c>
      <c r="F8" s="76">
        <f>+E7/C8</f>
        <v>0</v>
      </c>
      <c r="G8" s="60">
        <f t="shared" si="0"/>
        <v>14</v>
      </c>
      <c r="H8" s="60">
        <f t="shared" si="1"/>
        <v>0</v>
      </c>
      <c r="I8" s="77">
        <f t="shared" si="2"/>
        <v>22</v>
      </c>
      <c r="J8" s="99" t="e">
        <f t="shared" si="3"/>
        <v>#DIV/0!</v>
      </c>
      <c r="K8" s="34"/>
      <c r="M8" s="14">
        <v>22</v>
      </c>
      <c r="N8" s="14">
        <v>19</v>
      </c>
      <c r="O8" s="14"/>
      <c r="P8" s="14"/>
      <c r="Q8" s="14">
        <v>1</v>
      </c>
      <c r="R8" s="14"/>
      <c r="S8" s="14"/>
      <c r="T8" s="14">
        <v>20</v>
      </c>
    </row>
    <row r="9" spans="1:20">
      <c r="B9" s="98" t="s">
        <v>1080</v>
      </c>
      <c r="C9" s="60">
        <v>135</v>
      </c>
      <c r="D9" s="9"/>
      <c r="E9" s="60">
        <f>'BUGS X SPRINT'!J10</f>
        <v>0</v>
      </c>
      <c r="F9" s="9"/>
      <c r="G9" s="60">
        <f t="shared" si="0"/>
        <v>7</v>
      </c>
      <c r="H9" s="60">
        <f t="shared" si="1"/>
        <v>1</v>
      </c>
      <c r="I9" s="77">
        <f t="shared" si="2"/>
        <v>10</v>
      </c>
      <c r="J9" s="99" t="e">
        <f t="shared" si="3"/>
        <v>#DIV/0!</v>
      </c>
      <c r="K9" s="35"/>
      <c r="M9" s="14">
        <v>23</v>
      </c>
      <c r="N9" s="14">
        <v>14</v>
      </c>
      <c r="O9" s="14">
        <v>1</v>
      </c>
      <c r="P9" s="14">
        <v>1</v>
      </c>
      <c r="Q9" s="14">
        <v>2</v>
      </c>
      <c r="R9" s="14"/>
      <c r="S9" s="14"/>
      <c r="T9" s="14">
        <v>18</v>
      </c>
    </row>
    <row r="10" spans="1:20" ht="15" customHeight="1">
      <c r="B10" s="98" t="s">
        <v>1081</v>
      </c>
      <c r="C10" s="60">
        <v>135</v>
      </c>
      <c r="D10" s="9"/>
      <c r="E10" s="60">
        <f>'BUGS X SPRINT'!J9</f>
        <v>1</v>
      </c>
      <c r="F10" s="9"/>
      <c r="G10" s="60">
        <f t="shared" si="0"/>
        <v>9</v>
      </c>
      <c r="H10" s="60">
        <f t="shared" si="1"/>
        <v>0</v>
      </c>
      <c r="I10" s="77">
        <f t="shared" si="2"/>
        <v>11</v>
      </c>
      <c r="J10" s="99">
        <f t="shared" si="3"/>
        <v>11</v>
      </c>
      <c r="M10" s="14">
        <v>24</v>
      </c>
      <c r="N10" s="14">
        <v>7</v>
      </c>
      <c r="O10" s="14"/>
      <c r="P10" s="14"/>
      <c r="Q10" s="14"/>
      <c r="R10" s="14">
        <v>1</v>
      </c>
      <c r="S10" s="14">
        <v>1</v>
      </c>
      <c r="T10" s="14">
        <v>9</v>
      </c>
    </row>
    <row r="11" spans="1:20" ht="15" customHeight="1">
      <c r="B11" s="98" t="s">
        <v>1082</v>
      </c>
      <c r="C11" s="60">
        <v>135</v>
      </c>
      <c r="D11" s="9"/>
      <c r="E11" s="60">
        <f>'BUGS X SPRINT'!J8</f>
        <v>1</v>
      </c>
      <c r="F11" s="9"/>
      <c r="G11" s="60">
        <f t="shared" si="0"/>
        <v>8</v>
      </c>
      <c r="H11" s="60">
        <f t="shared" si="1"/>
        <v>0</v>
      </c>
      <c r="I11" s="77">
        <f t="shared" si="2"/>
        <v>10</v>
      </c>
      <c r="J11" s="99">
        <f t="shared" si="3"/>
        <v>10</v>
      </c>
      <c r="M11" s="14">
        <v>25</v>
      </c>
      <c r="N11" s="14">
        <v>9</v>
      </c>
      <c r="O11" s="14"/>
      <c r="P11" s="14"/>
      <c r="Q11" s="14"/>
      <c r="R11" s="14"/>
      <c r="S11" s="14">
        <v>1</v>
      </c>
      <c r="T11" s="14">
        <v>10</v>
      </c>
    </row>
    <row r="12" spans="1:20" ht="15" customHeight="1">
      <c r="A12" s="32" t="s">
        <v>51</v>
      </c>
      <c r="B12" s="98" t="s">
        <v>1083</v>
      </c>
      <c r="C12" s="60">
        <v>135</v>
      </c>
      <c r="D12" s="59"/>
      <c r="E12" s="60">
        <f>'BUGS X SPRINT'!J7</f>
        <v>2</v>
      </c>
      <c r="F12" s="76">
        <f>+E11/C12</f>
        <v>7.4074074074074077E-3</v>
      </c>
      <c r="G12" s="60">
        <v>0</v>
      </c>
      <c r="H12" s="60">
        <f t="shared" si="1"/>
        <v>0</v>
      </c>
      <c r="I12" s="77">
        <f t="shared" si="2"/>
        <v>1</v>
      </c>
      <c r="J12" s="99">
        <f t="shared" si="3"/>
        <v>0.5</v>
      </c>
      <c r="M12" s="168" t="s">
        <v>36</v>
      </c>
      <c r="N12" s="14">
        <v>8</v>
      </c>
      <c r="O12" s="14"/>
      <c r="P12" s="14"/>
      <c r="Q12" s="14"/>
      <c r="R12" s="14"/>
      <c r="S12" s="14">
        <v>1</v>
      </c>
      <c r="T12" s="14">
        <v>9</v>
      </c>
    </row>
    <row r="13" spans="1:20" ht="15" customHeight="1">
      <c r="B13" s="98" t="s">
        <v>1059</v>
      </c>
      <c r="C13" s="100">
        <f>SUM(C4:C12)</f>
        <v>1215</v>
      </c>
      <c r="D13" s="100"/>
      <c r="E13" s="101">
        <f>SUM(E4:E12)</f>
        <v>4</v>
      </c>
      <c r="F13" s="102">
        <f>E13/C13</f>
        <v>3.2921810699588477E-3</v>
      </c>
      <c r="G13" s="103">
        <f>SUM(G4:G12)</f>
        <v>60</v>
      </c>
      <c r="H13" s="104">
        <f>SUM(H4:H12)</f>
        <v>2</v>
      </c>
      <c r="I13" s="105">
        <f>SUM(I4:I12)</f>
        <v>79</v>
      </c>
      <c r="J13" s="106">
        <f>I13/E13</f>
        <v>19.75</v>
      </c>
      <c r="M13" s="168" t="s">
        <v>41</v>
      </c>
      <c r="N13" s="14">
        <v>1</v>
      </c>
      <c r="O13" s="14"/>
      <c r="P13" s="14"/>
      <c r="Q13" s="14"/>
      <c r="R13" s="14"/>
      <c r="S13" s="14"/>
      <c r="T13" s="14">
        <v>1</v>
      </c>
    </row>
    <row r="14" spans="1:20">
      <c r="M14" s="14" t="s">
        <v>1074</v>
      </c>
      <c r="N14" s="14">
        <v>52</v>
      </c>
      <c r="O14" s="14">
        <v>1</v>
      </c>
      <c r="P14" s="14">
        <v>1</v>
      </c>
      <c r="Q14" s="14">
        <v>3</v>
      </c>
      <c r="R14" s="14">
        <v>2</v>
      </c>
      <c r="S14" s="14">
        <v>2</v>
      </c>
      <c r="T14" s="180">
        <v>61</v>
      </c>
    </row>
    <row r="15" spans="1:20"/>
    <row r="16" spans="1:20"/>
    <row r="17"/>
    <row r="18"/>
    <row r="19"/>
    <row r="20"/>
    <row r="21"/>
    <row r="22"/>
    <row r="23"/>
    <row r="24"/>
  </sheetData>
  <mergeCells count="1">
    <mergeCell ref="M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A0FA-F2C4-4FE2-A958-DFDF2E393869}">
  <dimension ref="A1:I23"/>
  <sheetViews>
    <sheetView topLeftCell="A10" workbookViewId="0">
      <selection activeCell="A19" sqref="A19"/>
    </sheetView>
  </sheetViews>
  <sheetFormatPr defaultColWidth="11.42578125" defaultRowHeight="15"/>
  <cols>
    <col min="1" max="1" width="10.85546875" bestFit="1" customWidth="1"/>
    <col min="2" max="2" width="16" bestFit="1" customWidth="1"/>
    <col min="3" max="3" width="12.5703125" bestFit="1" customWidth="1"/>
    <col min="4" max="4" width="6.140625" bestFit="1" customWidth="1"/>
    <col min="5" max="5" width="19.42578125" bestFit="1" customWidth="1"/>
    <col min="6" max="6" width="8.28515625" bestFit="1" customWidth="1"/>
    <col min="7" max="7" width="8.7109375" bestFit="1" customWidth="1"/>
    <col min="8" max="8" width="19.85546875" bestFit="1" customWidth="1"/>
    <col min="9" max="13" width="5.5703125" bestFit="1" customWidth="1"/>
    <col min="14" max="14" width="15.140625" bestFit="1" customWidth="1"/>
    <col min="15" max="15" width="19" bestFit="1" customWidth="1"/>
    <col min="16" max="16" width="12.85546875" bestFit="1" customWidth="1"/>
    <col min="17" max="17" width="24" bestFit="1" customWidth="1"/>
    <col min="18" max="18" width="6.5703125" bestFit="1" customWidth="1"/>
    <col min="19" max="19" width="5.42578125" bestFit="1" customWidth="1"/>
    <col min="20" max="20" width="12.5703125" bestFit="1" customWidth="1"/>
    <col min="21" max="21" width="6.5703125" bestFit="1" customWidth="1"/>
    <col min="22" max="22" width="20.7109375" bestFit="1" customWidth="1"/>
    <col min="23" max="23" width="12.5703125" bestFit="1" customWidth="1"/>
  </cols>
  <sheetData>
    <row r="1" spans="1:6" s="11" customFormat="1" ht="21">
      <c r="A1" s="11" t="s">
        <v>1084</v>
      </c>
    </row>
    <row r="3" spans="1:6">
      <c r="A3" s="18" t="s">
        <v>118</v>
      </c>
      <c r="B3" s="18" t="s">
        <v>1085</v>
      </c>
    </row>
    <row r="4" spans="1:6">
      <c r="A4" s="1" t="s">
        <v>141</v>
      </c>
      <c r="B4">
        <v>191</v>
      </c>
    </row>
    <row r="5" spans="1:6">
      <c r="A5" s="1" t="s">
        <v>135</v>
      </c>
      <c r="B5">
        <v>169</v>
      </c>
    </row>
    <row r="6" spans="1:6">
      <c r="A6" s="1" t="s">
        <v>1059</v>
      </c>
      <c r="B6">
        <v>360</v>
      </c>
    </row>
    <row r="10" spans="1:6">
      <c r="A10" s="2" t="s">
        <v>1086</v>
      </c>
      <c r="B10" s="2" t="s">
        <v>22</v>
      </c>
      <c r="C10" s="3"/>
      <c r="D10" s="3"/>
      <c r="E10" s="3"/>
      <c r="F10" s="3"/>
    </row>
    <row r="11" spans="1:6">
      <c r="A11" s="4"/>
      <c r="B11" s="7" t="s">
        <v>41</v>
      </c>
      <c r="C11" s="7" t="s">
        <v>36</v>
      </c>
      <c r="D11" s="7" t="s">
        <v>37</v>
      </c>
      <c r="E11" s="7" t="s">
        <v>40</v>
      </c>
      <c r="F11" s="7" t="s">
        <v>1059</v>
      </c>
    </row>
    <row r="12" spans="1:6">
      <c r="A12" s="5" t="s">
        <v>118</v>
      </c>
      <c r="B12" s="3"/>
      <c r="C12" s="3"/>
      <c r="D12" s="3"/>
      <c r="E12" s="3"/>
      <c r="F12" s="4"/>
    </row>
    <row r="13" spans="1:6">
      <c r="A13" s="6" t="s">
        <v>141</v>
      </c>
      <c r="B13" s="41">
        <v>17</v>
      </c>
      <c r="C13" s="41">
        <v>87</v>
      </c>
      <c r="D13" s="41">
        <v>81</v>
      </c>
      <c r="E13" s="41">
        <v>6</v>
      </c>
      <c r="F13" s="41">
        <v>191</v>
      </c>
    </row>
    <row r="14" spans="1:6">
      <c r="A14" s="6" t="s">
        <v>135</v>
      </c>
      <c r="B14" s="41">
        <v>10</v>
      </c>
      <c r="C14" s="41">
        <v>56</v>
      </c>
      <c r="D14" s="41">
        <v>84</v>
      </c>
      <c r="E14" s="41">
        <v>19</v>
      </c>
      <c r="F14" s="41">
        <v>169</v>
      </c>
    </row>
    <row r="15" spans="1:6">
      <c r="A15" s="6" t="s">
        <v>1059</v>
      </c>
      <c r="B15" s="41">
        <v>27</v>
      </c>
      <c r="C15" s="41">
        <v>143</v>
      </c>
      <c r="D15" s="41">
        <v>165</v>
      </c>
      <c r="E15" s="41">
        <v>25</v>
      </c>
      <c r="F15" s="41">
        <v>360</v>
      </c>
    </row>
    <row r="19" spans="1:9">
      <c r="A19" s="2" t="s">
        <v>1086</v>
      </c>
      <c r="B19" s="2" t="s">
        <v>18</v>
      </c>
      <c r="C19" s="3"/>
      <c r="D19" s="3"/>
      <c r="E19" s="3"/>
      <c r="F19" s="3"/>
      <c r="G19" s="3"/>
      <c r="H19" s="3"/>
      <c r="I19" s="3"/>
    </row>
    <row r="20" spans="1:9">
      <c r="A20" s="5" t="s">
        <v>118</v>
      </c>
      <c r="B20" s="3" t="s">
        <v>27</v>
      </c>
      <c r="C20" s="3" t="s">
        <v>246</v>
      </c>
      <c r="D20" s="3" t="s">
        <v>242</v>
      </c>
      <c r="E20" s="3" t="s">
        <v>25</v>
      </c>
      <c r="F20" s="3" t="s">
        <v>23</v>
      </c>
      <c r="G20" s="3" t="s">
        <v>51</v>
      </c>
      <c r="H20" s="3" t="s">
        <v>28</v>
      </c>
      <c r="I20" s="21" t="s">
        <v>1059</v>
      </c>
    </row>
    <row r="21" spans="1:9">
      <c r="A21" s="6" t="s">
        <v>141</v>
      </c>
      <c r="B21" s="41">
        <v>87</v>
      </c>
      <c r="C21" s="41">
        <v>2</v>
      </c>
      <c r="D21" s="41">
        <v>1</v>
      </c>
      <c r="E21" s="41"/>
      <c r="F21" s="41">
        <v>5</v>
      </c>
      <c r="G21" s="41">
        <v>1</v>
      </c>
      <c r="H21" s="41">
        <v>4</v>
      </c>
      <c r="I21" s="41">
        <v>100</v>
      </c>
    </row>
    <row r="22" spans="1:9">
      <c r="A22" s="6" t="s">
        <v>135</v>
      </c>
      <c r="B22" s="41">
        <v>29</v>
      </c>
      <c r="C22" s="41">
        <v>5</v>
      </c>
      <c r="D22" s="41">
        <v>2</v>
      </c>
      <c r="E22" s="41">
        <v>1</v>
      </c>
      <c r="F22" s="41">
        <v>3</v>
      </c>
      <c r="G22" s="41">
        <v>1</v>
      </c>
      <c r="H22" s="41">
        <v>5</v>
      </c>
      <c r="I22" s="41">
        <v>46</v>
      </c>
    </row>
    <row r="23" spans="1:9">
      <c r="A23" s="6" t="s">
        <v>1059</v>
      </c>
      <c r="B23" s="41">
        <v>116</v>
      </c>
      <c r="C23" s="41">
        <v>7</v>
      </c>
      <c r="D23" s="41">
        <v>3</v>
      </c>
      <c r="E23" s="41">
        <v>1</v>
      </c>
      <c r="F23" s="41">
        <v>8</v>
      </c>
      <c r="G23" s="41">
        <v>2</v>
      </c>
      <c r="H23" s="41">
        <v>9</v>
      </c>
      <c r="I23" s="41">
        <v>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1BAE-15D7-425E-AE4E-113061AB63E1}">
  <dimension ref="A1:K57"/>
  <sheetViews>
    <sheetView workbookViewId="0">
      <selection activeCell="I31" sqref="I31"/>
    </sheetView>
  </sheetViews>
  <sheetFormatPr defaultRowHeight="15"/>
  <cols>
    <col min="1" max="1" width="32.140625" style="115" customWidth="1"/>
    <col min="2" max="2" width="10.7109375" style="58" bestFit="1" customWidth="1"/>
    <col min="3" max="3" width="12.5703125" style="58" bestFit="1" customWidth="1"/>
    <col min="4" max="4" width="8.7109375" style="58" bestFit="1" customWidth="1"/>
    <col min="5" max="5" width="6.140625" style="58" bestFit="1" customWidth="1"/>
    <col min="6" max="6" width="19.42578125" style="58" bestFit="1" customWidth="1"/>
    <col min="7" max="7" width="16" style="58" bestFit="1" customWidth="1"/>
    <col min="8" max="8" width="19.85546875" bestFit="1" customWidth="1"/>
    <col min="9" max="11" width="12.5703125" bestFit="1" customWidth="1"/>
    <col min="12" max="12" width="5" bestFit="1" customWidth="1"/>
    <col min="13" max="13" width="8.5703125" bestFit="1" customWidth="1"/>
    <col min="14" max="14" width="6.5703125" bestFit="1" customWidth="1"/>
    <col min="15" max="15" width="11" bestFit="1" customWidth="1"/>
    <col min="16" max="16" width="24.85546875" bestFit="1" customWidth="1"/>
    <col min="17" max="17" width="27.85546875" bestFit="1" customWidth="1"/>
    <col min="18" max="18" width="18" bestFit="1" customWidth="1"/>
    <col min="19" max="19" width="5" bestFit="1" customWidth="1"/>
    <col min="20" max="20" width="8.5703125" bestFit="1" customWidth="1"/>
    <col min="21" max="21" width="6.5703125" bestFit="1" customWidth="1"/>
    <col min="22" max="22" width="20.85546875" bestFit="1" customWidth="1"/>
    <col min="23" max="23" width="12.5703125" bestFit="1" customWidth="1"/>
    <col min="24" max="24" width="6.5703125" bestFit="1" customWidth="1"/>
    <col min="25" max="25" width="20.140625" bestFit="1" customWidth="1"/>
    <col min="26" max="26" width="24.85546875" bestFit="1" customWidth="1"/>
    <col min="27" max="27" width="27.85546875" bestFit="1" customWidth="1"/>
    <col min="28" max="28" width="18" bestFit="1" customWidth="1"/>
    <col min="29" max="29" width="5" bestFit="1" customWidth="1"/>
    <col min="30" max="30" width="8.5703125" bestFit="1" customWidth="1"/>
    <col min="31" max="31" width="6.5703125" bestFit="1" customWidth="1"/>
    <col min="32" max="32" width="20.85546875" bestFit="1" customWidth="1"/>
    <col min="33" max="33" width="12.5703125" bestFit="1" customWidth="1"/>
  </cols>
  <sheetData>
    <row r="1" spans="1:11">
      <c r="A1" s="134" t="s">
        <v>22</v>
      </c>
      <c r="B1" s="17" t="s">
        <v>52</v>
      </c>
    </row>
    <row r="2" spans="1:11">
      <c r="A2" s="133"/>
    </row>
    <row r="3" spans="1:11">
      <c r="A3" s="134" t="s">
        <v>1087</v>
      </c>
      <c r="B3" s="124" t="s">
        <v>18</v>
      </c>
      <c r="C3" s="17"/>
      <c r="D3" s="17"/>
      <c r="E3" s="17"/>
      <c r="F3" s="17"/>
      <c r="G3" s="17"/>
      <c r="H3" s="17"/>
      <c r="I3" s="17"/>
    </row>
    <row r="4" spans="1:11">
      <c r="A4" s="134" t="s">
        <v>125</v>
      </c>
      <c r="B4" s="17" t="s">
        <v>23</v>
      </c>
      <c r="C4" s="17" t="s">
        <v>246</v>
      </c>
      <c r="D4" s="17" t="s">
        <v>51</v>
      </c>
      <c r="E4" s="17" t="s">
        <v>242</v>
      </c>
      <c r="F4" s="17" t="s">
        <v>25</v>
      </c>
      <c r="G4" s="17" t="s">
        <v>27</v>
      </c>
      <c r="H4" s="17" t="s">
        <v>28</v>
      </c>
      <c r="I4" s="17" t="s">
        <v>29</v>
      </c>
    </row>
    <row r="5" spans="1:11">
      <c r="A5" s="135" t="s">
        <v>158</v>
      </c>
      <c r="B5" s="17"/>
      <c r="C5" s="17"/>
      <c r="D5" s="17"/>
      <c r="E5" s="17"/>
      <c r="F5" s="17"/>
      <c r="G5" s="17">
        <v>6</v>
      </c>
      <c r="H5" s="17"/>
      <c r="I5" s="17">
        <v>6</v>
      </c>
    </row>
    <row r="6" spans="1:11">
      <c r="A6" s="135" t="s">
        <v>292</v>
      </c>
      <c r="B6" s="17"/>
      <c r="C6" s="17"/>
      <c r="D6" s="17"/>
      <c r="E6" s="17"/>
      <c r="F6" s="17"/>
      <c r="G6" s="17">
        <v>1</v>
      </c>
      <c r="H6" s="17"/>
      <c r="I6" s="17">
        <v>1</v>
      </c>
    </row>
    <row r="7" spans="1:11">
      <c r="A7" s="135" t="s">
        <v>260</v>
      </c>
      <c r="B7" s="17">
        <v>2</v>
      </c>
      <c r="C7" s="17"/>
      <c r="D7" s="17"/>
      <c r="E7" s="17"/>
      <c r="F7" s="17"/>
      <c r="G7" s="17">
        <v>1</v>
      </c>
      <c r="H7" s="17">
        <v>1</v>
      </c>
      <c r="I7" s="17">
        <v>4</v>
      </c>
    </row>
    <row r="8" spans="1:11">
      <c r="A8" s="135" t="s">
        <v>435</v>
      </c>
      <c r="B8" s="17"/>
      <c r="C8" s="17"/>
      <c r="D8" s="17"/>
      <c r="E8" s="17"/>
      <c r="F8" s="17"/>
      <c r="G8" s="17">
        <v>2</v>
      </c>
      <c r="H8" s="17"/>
      <c r="I8" s="17">
        <v>2</v>
      </c>
    </row>
    <row r="9" spans="1:11">
      <c r="A9" s="17" t="s">
        <v>243</v>
      </c>
      <c r="B9" s="17"/>
      <c r="C9" s="17"/>
      <c r="D9" s="17"/>
      <c r="E9" s="17">
        <v>1</v>
      </c>
      <c r="F9" s="17"/>
      <c r="G9" s="17">
        <v>1</v>
      </c>
      <c r="H9" s="17"/>
      <c r="I9" s="17">
        <v>2</v>
      </c>
    </row>
    <row r="10" spans="1:11">
      <c r="A10" s="135" t="s">
        <v>638</v>
      </c>
      <c r="B10" s="17"/>
      <c r="C10" s="17"/>
      <c r="D10" s="17"/>
      <c r="E10" s="17"/>
      <c r="F10" s="17"/>
      <c r="G10" s="17"/>
      <c r="H10" s="17">
        <v>1</v>
      </c>
      <c r="I10" s="17">
        <v>1</v>
      </c>
    </row>
    <row r="11" spans="1:11">
      <c r="A11" s="135" t="s">
        <v>1088</v>
      </c>
      <c r="B11" s="17"/>
      <c r="C11" s="17"/>
      <c r="D11" s="17"/>
      <c r="E11" s="17">
        <v>1</v>
      </c>
      <c r="F11" s="17"/>
      <c r="G11" s="17"/>
      <c r="H11" s="17"/>
      <c r="I11" s="17">
        <v>1</v>
      </c>
    </row>
    <row r="12" spans="1:11">
      <c r="A12" s="135" t="s">
        <v>1089</v>
      </c>
      <c r="B12" s="17"/>
      <c r="C12" s="17"/>
      <c r="D12" s="17"/>
      <c r="E12" s="17"/>
      <c r="F12" s="17"/>
      <c r="G12" s="17">
        <v>1</v>
      </c>
      <c r="H12" s="17"/>
      <c r="I12" s="17">
        <v>1</v>
      </c>
    </row>
    <row r="13" spans="1:11">
      <c r="A13" s="135" t="s">
        <v>620</v>
      </c>
      <c r="B13" s="17"/>
      <c r="C13" s="17"/>
      <c r="D13" s="17"/>
      <c r="E13" s="17"/>
      <c r="F13" s="17"/>
      <c r="G13" s="17">
        <v>3</v>
      </c>
      <c r="H13" s="17"/>
      <c r="I13" s="17">
        <v>3</v>
      </c>
    </row>
    <row r="14" spans="1:11">
      <c r="A14" s="136" t="s">
        <v>145</v>
      </c>
      <c r="B14" s="181"/>
      <c r="C14" s="181">
        <v>3</v>
      </c>
      <c r="D14" s="181"/>
      <c r="E14" s="181"/>
      <c r="F14" s="181"/>
      <c r="G14" s="181">
        <v>7</v>
      </c>
      <c r="H14" s="181"/>
      <c r="I14" s="181">
        <v>10</v>
      </c>
    </row>
    <row r="15" spans="1:11" s="26" customFormat="1">
      <c r="A15" s="17" t="s">
        <v>332</v>
      </c>
      <c r="B15" s="17">
        <v>1</v>
      </c>
      <c r="C15" s="17"/>
      <c r="D15" s="17"/>
      <c r="E15" s="17"/>
      <c r="F15" s="17"/>
      <c r="G15" s="17"/>
      <c r="H15" s="17"/>
      <c r="I15" s="17">
        <v>1</v>
      </c>
      <c r="J15"/>
      <c r="K15"/>
    </row>
    <row r="16" spans="1:11">
      <c r="A16" s="135" t="s">
        <v>376</v>
      </c>
      <c r="B16" s="17"/>
      <c r="C16" s="17"/>
      <c r="D16" s="17"/>
      <c r="E16" s="17"/>
      <c r="F16" s="17"/>
      <c r="G16" s="17">
        <v>1</v>
      </c>
      <c r="H16" s="17"/>
      <c r="I16" s="17">
        <v>1</v>
      </c>
    </row>
    <row r="17" spans="1:11">
      <c r="A17" s="135" t="s">
        <v>770</v>
      </c>
      <c r="B17" s="17"/>
      <c r="C17" s="17"/>
      <c r="D17" s="17"/>
      <c r="E17" s="17"/>
      <c r="F17" s="17"/>
      <c r="G17" s="17">
        <v>1</v>
      </c>
      <c r="H17" s="17"/>
      <c r="I17" s="17">
        <v>1</v>
      </c>
    </row>
    <row r="18" spans="1:11">
      <c r="A18" s="135" t="s">
        <v>131</v>
      </c>
      <c r="B18" s="17"/>
      <c r="C18" s="17"/>
      <c r="D18" s="17"/>
      <c r="E18" s="17"/>
      <c r="F18" s="17"/>
      <c r="G18" s="17">
        <v>1</v>
      </c>
      <c r="H18" s="17"/>
      <c r="I18" s="17">
        <v>1</v>
      </c>
    </row>
    <row r="19" spans="1:11">
      <c r="A19" s="135" t="s">
        <v>317</v>
      </c>
      <c r="B19" s="17"/>
      <c r="C19" s="17"/>
      <c r="D19" s="17"/>
      <c r="E19" s="17"/>
      <c r="F19" s="17"/>
      <c r="G19" s="17">
        <v>1</v>
      </c>
      <c r="H19" s="17"/>
      <c r="I19" s="17">
        <v>1</v>
      </c>
    </row>
    <row r="20" spans="1:11">
      <c r="A20" s="135" t="s">
        <v>234</v>
      </c>
      <c r="B20" s="17"/>
      <c r="C20" s="17"/>
      <c r="D20" s="17"/>
      <c r="E20" s="17"/>
      <c r="F20" s="17"/>
      <c r="G20" s="17">
        <v>6</v>
      </c>
      <c r="H20" s="17"/>
      <c r="I20" s="17">
        <v>6</v>
      </c>
    </row>
    <row r="21" spans="1:11">
      <c r="A21" s="135" t="s">
        <v>284</v>
      </c>
      <c r="B21" s="17">
        <v>1</v>
      </c>
      <c r="C21" s="17"/>
      <c r="D21" s="17"/>
      <c r="E21" s="17"/>
      <c r="F21" s="17"/>
      <c r="G21" s="17"/>
      <c r="H21" s="17"/>
      <c r="I21" s="17">
        <v>1</v>
      </c>
    </row>
    <row r="22" spans="1:11">
      <c r="A22" s="135" t="s">
        <v>302</v>
      </c>
      <c r="B22" s="17"/>
      <c r="C22" s="17"/>
      <c r="D22" s="17"/>
      <c r="E22" s="17"/>
      <c r="F22" s="17"/>
      <c r="G22" s="17">
        <v>2</v>
      </c>
      <c r="H22" s="17">
        <v>1</v>
      </c>
      <c r="I22" s="17">
        <v>3</v>
      </c>
    </row>
    <row r="23" spans="1:11">
      <c r="A23" s="17" t="s">
        <v>207</v>
      </c>
      <c r="B23" s="17"/>
      <c r="C23" s="17"/>
      <c r="D23" s="17"/>
      <c r="E23" s="17"/>
      <c r="F23" s="17"/>
      <c r="G23" s="17">
        <v>1</v>
      </c>
      <c r="H23" s="17"/>
      <c r="I23" s="17">
        <v>1</v>
      </c>
    </row>
    <row r="24" spans="1:11">
      <c r="A24" s="135" t="s">
        <v>264</v>
      </c>
      <c r="B24" s="17"/>
      <c r="C24" s="17"/>
      <c r="D24" s="17"/>
      <c r="E24" s="17"/>
      <c r="F24" s="17"/>
      <c r="G24" s="17">
        <v>9</v>
      </c>
      <c r="H24" s="17"/>
      <c r="I24" s="17">
        <v>9</v>
      </c>
    </row>
    <row r="25" spans="1:11">
      <c r="A25" s="135" t="s">
        <v>503</v>
      </c>
      <c r="B25" s="17"/>
      <c r="C25" s="17"/>
      <c r="D25" s="17"/>
      <c r="E25" s="17"/>
      <c r="F25" s="17"/>
      <c r="G25" s="17">
        <v>2</v>
      </c>
      <c r="H25" s="17"/>
      <c r="I25" s="17">
        <v>2</v>
      </c>
    </row>
    <row r="26" spans="1:11">
      <c r="A26" s="136" t="s">
        <v>162</v>
      </c>
      <c r="B26" s="181">
        <v>1</v>
      </c>
      <c r="C26" s="181"/>
      <c r="D26" s="181"/>
      <c r="E26" s="181">
        <v>1</v>
      </c>
      <c r="F26" s="181"/>
      <c r="G26" s="181">
        <v>10</v>
      </c>
      <c r="H26" s="181"/>
      <c r="I26" s="181">
        <v>12</v>
      </c>
    </row>
    <row r="27" spans="1:11" s="26" customFormat="1">
      <c r="A27" s="135" t="s">
        <v>506</v>
      </c>
      <c r="B27" s="17"/>
      <c r="C27" s="17"/>
      <c r="D27" s="17"/>
      <c r="E27" s="17"/>
      <c r="F27" s="17"/>
      <c r="G27" s="17">
        <v>2</v>
      </c>
      <c r="H27" s="17"/>
      <c r="I27" s="17">
        <v>2</v>
      </c>
      <c r="J27"/>
      <c r="K27"/>
    </row>
    <row r="28" spans="1:11">
      <c r="A28" s="135" t="s">
        <v>351</v>
      </c>
      <c r="B28" s="17"/>
      <c r="C28" s="17"/>
      <c r="D28" s="17"/>
      <c r="E28" s="17"/>
      <c r="F28" s="17"/>
      <c r="G28" s="17">
        <v>1</v>
      </c>
      <c r="H28" s="17"/>
      <c r="I28" s="17">
        <v>1</v>
      </c>
    </row>
    <row r="29" spans="1:11">
      <c r="A29" s="135" t="s">
        <v>442</v>
      </c>
      <c r="B29" s="17">
        <v>1</v>
      </c>
      <c r="C29" s="17"/>
      <c r="D29" s="17"/>
      <c r="E29" s="17"/>
      <c r="F29" s="17"/>
      <c r="G29" s="17">
        <v>4</v>
      </c>
      <c r="H29" s="17"/>
      <c r="I29" s="17">
        <v>5</v>
      </c>
    </row>
    <row r="30" spans="1:11">
      <c r="A30" s="135" t="s">
        <v>598</v>
      </c>
      <c r="B30" s="17"/>
      <c r="C30" s="17"/>
      <c r="D30" s="17"/>
      <c r="E30" s="17"/>
      <c r="F30" s="17"/>
      <c r="G30" s="17">
        <v>1</v>
      </c>
      <c r="H30" s="17"/>
      <c r="I30" s="17">
        <v>1</v>
      </c>
    </row>
    <row r="31" spans="1:11">
      <c r="A31" s="135" t="s">
        <v>237</v>
      </c>
      <c r="B31" s="17">
        <v>1</v>
      </c>
      <c r="C31" s="17"/>
      <c r="D31" s="17">
        <v>1</v>
      </c>
      <c r="E31" s="17"/>
      <c r="F31" s="17"/>
      <c r="G31" s="17">
        <v>5</v>
      </c>
      <c r="H31" s="17">
        <v>2</v>
      </c>
      <c r="I31" s="17">
        <v>9</v>
      </c>
    </row>
    <row r="32" spans="1:11">
      <c r="A32" s="135" t="s">
        <v>187</v>
      </c>
      <c r="B32" s="17"/>
      <c r="C32" s="17"/>
      <c r="D32" s="17"/>
      <c r="E32" s="17"/>
      <c r="F32" s="17"/>
      <c r="G32" s="17">
        <v>2</v>
      </c>
      <c r="H32" s="17"/>
      <c r="I32" s="17">
        <v>2</v>
      </c>
    </row>
    <row r="33" spans="1:9">
      <c r="A33" s="135" t="s">
        <v>476</v>
      </c>
      <c r="B33" s="17"/>
      <c r="C33" s="17"/>
      <c r="D33" s="17"/>
      <c r="E33" s="17"/>
      <c r="F33" s="17"/>
      <c r="G33" s="17">
        <v>2</v>
      </c>
      <c r="H33" s="17"/>
      <c r="I33" s="17">
        <v>2</v>
      </c>
    </row>
    <row r="34" spans="1:9">
      <c r="A34" s="135" t="s">
        <v>225</v>
      </c>
      <c r="B34" s="17"/>
      <c r="C34" s="17"/>
      <c r="D34" s="17"/>
      <c r="E34" s="17"/>
      <c r="F34" s="17"/>
      <c r="G34" s="17">
        <v>1</v>
      </c>
      <c r="H34" s="17">
        <v>1</v>
      </c>
      <c r="I34" s="17">
        <v>2</v>
      </c>
    </row>
    <row r="35" spans="1:9">
      <c r="A35" s="135" t="s">
        <v>173</v>
      </c>
      <c r="B35" s="17"/>
      <c r="C35" s="17">
        <v>1</v>
      </c>
      <c r="D35" s="17"/>
      <c r="E35" s="17"/>
      <c r="F35" s="17"/>
      <c r="G35" s="17">
        <v>5</v>
      </c>
      <c r="H35" s="17">
        <v>1</v>
      </c>
      <c r="I35" s="17">
        <v>7</v>
      </c>
    </row>
    <row r="36" spans="1:9">
      <c r="A36" s="135" t="s">
        <v>168</v>
      </c>
      <c r="B36" s="17">
        <v>1</v>
      </c>
      <c r="C36" s="17">
        <v>1</v>
      </c>
      <c r="D36" s="17"/>
      <c r="E36" s="17"/>
      <c r="F36" s="17"/>
      <c r="G36" s="17">
        <v>1</v>
      </c>
      <c r="H36" s="17">
        <v>1</v>
      </c>
      <c r="I36" s="17">
        <v>4</v>
      </c>
    </row>
    <row r="37" spans="1:9">
      <c r="A37" s="135" t="s">
        <v>535</v>
      </c>
      <c r="B37" s="17"/>
      <c r="C37" s="17"/>
      <c r="D37" s="17"/>
      <c r="E37" s="17"/>
      <c r="F37" s="17"/>
      <c r="G37" s="17">
        <v>2</v>
      </c>
      <c r="H37" s="17"/>
      <c r="I37" s="17">
        <v>2</v>
      </c>
    </row>
    <row r="38" spans="1:9">
      <c r="A38" s="135" t="s">
        <v>335</v>
      </c>
      <c r="B38" s="17"/>
      <c r="C38" s="17"/>
      <c r="D38" s="17"/>
      <c r="E38" s="17"/>
      <c r="F38" s="17"/>
      <c r="G38" s="17">
        <v>4</v>
      </c>
      <c r="H38" s="17"/>
      <c r="I38" s="17">
        <v>4</v>
      </c>
    </row>
    <row r="39" spans="1:9">
      <c r="A39" s="135" t="s">
        <v>181</v>
      </c>
      <c r="B39" s="17"/>
      <c r="C39" s="17"/>
      <c r="D39" s="17">
        <v>1</v>
      </c>
      <c r="E39" s="17"/>
      <c r="F39" s="17"/>
      <c r="G39" s="17">
        <v>3</v>
      </c>
      <c r="H39" s="17"/>
      <c r="I39" s="17">
        <v>4</v>
      </c>
    </row>
    <row r="40" spans="1:9">
      <c r="A40" s="135" t="s">
        <v>210</v>
      </c>
      <c r="B40" s="17"/>
      <c r="C40" s="17"/>
      <c r="D40" s="17"/>
      <c r="E40" s="17"/>
      <c r="F40" s="17"/>
      <c r="G40" s="17">
        <v>5</v>
      </c>
      <c r="H40" s="17"/>
      <c r="I40" s="17">
        <v>5</v>
      </c>
    </row>
    <row r="41" spans="1:9">
      <c r="A41" s="135" t="s">
        <v>148</v>
      </c>
      <c r="B41" s="17"/>
      <c r="C41" s="17">
        <v>1</v>
      </c>
      <c r="D41" s="17"/>
      <c r="E41" s="17"/>
      <c r="F41" s="17"/>
      <c r="G41" s="17">
        <v>3</v>
      </c>
      <c r="H41" s="17"/>
      <c r="I41" s="17">
        <v>4</v>
      </c>
    </row>
    <row r="42" spans="1:9">
      <c r="A42" s="135" t="s">
        <v>366</v>
      </c>
      <c r="B42" s="17"/>
      <c r="C42" s="17"/>
      <c r="D42" s="17"/>
      <c r="E42" s="17"/>
      <c r="F42" s="17"/>
      <c r="G42" s="17">
        <v>5</v>
      </c>
      <c r="H42" s="17"/>
      <c r="I42" s="17">
        <v>5</v>
      </c>
    </row>
    <row r="43" spans="1:9">
      <c r="A43" s="135" t="s">
        <v>152</v>
      </c>
      <c r="B43" s="17"/>
      <c r="C43" s="17">
        <v>1</v>
      </c>
      <c r="D43" s="17"/>
      <c r="E43" s="17"/>
      <c r="F43" s="17"/>
      <c r="G43" s="17">
        <v>5</v>
      </c>
      <c r="H43" s="17">
        <v>1</v>
      </c>
      <c r="I43" s="17">
        <v>7</v>
      </c>
    </row>
    <row r="44" spans="1:9">
      <c r="A44" s="135" t="s">
        <v>1090</v>
      </c>
      <c r="B44" s="17"/>
      <c r="C44" s="17"/>
      <c r="D44" s="17"/>
      <c r="E44" s="17"/>
      <c r="F44" s="17"/>
      <c r="G44" s="17">
        <v>4</v>
      </c>
      <c r="H44" s="17"/>
      <c r="I44" s="17">
        <v>4</v>
      </c>
    </row>
    <row r="45" spans="1:9">
      <c r="A45" s="135" t="s">
        <v>576</v>
      </c>
      <c r="B45" s="17"/>
      <c r="C45" s="17"/>
      <c r="D45" s="17"/>
      <c r="E45" s="17"/>
      <c r="F45" s="17"/>
      <c r="G45" s="17">
        <v>1</v>
      </c>
      <c r="H45" s="17"/>
      <c r="I45" s="17">
        <v>1</v>
      </c>
    </row>
    <row r="46" spans="1:9">
      <c r="A46" s="17" t="s">
        <v>276</v>
      </c>
      <c r="B46" s="17"/>
      <c r="C46" s="17"/>
      <c r="D46" s="17"/>
      <c r="E46" s="17"/>
      <c r="F46" s="17"/>
      <c r="G46" s="17">
        <v>2</v>
      </c>
      <c r="H46" s="17"/>
      <c r="I46" s="17">
        <v>2</v>
      </c>
    </row>
    <row r="47" spans="1:9">
      <c r="A47" s="17" t="s">
        <v>297</v>
      </c>
      <c r="B47" s="17"/>
      <c r="C47" s="17"/>
      <c r="D47" s="17"/>
      <c r="E47" s="17"/>
      <c r="F47" s="17"/>
      <c r="G47" s="17">
        <v>1</v>
      </c>
      <c r="H47" s="17"/>
      <c r="I47" s="17">
        <v>1</v>
      </c>
    </row>
    <row r="48" spans="1:9">
      <c r="A48" s="17" t="s">
        <v>1091</v>
      </c>
      <c r="B48" s="17"/>
      <c r="C48" s="17"/>
      <c r="D48" s="17"/>
      <c r="E48" s="17"/>
      <c r="F48" s="17">
        <v>1</v>
      </c>
      <c r="G48" s="17"/>
      <c r="H48" s="17"/>
      <c r="I48" s="17">
        <v>1</v>
      </c>
    </row>
    <row r="49" spans="1:9">
      <c r="A49" s="17" t="s">
        <v>140</v>
      </c>
      <c r="B49" s="17"/>
      <c r="C49" s="17"/>
      <c r="D49" s="17"/>
      <c r="E49" s="17"/>
      <c r="F49" s="17"/>
      <c r="G49" s="17">
        <v>1</v>
      </c>
      <c r="H49" s="17"/>
      <c r="I49" s="17">
        <v>1</v>
      </c>
    </row>
    <row r="50" spans="1:9">
      <c r="A50" s="135" t="s">
        <v>29</v>
      </c>
      <c r="B50" s="17">
        <v>8</v>
      </c>
      <c r="C50" s="17">
        <v>7</v>
      </c>
      <c r="D50" s="17">
        <v>2</v>
      </c>
      <c r="E50" s="17">
        <v>3</v>
      </c>
      <c r="F50" s="17">
        <v>1</v>
      </c>
      <c r="G50" s="17">
        <v>116</v>
      </c>
      <c r="H50" s="17">
        <v>9</v>
      </c>
      <c r="I50" s="17">
        <v>146</v>
      </c>
    </row>
    <row r="51" spans="1:9">
      <c r="A51"/>
      <c r="B51"/>
      <c r="C51"/>
      <c r="D51"/>
      <c r="E51"/>
      <c r="F51"/>
      <c r="G51"/>
    </row>
    <row r="52" spans="1:9">
      <c r="A52"/>
      <c r="B52"/>
      <c r="C52"/>
      <c r="D52"/>
      <c r="E52"/>
      <c r="F52"/>
      <c r="G52"/>
    </row>
    <row r="53" spans="1:9">
      <c r="A53"/>
      <c r="B53"/>
      <c r="C53"/>
      <c r="D53"/>
      <c r="E53"/>
      <c r="F53"/>
      <c r="G53"/>
    </row>
    <row r="54" spans="1:9">
      <c r="A54"/>
      <c r="B54"/>
      <c r="C54"/>
      <c r="D54"/>
      <c r="E54"/>
      <c r="F54"/>
      <c r="G54"/>
    </row>
    <row r="55" spans="1:9">
      <c r="A55"/>
      <c r="B55"/>
      <c r="C55"/>
      <c r="D55"/>
      <c r="E55"/>
      <c r="F55"/>
      <c r="G55"/>
    </row>
    <row r="56" spans="1:9">
      <c r="A56"/>
      <c r="B56"/>
      <c r="C56"/>
      <c r="D56"/>
      <c r="E56"/>
      <c r="F56"/>
      <c r="G56"/>
    </row>
    <row r="57" spans="1:9">
      <c r="A57"/>
      <c r="B57"/>
      <c r="C57"/>
      <c r="D57"/>
      <c r="E57"/>
      <c r="F57"/>
      <c r="G5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7090-EA2D-4176-891A-C19113759D83}">
  <dimension ref="A4:F6"/>
  <sheetViews>
    <sheetView workbookViewId="0">
      <selection activeCell="B9" sqref="B9"/>
    </sheetView>
  </sheetViews>
  <sheetFormatPr defaultRowHeight="15"/>
  <cols>
    <col min="1" max="1" width="12.42578125" customWidth="1"/>
    <col min="2" max="2" width="18" customWidth="1"/>
    <col min="3" max="3" width="14" customWidth="1"/>
    <col min="4" max="4" width="13.5703125" customWidth="1"/>
    <col min="5" max="5" width="14.85546875" customWidth="1"/>
    <col min="6" max="6" width="16.42578125" customWidth="1"/>
  </cols>
  <sheetData>
    <row r="4" spans="1:6" s="22" customFormat="1" ht="29.25">
      <c r="A4" s="61" t="s">
        <v>92</v>
      </c>
      <c r="B4" s="62" t="s">
        <v>1068</v>
      </c>
      <c r="C4" s="63" t="s">
        <v>1092</v>
      </c>
      <c r="D4" s="64" t="s">
        <v>1093</v>
      </c>
      <c r="E4" s="65" t="s">
        <v>1094</v>
      </c>
      <c r="F4" s="66" t="s">
        <v>1095</v>
      </c>
    </row>
    <row r="5" spans="1:6">
      <c r="A5" s="67" t="s">
        <v>1080</v>
      </c>
      <c r="B5" s="68">
        <v>6</v>
      </c>
      <c r="C5" s="69">
        <v>18</v>
      </c>
      <c r="D5" s="70">
        <v>11</v>
      </c>
      <c r="E5" s="71">
        <v>44</v>
      </c>
      <c r="F5" s="72">
        <f>B5+C5+D5</f>
        <v>35</v>
      </c>
    </row>
    <row r="6" spans="1:6">
      <c r="A6" s="73"/>
      <c r="B6" s="74"/>
      <c r="C6" s="74"/>
      <c r="D6" s="74"/>
      <c r="E6" s="74"/>
      <c r="F6" s="7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FA80-3B8B-4BEB-B1E5-3F1E8975A5B4}">
  <dimension ref="A2:I8"/>
  <sheetViews>
    <sheetView workbookViewId="0">
      <selection activeCell="L19" sqref="L19"/>
    </sheetView>
  </sheetViews>
  <sheetFormatPr defaultRowHeight="15"/>
  <cols>
    <col min="1" max="1" width="15.28515625" bestFit="1" customWidth="1"/>
    <col min="2" max="2" width="16" bestFit="1" customWidth="1"/>
    <col min="3" max="3" width="8.28515625" bestFit="1" customWidth="1"/>
    <col min="4" max="4" width="8.7109375" bestFit="1" customWidth="1"/>
    <col min="5" max="5" width="12.5703125" bestFit="1" customWidth="1"/>
    <col min="6" max="6" width="19.85546875" bestFit="1" customWidth="1"/>
    <col min="7" max="7" width="6.140625" bestFit="1" customWidth="1"/>
    <col min="8" max="8" width="19.42578125" bestFit="1" customWidth="1"/>
    <col min="9" max="9" width="5.5703125" bestFit="1" customWidth="1"/>
  </cols>
  <sheetData>
    <row r="2" spans="1:9">
      <c r="A2" s="48" t="s">
        <v>1096</v>
      </c>
      <c r="B2" s="46" t="s">
        <v>1097</v>
      </c>
      <c r="C2" s="46"/>
      <c r="D2" s="46"/>
      <c r="E2" s="46"/>
      <c r="F2" s="46"/>
      <c r="G2" s="46"/>
      <c r="H2" s="46"/>
      <c r="I2" s="46"/>
    </row>
    <row r="3" spans="1:9">
      <c r="A3" s="48" t="s">
        <v>22</v>
      </c>
      <c r="B3" s="48" t="s">
        <v>27</v>
      </c>
      <c r="C3" s="48" t="s">
        <v>23</v>
      </c>
      <c r="D3" s="48" t="s">
        <v>51</v>
      </c>
      <c r="E3" s="48" t="s">
        <v>246</v>
      </c>
      <c r="F3" s="48" t="s">
        <v>28</v>
      </c>
      <c r="G3" s="48" t="s">
        <v>242</v>
      </c>
      <c r="H3" s="48" t="s">
        <v>25</v>
      </c>
      <c r="I3" s="48" t="s">
        <v>1059</v>
      </c>
    </row>
    <row r="4" spans="1:9">
      <c r="A4" s="49" t="s">
        <v>41</v>
      </c>
      <c r="B4" s="49">
        <v>5</v>
      </c>
      <c r="C4" s="49"/>
      <c r="D4" s="49"/>
      <c r="E4" s="49"/>
      <c r="F4" s="49"/>
      <c r="G4" s="49"/>
      <c r="H4" s="49"/>
      <c r="I4" s="49">
        <v>5</v>
      </c>
    </row>
    <row r="5" spans="1:9">
      <c r="A5" s="50" t="s">
        <v>36</v>
      </c>
      <c r="B5" s="50">
        <v>47</v>
      </c>
      <c r="C5" s="50">
        <v>3</v>
      </c>
      <c r="D5" s="50">
        <v>2</v>
      </c>
      <c r="E5" s="50"/>
      <c r="F5" s="50">
        <v>2</v>
      </c>
      <c r="G5" s="50">
        <v>1</v>
      </c>
      <c r="H5" s="50">
        <v>1</v>
      </c>
      <c r="I5" s="50">
        <v>56</v>
      </c>
    </row>
    <row r="6" spans="1:9">
      <c r="A6" s="47" t="s">
        <v>37</v>
      </c>
      <c r="B6" s="47">
        <v>56</v>
      </c>
      <c r="C6" s="47">
        <v>5</v>
      </c>
      <c r="D6" s="47"/>
      <c r="E6" s="47">
        <v>7</v>
      </c>
      <c r="F6" s="47">
        <v>7</v>
      </c>
      <c r="G6" s="47">
        <v>2</v>
      </c>
      <c r="H6" s="47"/>
      <c r="I6" s="47">
        <v>77</v>
      </c>
    </row>
    <row r="7" spans="1:9">
      <c r="A7" s="51" t="s">
        <v>40</v>
      </c>
      <c r="B7" s="51">
        <v>8</v>
      </c>
      <c r="C7" s="51"/>
      <c r="D7" s="51"/>
      <c r="E7" s="51"/>
      <c r="F7" s="51"/>
      <c r="G7" s="51"/>
      <c r="H7" s="51"/>
      <c r="I7" s="51">
        <v>8</v>
      </c>
    </row>
    <row r="8" spans="1:9">
      <c r="A8" s="52" t="s">
        <v>1059</v>
      </c>
      <c r="B8" s="52">
        <v>116</v>
      </c>
      <c r="C8" s="52">
        <v>8</v>
      </c>
      <c r="D8" s="52">
        <v>2</v>
      </c>
      <c r="E8" s="52">
        <v>7</v>
      </c>
      <c r="F8" s="52">
        <v>9</v>
      </c>
      <c r="G8" s="52">
        <v>3</v>
      </c>
      <c r="H8" s="52">
        <v>1</v>
      </c>
      <c r="I8" s="182">
        <v>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8AC4-5F79-48C9-9707-3F7CA3EEF685}">
  <dimension ref="A1:H32"/>
  <sheetViews>
    <sheetView topLeftCell="A20" workbookViewId="0">
      <selection activeCell="G32" sqref="G32"/>
    </sheetView>
  </sheetViews>
  <sheetFormatPr defaultColWidth="11.42578125" defaultRowHeight="15"/>
  <cols>
    <col min="1" max="1" width="15.85546875" bestFit="1" customWidth="1"/>
    <col min="2" max="2" width="9.140625" style="97"/>
    <col min="3" max="3" width="14.140625" style="97" customWidth="1"/>
    <col min="4" max="4" width="15.5703125" style="58" customWidth="1"/>
    <col min="5" max="6" width="9.140625"/>
    <col min="7" max="7" width="21.42578125" customWidth="1"/>
    <col min="8" max="8" width="37.42578125" bestFit="1" customWidth="1"/>
    <col min="9" max="9" width="9.140625"/>
  </cols>
  <sheetData>
    <row r="1" spans="1:8">
      <c r="A1" s="95" t="s">
        <v>42</v>
      </c>
      <c r="B1" s="95" t="s">
        <v>92</v>
      </c>
      <c r="C1" s="95" t="s">
        <v>0</v>
      </c>
      <c r="D1" s="95" t="s">
        <v>1098</v>
      </c>
      <c r="E1" s="95" t="s">
        <v>1099</v>
      </c>
      <c r="F1" s="95"/>
      <c r="G1" s="211" t="s">
        <v>103</v>
      </c>
      <c r="H1" s="211"/>
    </row>
    <row r="2" spans="1:8">
      <c r="A2" s="96" t="s">
        <v>75</v>
      </c>
      <c r="B2" s="96">
        <v>16</v>
      </c>
      <c r="C2" s="96" t="s">
        <v>1100</v>
      </c>
      <c r="D2" s="96" t="s">
        <v>1101</v>
      </c>
      <c r="E2" s="96">
        <v>1015.742</v>
      </c>
      <c r="F2" s="96">
        <v>95</v>
      </c>
      <c r="G2" s="117" t="s">
        <v>935</v>
      </c>
      <c r="H2" s="117"/>
    </row>
    <row r="3" spans="1:8">
      <c r="A3" s="96" t="s">
        <v>75</v>
      </c>
      <c r="B3" s="96">
        <v>16</v>
      </c>
      <c r="C3" s="117"/>
      <c r="D3" s="96"/>
      <c r="E3" s="117"/>
      <c r="F3" s="117"/>
      <c r="G3" s="96" t="s">
        <v>950</v>
      </c>
      <c r="H3" s="117"/>
    </row>
    <row r="4" spans="1:8">
      <c r="A4" s="96" t="s">
        <v>73</v>
      </c>
      <c r="B4" s="96">
        <v>16</v>
      </c>
      <c r="C4" s="96" t="s">
        <v>1102</v>
      </c>
      <c r="D4" s="96" t="s">
        <v>1101</v>
      </c>
      <c r="E4" s="96">
        <v>1073.1017999999999</v>
      </c>
      <c r="F4" s="96">
        <v>40</v>
      </c>
      <c r="G4" s="117" t="s">
        <v>911</v>
      </c>
      <c r="H4" s="117" t="s">
        <v>1103</v>
      </c>
    </row>
    <row r="5" spans="1:8">
      <c r="A5" s="96" t="s">
        <v>73</v>
      </c>
      <c r="B5" s="96">
        <v>16</v>
      </c>
      <c r="C5" s="117"/>
      <c r="D5" s="96"/>
      <c r="E5" s="117"/>
      <c r="F5" s="117"/>
      <c r="G5" s="96" t="s">
        <v>922</v>
      </c>
      <c r="H5" s="117" t="s">
        <v>1103</v>
      </c>
    </row>
    <row r="6" spans="1:8">
      <c r="A6" s="96" t="s">
        <v>74</v>
      </c>
      <c r="B6" s="96">
        <v>17</v>
      </c>
      <c r="C6" s="96" t="s">
        <v>1104</v>
      </c>
      <c r="D6" s="96" t="s">
        <v>1101</v>
      </c>
      <c r="E6" s="96">
        <v>1213.1202000000001</v>
      </c>
      <c r="F6" s="96">
        <v>70</v>
      </c>
      <c r="G6" s="117" t="s">
        <v>889</v>
      </c>
      <c r="H6" s="117"/>
    </row>
    <row r="7" spans="1:8">
      <c r="A7" s="96" t="s">
        <v>74</v>
      </c>
      <c r="B7" s="96">
        <v>17</v>
      </c>
      <c r="C7" s="117"/>
      <c r="D7" s="96"/>
      <c r="E7" s="117"/>
      <c r="F7" s="117"/>
      <c r="G7" s="96" t="s">
        <v>898</v>
      </c>
      <c r="H7" s="117"/>
    </row>
    <row r="8" spans="1:8">
      <c r="A8" s="96" t="s">
        <v>71</v>
      </c>
      <c r="B8" s="96">
        <v>17</v>
      </c>
      <c r="C8" s="96" t="s">
        <v>1105</v>
      </c>
      <c r="D8" s="96" t="s">
        <v>1101</v>
      </c>
      <c r="E8" s="96">
        <v>1271.127</v>
      </c>
      <c r="F8" s="96">
        <v>69</v>
      </c>
      <c r="G8" s="117" t="s">
        <v>867</v>
      </c>
      <c r="H8" s="117" t="s">
        <v>1103</v>
      </c>
    </row>
    <row r="9" spans="1:8">
      <c r="A9" s="96" t="s">
        <v>71</v>
      </c>
      <c r="B9" s="96">
        <v>17</v>
      </c>
      <c r="C9" s="117"/>
      <c r="D9" s="96"/>
      <c r="E9" s="117"/>
      <c r="F9" s="117"/>
      <c r="G9" s="96" t="s">
        <v>872</v>
      </c>
      <c r="H9" s="117" t="s">
        <v>1103</v>
      </c>
    </row>
    <row r="10" spans="1:8">
      <c r="A10" s="96" t="s">
        <v>72</v>
      </c>
      <c r="B10" s="96">
        <v>18</v>
      </c>
      <c r="C10" s="117"/>
      <c r="D10" s="96"/>
      <c r="E10" s="117"/>
      <c r="F10" s="117"/>
      <c r="G10" s="96" t="s">
        <v>832</v>
      </c>
      <c r="H10" s="117"/>
    </row>
    <row r="11" spans="1:8">
      <c r="A11" s="96" t="s">
        <v>72</v>
      </c>
      <c r="B11" s="96">
        <v>18</v>
      </c>
      <c r="C11" s="96" t="s">
        <v>1106</v>
      </c>
      <c r="D11" s="96" t="s">
        <v>1107</v>
      </c>
      <c r="E11" s="96">
        <v>1376.1351</v>
      </c>
      <c r="F11" s="96" t="s">
        <v>1108</v>
      </c>
      <c r="G11" s="117" t="s">
        <v>804</v>
      </c>
      <c r="H11" s="117"/>
    </row>
    <row r="12" spans="1:8" ht="29.25">
      <c r="A12" s="96" t="s">
        <v>70</v>
      </c>
      <c r="B12" s="96">
        <v>19</v>
      </c>
      <c r="C12" s="96" t="s">
        <v>1109</v>
      </c>
      <c r="D12" s="96" t="s">
        <v>1107</v>
      </c>
      <c r="E12" s="96" t="s">
        <v>1110</v>
      </c>
      <c r="F12" s="96">
        <v>142</v>
      </c>
      <c r="G12" s="117" t="s">
        <v>750</v>
      </c>
      <c r="H12" s="117"/>
    </row>
    <row r="13" spans="1:8">
      <c r="A13" s="96" t="s">
        <v>70</v>
      </c>
      <c r="B13" s="96">
        <v>19</v>
      </c>
      <c r="C13" s="96" t="s">
        <v>1109</v>
      </c>
      <c r="D13" s="96"/>
      <c r="E13" s="96"/>
      <c r="F13" s="96"/>
      <c r="G13" s="96" t="s">
        <v>758</v>
      </c>
      <c r="H13" s="96"/>
    </row>
    <row r="14" spans="1:8">
      <c r="A14" s="96" t="s">
        <v>70</v>
      </c>
      <c r="B14" s="96">
        <v>19</v>
      </c>
      <c r="C14" s="117" t="s">
        <v>1109</v>
      </c>
      <c r="D14" s="96"/>
      <c r="E14" s="117"/>
      <c r="F14" s="117"/>
      <c r="G14" s="96" t="s">
        <v>1111</v>
      </c>
      <c r="H14" s="117"/>
    </row>
    <row r="15" spans="1:8">
      <c r="A15" s="96" t="s">
        <v>69</v>
      </c>
      <c r="B15" s="96">
        <v>20</v>
      </c>
      <c r="C15" s="96" t="s">
        <v>1112</v>
      </c>
      <c r="D15" s="96" t="s">
        <v>1107</v>
      </c>
      <c r="E15" s="96">
        <v>1904.1874</v>
      </c>
      <c r="F15" s="96">
        <v>22</v>
      </c>
      <c r="G15" s="117" t="s">
        <v>709</v>
      </c>
      <c r="H15" s="117"/>
    </row>
    <row r="16" spans="1:8">
      <c r="A16" s="96" t="s">
        <v>69</v>
      </c>
      <c r="B16" s="96">
        <v>20</v>
      </c>
      <c r="C16" s="96" t="s">
        <v>1112</v>
      </c>
      <c r="D16" s="96"/>
      <c r="E16" s="117"/>
      <c r="F16" s="117"/>
      <c r="G16" s="96" t="s">
        <v>1113</v>
      </c>
      <c r="H16" s="117"/>
    </row>
    <row r="17" spans="1:8">
      <c r="A17" s="96" t="s">
        <v>68</v>
      </c>
      <c r="B17" s="96">
        <v>21</v>
      </c>
      <c r="C17" s="96" t="s">
        <v>1114</v>
      </c>
      <c r="D17" s="96" t="s">
        <v>1107</v>
      </c>
      <c r="E17" s="96"/>
      <c r="F17" s="96"/>
      <c r="G17" s="117" t="s">
        <v>691</v>
      </c>
      <c r="H17" s="117"/>
    </row>
    <row r="18" spans="1:8">
      <c r="A18" s="96" t="s">
        <v>68</v>
      </c>
      <c r="B18" s="96">
        <v>21</v>
      </c>
      <c r="C18" s="96" t="s">
        <v>1114</v>
      </c>
      <c r="D18" s="96"/>
      <c r="E18" s="117"/>
      <c r="F18" s="117"/>
      <c r="G18" s="96" t="s">
        <v>1115</v>
      </c>
      <c r="H18" s="117"/>
    </row>
    <row r="19" spans="1:8">
      <c r="A19" s="96" t="s">
        <v>81</v>
      </c>
      <c r="B19" s="117">
        <v>22</v>
      </c>
      <c r="C19" s="119">
        <v>45954</v>
      </c>
      <c r="D19" s="96" t="s">
        <v>1107</v>
      </c>
      <c r="E19" s="117"/>
      <c r="F19" s="117"/>
      <c r="G19" s="117" t="s">
        <v>664</v>
      </c>
      <c r="H19" s="117" t="s">
        <v>1116</v>
      </c>
    </row>
    <row r="20" spans="1:8">
      <c r="A20" s="96" t="s">
        <v>80</v>
      </c>
      <c r="B20" s="117">
        <v>22</v>
      </c>
      <c r="C20" s="119">
        <v>45957</v>
      </c>
      <c r="D20" s="96" t="s">
        <v>1107</v>
      </c>
      <c r="E20" s="117"/>
      <c r="F20" s="117"/>
      <c r="G20" s="117" t="s">
        <v>629</v>
      </c>
      <c r="H20" s="117" t="s">
        <v>1116</v>
      </c>
    </row>
    <row r="21" spans="1:8">
      <c r="A21" s="96" t="s">
        <v>79</v>
      </c>
      <c r="B21" s="117">
        <v>22</v>
      </c>
      <c r="C21" s="119">
        <v>45964</v>
      </c>
      <c r="D21" s="96" t="s">
        <v>1107</v>
      </c>
      <c r="E21" s="117"/>
      <c r="F21" s="117"/>
      <c r="G21" s="117" t="s">
        <v>468</v>
      </c>
      <c r="H21" s="117" t="s">
        <v>1117</v>
      </c>
    </row>
    <row r="22" spans="1:8" ht="29.25">
      <c r="A22" s="116" t="s">
        <v>78</v>
      </c>
      <c r="B22" s="118">
        <v>23</v>
      </c>
      <c r="C22" s="120">
        <v>45971</v>
      </c>
      <c r="D22" s="116" t="s">
        <v>188</v>
      </c>
      <c r="E22" s="118"/>
      <c r="F22" s="118"/>
      <c r="G22" s="118" t="s">
        <v>31</v>
      </c>
      <c r="H22" s="118" t="s">
        <v>1118</v>
      </c>
    </row>
    <row r="23" spans="1:8">
      <c r="A23" s="96" t="s">
        <v>78</v>
      </c>
      <c r="B23" s="117">
        <v>23</v>
      </c>
      <c r="C23" s="117" t="s">
        <v>1119</v>
      </c>
      <c r="D23" s="96" t="s">
        <v>1107</v>
      </c>
      <c r="E23" s="117"/>
      <c r="F23" s="117"/>
      <c r="G23" s="117" t="s">
        <v>432</v>
      </c>
      <c r="H23" s="117" t="s">
        <v>1120</v>
      </c>
    </row>
    <row r="24" spans="1:8">
      <c r="A24" s="96" t="s">
        <v>77</v>
      </c>
      <c r="B24" s="117">
        <v>23</v>
      </c>
      <c r="C24" s="117" t="s">
        <v>1121</v>
      </c>
      <c r="D24" s="117" t="s">
        <v>1107</v>
      </c>
      <c r="E24" s="117"/>
      <c r="F24" s="117"/>
      <c r="G24" s="117" t="s">
        <v>356</v>
      </c>
      <c r="H24" s="117"/>
    </row>
    <row r="25" spans="1:8">
      <c r="A25" s="116" t="s">
        <v>77</v>
      </c>
      <c r="B25" s="118">
        <v>23</v>
      </c>
      <c r="C25" s="120">
        <v>45986</v>
      </c>
      <c r="D25" s="118" t="s">
        <v>188</v>
      </c>
      <c r="E25" s="118"/>
      <c r="F25" s="118"/>
      <c r="G25" s="118" t="s">
        <v>33</v>
      </c>
      <c r="H25" s="118"/>
    </row>
    <row r="26" spans="1:8">
      <c r="A26" s="96" t="s">
        <v>76</v>
      </c>
      <c r="B26" s="117">
        <v>24</v>
      </c>
      <c r="C26" s="117" t="s">
        <v>1122</v>
      </c>
      <c r="D26" s="117" t="s">
        <v>1107</v>
      </c>
      <c r="E26" s="117"/>
      <c r="F26" s="117"/>
      <c r="G26" s="117" t="s">
        <v>281</v>
      </c>
      <c r="H26" s="117"/>
    </row>
    <row r="27" spans="1:8">
      <c r="A27" s="140" t="s">
        <v>76</v>
      </c>
      <c r="B27" s="141">
        <v>24</v>
      </c>
      <c r="C27" s="142">
        <v>45993</v>
      </c>
      <c r="D27" s="141" t="s">
        <v>188</v>
      </c>
      <c r="E27" s="141"/>
      <c r="F27" s="141"/>
      <c r="G27" s="141" t="s">
        <v>34</v>
      </c>
      <c r="H27" s="141"/>
    </row>
    <row r="28" spans="1:8">
      <c r="A28" s="116" t="s">
        <v>76</v>
      </c>
      <c r="B28" s="118">
        <v>24</v>
      </c>
      <c r="C28" s="120">
        <v>45999</v>
      </c>
      <c r="D28" s="118" t="s">
        <v>188</v>
      </c>
      <c r="E28" s="118"/>
      <c r="F28" s="118"/>
      <c r="G28" s="118" t="s">
        <v>34</v>
      </c>
      <c r="H28" s="118"/>
    </row>
    <row r="29" spans="1:8" ht="29.25">
      <c r="A29" s="116" t="s">
        <v>76</v>
      </c>
      <c r="B29" s="118">
        <v>24</v>
      </c>
      <c r="C29" s="120">
        <v>46001</v>
      </c>
      <c r="D29" s="118" t="s">
        <v>188</v>
      </c>
      <c r="E29" s="118"/>
      <c r="F29" s="118"/>
      <c r="G29" s="118" t="s">
        <v>34</v>
      </c>
      <c r="H29" s="118" t="s">
        <v>1123</v>
      </c>
    </row>
    <row r="30" spans="1:8">
      <c r="A30" s="137" t="s">
        <v>66</v>
      </c>
      <c r="B30" s="138">
        <v>25</v>
      </c>
      <c r="C30" s="139">
        <v>46003</v>
      </c>
      <c r="D30" s="14" t="s">
        <v>1107</v>
      </c>
      <c r="E30" s="137"/>
      <c r="F30" s="137"/>
      <c r="G30" s="137" t="s">
        <v>133</v>
      </c>
      <c r="H30" s="137"/>
    </row>
    <row r="31" spans="1:8">
      <c r="A31" s="137" t="s">
        <v>66</v>
      </c>
      <c r="B31" s="138">
        <v>25</v>
      </c>
      <c r="C31" s="139">
        <v>46003</v>
      </c>
      <c r="D31" s="14" t="s">
        <v>1107</v>
      </c>
      <c r="E31" s="137"/>
      <c r="F31" s="137"/>
      <c r="G31" s="118" t="s">
        <v>35</v>
      </c>
      <c r="H31" s="137"/>
    </row>
    <row r="32" spans="1:8">
      <c r="A32" s="137" t="s">
        <v>1124</v>
      </c>
      <c r="B32" s="138"/>
      <c r="C32" s="139">
        <v>46027</v>
      </c>
      <c r="D32" s="14" t="s">
        <v>1107</v>
      </c>
      <c r="G32" s="137" t="s">
        <v>1125</v>
      </c>
    </row>
  </sheetData>
  <mergeCells count="1">
    <mergeCell ref="G1:H1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C7FF-B274-40B8-9AF9-2F868AB34B95}">
  <dimension ref="A1:B76"/>
  <sheetViews>
    <sheetView topLeftCell="A15" workbookViewId="0">
      <selection activeCell="A18" sqref="A18"/>
    </sheetView>
  </sheetViews>
  <sheetFormatPr defaultColWidth="11.42578125" defaultRowHeight="15"/>
  <cols>
    <col min="1" max="1" width="32.140625" customWidth="1"/>
    <col min="2" max="2" width="9.140625"/>
    <col min="3" max="3" width="12.140625" bestFit="1" customWidth="1"/>
    <col min="4" max="6" width="9.140625"/>
    <col min="7" max="7" width="21.42578125" customWidth="1"/>
    <col min="8" max="8" width="37.42578125" bestFit="1" customWidth="1"/>
    <col min="9" max="9" width="9.140625"/>
  </cols>
  <sheetData>
    <row r="1" spans="1:1">
      <c r="A1" s="8" t="s">
        <v>1126</v>
      </c>
    </row>
    <row r="2" spans="1:1">
      <c r="A2" s="13" t="s">
        <v>690</v>
      </c>
    </row>
    <row r="3" spans="1:1">
      <c r="A3" s="13" t="s">
        <v>243</v>
      </c>
    </row>
    <row r="4" spans="1:1">
      <c r="A4" s="13" t="s">
        <v>506</v>
      </c>
    </row>
    <row r="5" spans="1:1">
      <c r="A5" s="144" t="s">
        <v>481</v>
      </c>
    </row>
    <row r="6" spans="1:1">
      <c r="A6" s="13" t="s">
        <v>442</v>
      </c>
    </row>
    <row r="7" spans="1:1">
      <c r="A7" s="13" t="s">
        <v>598</v>
      </c>
    </row>
    <row r="8" spans="1:1" ht="29.25">
      <c r="A8" s="13" t="s">
        <v>435</v>
      </c>
    </row>
    <row r="9" spans="1:1">
      <c r="A9" s="13" t="s">
        <v>351</v>
      </c>
    </row>
    <row r="10" spans="1:1">
      <c r="A10" s="13" t="s">
        <v>620</v>
      </c>
    </row>
    <row r="11" spans="1:1" ht="29.25">
      <c r="A11" s="13" t="s">
        <v>663</v>
      </c>
    </row>
    <row r="12" spans="1:1" ht="29.25">
      <c r="A12" s="13" t="s">
        <v>376</v>
      </c>
    </row>
    <row r="13" spans="1:1">
      <c r="A13" s="13" t="s">
        <v>1127</v>
      </c>
    </row>
    <row r="14" spans="1:1" ht="29.25">
      <c r="A14" s="13" t="s">
        <v>1128</v>
      </c>
    </row>
    <row r="15" spans="1:1" ht="43.5">
      <c r="A15" s="13" t="s">
        <v>770</v>
      </c>
    </row>
    <row r="16" spans="1:1">
      <c r="A16" s="13" t="s">
        <v>1129</v>
      </c>
    </row>
    <row r="17" spans="1:1" ht="29.25">
      <c r="A17" s="13" t="s">
        <v>1090</v>
      </c>
    </row>
    <row r="18" spans="1:1">
      <c r="A18" s="13" t="s">
        <v>152</v>
      </c>
    </row>
    <row r="19" spans="1:1" ht="29.25">
      <c r="A19" s="13" t="s">
        <v>234</v>
      </c>
    </row>
    <row r="20" spans="1:1" ht="29.25">
      <c r="A20" s="13" t="s">
        <v>317</v>
      </c>
    </row>
    <row r="21" spans="1:1">
      <c r="A21" s="13" t="s">
        <v>237</v>
      </c>
    </row>
    <row r="22" spans="1:1" ht="29.25">
      <c r="A22" s="13" t="s">
        <v>284</v>
      </c>
    </row>
    <row r="23" spans="1:1" ht="29.25">
      <c r="A23" s="13" t="s">
        <v>264</v>
      </c>
    </row>
    <row r="24" spans="1:1" ht="43.5">
      <c r="A24" s="13" t="s">
        <v>148</v>
      </c>
    </row>
    <row r="25" spans="1:1" ht="29.25">
      <c r="A25" s="13" t="s">
        <v>210</v>
      </c>
    </row>
    <row r="26" spans="1:1" ht="29.25">
      <c r="A26" s="13" t="s">
        <v>335</v>
      </c>
    </row>
    <row r="27" spans="1:1" ht="43.5">
      <c r="A27" s="13" t="s">
        <v>366</v>
      </c>
    </row>
    <row r="28" spans="1:1" ht="43.5">
      <c r="A28" s="13" t="s">
        <v>162</v>
      </c>
    </row>
    <row r="29" spans="1:1">
      <c r="A29" s="13" t="s">
        <v>1130</v>
      </c>
    </row>
    <row r="30" spans="1:1" ht="29.25">
      <c r="A30" s="13" t="s">
        <v>1131</v>
      </c>
    </row>
    <row r="31" spans="1:1">
      <c r="A31" s="13"/>
    </row>
    <row r="32" spans="1:1">
      <c r="A32" s="13" t="s">
        <v>442</v>
      </c>
    </row>
    <row r="33" spans="1:2">
      <c r="A33" s="13" t="s">
        <v>598</v>
      </c>
    </row>
    <row r="34" spans="1:2" ht="29.25">
      <c r="A34" s="13" t="s">
        <v>435</v>
      </c>
    </row>
    <row r="35" spans="1:2">
      <c r="A35" s="13" t="s">
        <v>345</v>
      </c>
    </row>
    <row r="36" spans="1:2">
      <c r="A36" s="13" t="s">
        <v>145</v>
      </c>
    </row>
    <row r="37" spans="1:2">
      <c r="A37" s="13" t="s">
        <v>859</v>
      </c>
    </row>
    <row r="38" spans="1:2" ht="29.25">
      <c r="A38" s="13" t="s">
        <v>503</v>
      </c>
    </row>
    <row r="39" spans="1:2">
      <c r="A39" s="13" t="s">
        <v>140</v>
      </c>
    </row>
    <row r="40" spans="1:2">
      <c r="A40" s="13" t="s">
        <v>877</v>
      </c>
    </row>
    <row r="41" spans="1:2" ht="29.25">
      <c r="A41" s="13" t="s">
        <v>187</v>
      </c>
    </row>
    <row r="42" spans="1:2">
      <c r="A42" s="13" t="s">
        <v>638</v>
      </c>
    </row>
    <row r="43" spans="1:2">
      <c r="A43" s="13" t="s">
        <v>207</v>
      </c>
      <c r="B43" s="81"/>
    </row>
    <row r="44" spans="1:2">
      <c r="A44" s="13" t="s">
        <v>535</v>
      </c>
    </row>
    <row r="45" spans="1:2">
      <c r="A45" s="13" t="s">
        <v>225</v>
      </c>
    </row>
    <row r="46" spans="1:2">
      <c r="A46" s="13" t="s">
        <v>854</v>
      </c>
    </row>
    <row r="47" spans="1:2">
      <c r="A47" s="13" t="s">
        <v>1088</v>
      </c>
    </row>
    <row r="48" spans="1:2">
      <c r="A48" s="13" t="s">
        <v>302</v>
      </c>
    </row>
    <row r="49" spans="1:2">
      <c r="A49" s="13"/>
    </row>
    <row r="50" spans="1:2">
      <c r="A50" s="13" t="s">
        <v>158</v>
      </c>
    </row>
    <row r="51" spans="1:2" ht="43.5">
      <c r="A51" s="13" t="s">
        <v>1089</v>
      </c>
    </row>
    <row r="52" spans="1:2">
      <c r="A52" s="13" t="s">
        <v>476</v>
      </c>
    </row>
    <row r="53" spans="1:2" ht="29.25">
      <c r="A53" s="13" t="s">
        <v>576</v>
      </c>
    </row>
    <row r="54" spans="1:2">
      <c r="A54" s="13"/>
    </row>
    <row r="55" spans="1:2">
      <c r="A55" s="79" t="s">
        <v>292</v>
      </c>
    </row>
    <row r="56" spans="1:2" ht="30.75">
      <c r="A56" s="79" t="s">
        <v>260</v>
      </c>
    </row>
    <row r="57" spans="1:2" ht="43.5">
      <c r="A57" s="80" t="s">
        <v>1132</v>
      </c>
    </row>
    <row r="58" spans="1:2" ht="43.5">
      <c r="A58" s="80" t="s">
        <v>467</v>
      </c>
    </row>
    <row r="59" spans="1:2">
      <c r="A59" s="13" t="s">
        <v>173</v>
      </c>
    </row>
    <row r="60" spans="1:2">
      <c r="A60" s="13" t="s">
        <v>168</v>
      </c>
      <c r="B60" s="81"/>
    </row>
    <row r="61" spans="1:2" ht="29.25">
      <c r="A61" s="13" t="s">
        <v>1131</v>
      </c>
    </row>
    <row r="62" spans="1:2">
      <c r="A62" s="13" t="s">
        <v>1130</v>
      </c>
    </row>
    <row r="63" spans="1:2" ht="43.5">
      <c r="A63" s="13" t="s">
        <v>1133</v>
      </c>
    </row>
    <row r="64" spans="1:2">
      <c r="A64" s="13" t="s">
        <v>297</v>
      </c>
    </row>
    <row r="65" spans="1:1">
      <c r="A65" s="13" t="s">
        <v>332</v>
      </c>
    </row>
    <row r="66" spans="1:1" ht="29.25">
      <c r="A66" s="13" t="s">
        <v>1134</v>
      </c>
    </row>
    <row r="67" spans="1:1" ht="29.25">
      <c r="A67" s="13" t="s">
        <v>1135</v>
      </c>
    </row>
    <row r="68" spans="1:1">
      <c r="A68" s="13" t="s">
        <v>181</v>
      </c>
    </row>
    <row r="69" spans="1:1">
      <c r="A69" s="13" t="s">
        <v>1136</v>
      </c>
    </row>
    <row r="70" spans="1:1">
      <c r="A70" s="13" t="s">
        <v>276</v>
      </c>
    </row>
    <row r="71" spans="1:1">
      <c r="A71" s="13" t="s">
        <v>1137</v>
      </c>
    </row>
    <row r="72" spans="1:1">
      <c r="A72" s="13" t="s">
        <v>1138</v>
      </c>
    </row>
    <row r="73" spans="1:1">
      <c r="A73" s="13" t="s">
        <v>1139</v>
      </c>
    </row>
    <row r="74" spans="1:1">
      <c r="A74" s="13" t="s">
        <v>1140</v>
      </c>
    </row>
    <row r="75" spans="1:1">
      <c r="A75" s="143" t="s">
        <v>131</v>
      </c>
    </row>
    <row r="76" spans="1:1">
      <c r="A76" s="145"/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0F84-EC9F-4E04-BEB6-E11F8A0D1785}">
  <dimension ref="A1:A68"/>
  <sheetViews>
    <sheetView workbookViewId="0">
      <selection activeCell="A8" sqref="A8"/>
    </sheetView>
  </sheetViews>
  <sheetFormatPr defaultColWidth="11.42578125" defaultRowHeight="15"/>
  <cols>
    <col min="1" max="1" width="32.140625" customWidth="1"/>
    <col min="3" max="3" width="12.140625" bestFit="1" customWidth="1"/>
    <col min="7" max="7" width="21.42578125" customWidth="1"/>
    <col min="8" max="8" width="37.42578125" bestFit="1" customWidth="1"/>
  </cols>
  <sheetData>
    <row r="1" spans="1:1">
      <c r="A1" s="54" t="s">
        <v>1141</v>
      </c>
    </row>
    <row r="2" spans="1:1">
      <c r="A2" s="82" t="s">
        <v>139</v>
      </c>
    </row>
    <row r="3" spans="1:1">
      <c r="A3" s="82" t="s">
        <v>229</v>
      </c>
    </row>
    <row r="4" spans="1:1">
      <c r="A4" s="82" t="s">
        <v>132</v>
      </c>
    </row>
    <row r="5" spans="1:1">
      <c r="A5" s="82" t="s">
        <v>961</v>
      </c>
    </row>
    <row r="6" spans="1:1">
      <c r="A6" s="82" t="s">
        <v>490</v>
      </c>
    </row>
    <row r="7" spans="1:1">
      <c r="A7" s="82" t="s">
        <v>1142</v>
      </c>
    </row>
    <row r="8" spans="1:1">
      <c r="A8" s="82" t="s">
        <v>287</v>
      </c>
    </row>
    <row r="9" spans="1:1">
      <c r="A9" s="82" t="s">
        <v>549</v>
      </c>
    </row>
    <row r="10" spans="1:1">
      <c r="A10" s="83"/>
    </row>
    <row r="11" spans="1:1">
      <c r="A11" s="13"/>
    </row>
    <row r="12" spans="1:1">
      <c r="A12" s="13"/>
    </row>
    <row r="13" spans="1:1">
      <c r="A13" s="13"/>
    </row>
    <row r="14" spans="1:1">
      <c r="A14" s="13"/>
    </row>
    <row r="15" spans="1:1">
      <c r="A15" s="13"/>
    </row>
    <row r="16" spans="1:1">
      <c r="A16" s="13"/>
    </row>
    <row r="17" spans="1:1">
      <c r="A17" s="13"/>
    </row>
    <row r="18" spans="1:1">
      <c r="A18" s="13"/>
    </row>
    <row r="19" spans="1:1">
      <c r="A19" s="13"/>
    </row>
    <row r="20" spans="1:1">
      <c r="A20" s="13"/>
    </row>
    <row r="21" spans="1:1">
      <c r="A21" s="13"/>
    </row>
    <row r="22" spans="1:1">
      <c r="A22" s="13"/>
    </row>
    <row r="23" spans="1:1">
      <c r="A23" s="13"/>
    </row>
    <row r="24" spans="1:1">
      <c r="A24" s="13"/>
    </row>
    <row r="25" spans="1:1">
      <c r="A25" s="13"/>
    </row>
    <row r="26" spans="1:1">
      <c r="A26" s="13"/>
    </row>
    <row r="27" spans="1:1">
      <c r="A27" s="13"/>
    </row>
    <row r="28" spans="1:1">
      <c r="A28" s="13"/>
    </row>
    <row r="29" spans="1:1">
      <c r="A29" s="13"/>
    </row>
    <row r="30" spans="1:1">
      <c r="A30" s="13"/>
    </row>
    <row r="31" spans="1:1">
      <c r="A31" s="13"/>
    </row>
    <row r="32" spans="1:1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  <row r="37" spans="1:1">
      <c r="A37" s="13"/>
    </row>
    <row r="38" spans="1:1">
      <c r="A38" s="13"/>
    </row>
    <row r="39" spans="1:1">
      <c r="A39" s="13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6" spans="1:1">
      <c r="A46" s="13"/>
    </row>
    <row r="47" spans="1:1">
      <c r="A47" s="13"/>
    </row>
    <row r="48" spans="1:1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79"/>
    </row>
    <row r="57" spans="1:1">
      <c r="A57" s="79"/>
    </row>
    <row r="58" spans="1:1">
      <c r="A58" s="80"/>
    </row>
    <row r="59" spans="1:1">
      <c r="A59" s="80"/>
    </row>
    <row r="60" spans="1:1">
      <c r="A60" s="13"/>
    </row>
    <row r="61" spans="1:1">
      <c r="A61" s="13"/>
    </row>
    <row r="62" spans="1:1">
      <c r="A62" s="13"/>
    </row>
    <row r="63" spans="1:1">
      <c r="A63" s="13"/>
    </row>
    <row r="64" spans="1:1">
      <c r="A64" s="13"/>
    </row>
    <row r="65" spans="1:1">
      <c r="A65" s="13"/>
    </row>
    <row r="66" spans="1:1">
      <c r="A66" s="13"/>
    </row>
    <row r="67" spans="1:1">
      <c r="A67" s="13"/>
    </row>
    <row r="68" spans="1:1">
      <c r="A68" s="13"/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7B28-E053-43E7-9902-46796D9BACDD}">
  <dimension ref="A1:BK41"/>
  <sheetViews>
    <sheetView topLeftCell="AA1" workbookViewId="0">
      <selection activeCell="AE5" sqref="AE5"/>
    </sheetView>
  </sheetViews>
  <sheetFormatPr defaultColWidth="11.42578125" defaultRowHeight="15"/>
  <cols>
    <col min="1" max="1" width="13.5703125" bestFit="1" customWidth="1"/>
    <col min="2" max="2" width="14.28515625" bestFit="1" customWidth="1"/>
    <col min="3" max="3" width="16" bestFit="1" customWidth="1"/>
    <col min="4" max="4" width="12.5703125" bestFit="1" customWidth="1"/>
    <col min="5" max="5" width="6.140625" bestFit="1" customWidth="1"/>
    <col min="6" max="6" width="19.42578125" bestFit="1" customWidth="1"/>
    <col min="7" max="7" width="15.140625" bestFit="1" customWidth="1"/>
    <col min="8" max="8" width="8.28515625" bestFit="1" customWidth="1"/>
    <col min="9" max="9" width="8.7109375" bestFit="1" customWidth="1"/>
    <col min="10" max="10" width="19.85546875" bestFit="1" customWidth="1"/>
    <col min="11" max="13" width="12.5703125" customWidth="1"/>
    <col min="14" max="14" width="15.7109375" customWidth="1"/>
    <col min="15" max="15" width="13.140625" bestFit="1" customWidth="1"/>
    <col min="16" max="16" width="31.7109375" bestFit="1" customWidth="1"/>
    <col min="17" max="17" width="12.85546875" customWidth="1"/>
    <col min="18" max="18" width="10.42578125" bestFit="1" customWidth="1"/>
    <col min="19" max="19" width="12.5703125" bestFit="1" customWidth="1"/>
    <col min="20" max="20" width="8.7109375" bestFit="1" customWidth="1"/>
    <col min="21" max="21" width="6.140625" bestFit="1" customWidth="1"/>
    <col min="22" max="22" width="19.42578125" bestFit="1" customWidth="1"/>
    <col min="23" max="23" width="16" bestFit="1" customWidth="1"/>
    <col min="24" max="24" width="19.85546875" customWidth="1"/>
    <col min="25" max="30" width="12.5703125" customWidth="1"/>
    <col min="31" max="31" width="24.5703125" bestFit="1" customWidth="1"/>
    <col min="32" max="32" width="16" bestFit="1" customWidth="1"/>
    <col min="33" max="33" width="12.5703125" bestFit="1" customWidth="1"/>
    <col min="34" max="34" width="6.140625" bestFit="1" customWidth="1"/>
    <col min="35" max="35" width="19.42578125" bestFit="1" customWidth="1"/>
    <col min="36" max="36" width="8.28515625" bestFit="1" customWidth="1"/>
    <col min="37" max="37" width="8.7109375" bestFit="1" customWidth="1"/>
    <col min="38" max="38" width="19.85546875" bestFit="1" customWidth="1"/>
    <col min="39" max="47" width="12.5703125" customWidth="1"/>
    <col min="48" max="48" width="12.5703125" bestFit="1" customWidth="1"/>
    <col min="49" max="50" width="12.5703125" customWidth="1"/>
    <col min="51" max="51" width="19.5703125" bestFit="1" customWidth="1"/>
    <col min="52" max="52" width="10.85546875" bestFit="1" customWidth="1"/>
    <col min="53" max="53" width="4.7109375" bestFit="1" customWidth="1"/>
    <col min="54" max="54" width="6.5703125" bestFit="1" customWidth="1"/>
    <col min="55" max="55" width="5" bestFit="1" customWidth="1"/>
    <col min="56" max="57" width="5.5703125" bestFit="1" customWidth="1"/>
    <col min="58" max="58" width="17.85546875" bestFit="1" customWidth="1"/>
    <col min="59" max="59" width="8" bestFit="1" customWidth="1"/>
    <col min="60" max="60" width="11" bestFit="1" customWidth="1"/>
    <col min="61" max="61" width="21.42578125" bestFit="1" customWidth="1"/>
    <col min="62" max="62" width="24.5703125" bestFit="1" customWidth="1"/>
    <col min="63" max="63" width="12.5703125" bestFit="1" customWidth="1"/>
  </cols>
  <sheetData>
    <row r="1" spans="1:63" s="11" customFormat="1" ht="21">
      <c r="A1" s="11" t="s">
        <v>1143</v>
      </c>
      <c r="J1" s="23"/>
      <c r="K1" s="23"/>
      <c r="L1" s="23"/>
      <c r="M1" s="23"/>
      <c r="N1" s="23"/>
      <c r="O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63" s="23" customFormat="1" ht="30.75" customHeight="1"/>
    <row r="3" spans="1:63" s="24" customFormat="1" ht="72" customHeight="1">
      <c r="A3" s="213" t="s">
        <v>1144</v>
      </c>
      <c r="B3" s="214"/>
      <c r="C3" s="214"/>
      <c r="D3" s="214"/>
      <c r="E3" s="214"/>
      <c r="F3" s="214"/>
      <c r="G3" s="214"/>
      <c r="H3" s="214"/>
      <c r="I3" s="214"/>
      <c r="J3" s="23"/>
      <c r="K3" s="23"/>
      <c r="L3" s="23"/>
      <c r="M3" s="23"/>
      <c r="N3" s="23"/>
      <c r="O3" s="23"/>
      <c r="P3" s="212" t="s">
        <v>1145</v>
      </c>
      <c r="Q3" s="212"/>
      <c r="R3" s="212"/>
      <c r="S3" s="212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15" t="s">
        <v>1146</v>
      </c>
      <c r="AF3" s="215"/>
      <c r="AG3" s="215"/>
      <c r="AH3" s="215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</row>
    <row r="4" spans="1:6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63" s="23" customFormat="1" ht="21">
      <c r="A5" s="44" t="s">
        <v>1070</v>
      </c>
      <c r="B5" s="44" t="s">
        <v>1071</v>
      </c>
      <c r="C5" s="44"/>
      <c r="D5" s="44"/>
      <c r="E5" s="44"/>
      <c r="F5" s="44"/>
      <c r="G5" s="44"/>
      <c r="H5" s="44"/>
      <c r="I5" s="44"/>
      <c r="J5" s="44"/>
      <c r="K5" s="44"/>
      <c r="L5"/>
      <c r="M5"/>
      <c r="N5"/>
      <c r="O5"/>
      <c r="P5" s="55" t="s">
        <v>54</v>
      </c>
      <c r="Q5"/>
      <c r="R5" s="55" t="s">
        <v>18</v>
      </c>
      <c r="S5"/>
      <c r="T5"/>
      <c r="U5"/>
      <c r="V5"/>
      <c r="W5"/>
      <c r="X5"/>
      <c r="Y5"/>
      <c r="Z5"/>
      <c r="AA5"/>
      <c r="AB5"/>
      <c r="AC5"/>
      <c r="AD5"/>
      <c r="AE5" s="25" t="s">
        <v>1147</v>
      </c>
      <c r="AF5" s="25" t="s">
        <v>1097</v>
      </c>
      <c r="AG5" s="25"/>
      <c r="AH5" s="25"/>
      <c r="AI5" s="25"/>
      <c r="AJ5" s="25"/>
      <c r="AK5" s="25"/>
      <c r="AL5" s="25"/>
      <c r="AM5" s="25"/>
      <c r="AN5"/>
      <c r="AO5" s="147"/>
      <c r="AP5" s="147"/>
      <c r="AQ5" s="147"/>
      <c r="AR5" s="147"/>
      <c r="AS5" s="147"/>
      <c r="AT5" s="147"/>
      <c r="AU5" s="147"/>
      <c r="AV5"/>
      <c r="AW5"/>
      <c r="AX5"/>
      <c r="AY5" s="25" t="s">
        <v>1148</v>
      </c>
      <c r="AZ5" s="25" t="s">
        <v>1097</v>
      </c>
      <c r="BA5" s="25"/>
      <c r="BB5" s="25"/>
      <c r="BC5" s="25"/>
      <c r="BD5" s="25"/>
      <c r="BE5"/>
      <c r="BF5"/>
      <c r="BG5"/>
      <c r="BH5"/>
      <c r="BI5"/>
      <c r="BJ5"/>
      <c r="BK5"/>
    </row>
    <row r="6" spans="1:63" s="23" customFormat="1" ht="21">
      <c r="A6" s="45" t="s">
        <v>1073</v>
      </c>
      <c r="B6" s="45" t="s">
        <v>24</v>
      </c>
      <c r="C6" s="45" t="s">
        <v>27</v>
      </c>
      <c r="D6" s="45" t="s">
        <v>246</v>
      </c>
      <c r="E6" s="45" t="s">
        <v>242</v>
      </c>
      <c r="F6" s="45" t="s">
        <v>25</v>
      </c>
      <c r="G6" s="45" t="s">
        <v>26</v>
      </c>
      <c r="H6" s="45" t="s">
        <v>23</v>
      </c>
      <c r="I6" s="45" t="s">
        <v>51</v>
      </c>
      <c r="J6" s="45" t="s">
        <v>28</v>
      </c>
      <c r="K6" s="45" t="s">
        <v>29</v>
      </c>
      <c r="L6"/>
      <c r="M6"/>
      <c r="N6"/>
      <c r="O6"/>
      <c r="P6" s="55" t="s">
        <v>122</v>
      </c>
      <c r="Q6" s="55" t="s">
        <v>124</v>
      </c>
      <c r="R6" t="s">
        <v>23</v>
      </c>
      <c r="S6" t="s">
        <v>246</v>
      </c>
      <c r="T6" t="s">
        <v>51</v>
      </c>
      <c r="U6" t="s">
        <v>242</v>
      </c>
      <c r="V6" t="s">
        <v>25</v>
      </c>
      <c r="W6" t="s">
        <v>27</v>
      </c>
      <c r="X6" t="s">
        <v>28</v>
      </c>
      <c r="Y6" s="57" t="s">
        <v>29</v>
      </c>
      <c r="Z6"/>
      <c r="AA6"/>
      <c r="AB6"/>
      <c r="AC6"/>
      <c r="AD6"/>
      <c r="AE6" s="7" t="s">
        <v>1058</v>
      </c>
      <c r="AF6" s="7" t="s">
        <v>27</v>
      </c>
      <c r="AG6" s="7" t="s">
        <v>246</v>
      </c>
      <c r="AH6" s="7" t="s">
        <v>242</v>
      </c>
      <c r="AI6" s="7" t="s">
        <v>25</v>
      </c>
      <c r="AJ6" s="7" t="s">
        <v>23</v>
      </c>
      <c r="AK6" s="7" t="s">
        <v>51</v>
      </c>
      <c r="AL6" s="7" t="s">
        <v>28</v>
      </c>
      <c r="AM6" s="7" t="s">
        <v>29</v>
      </c>
      <c r="AN6"/>
      <c r="AO6" s="57"/>
      <c r="AP6" s="57"/>
      <c r="AQ6" s="57"/>
      <c r="AR6" s="57"/>
      <c r="AS6" s="57"/>
      <c r="AT6" s="57"/>
      <c r="AU6" s="57"/>
      <c r="AV6"/>
      <c r="AW6"/>
      <c r="AX6"/>
      <c r="AY6" s="25" t="s">
        <v>1058</v>
      </c>
      <c r="AZ6" s="28" t="s">
        <v>41</v>
      </c>
      <c r="BA6" s="29" t="s">
        <v>36</v>
      </c>
      <c r="BB6" s="184" t="s">
        <v>37</v>
      </c>
      <c r="BC6" s="30" t="s">
        <v>40</v>
      </c>
      <c r="BD6" s="183" t="s">
        <v>1059</v>
      </c>
      <c r="BE6"/>
      <c r="BF6"/>
      <c r="BG6"/>
      <c r="BH6"/>
      <c r="BI6"/>
      <c r="BJ6"/>
      <c r="BK6"/>
    </row>
    <row r="7" spans="1:63" s="23" customFormat="1" ht="21">
      <c r="A7" s="41">
        <v>24</v>
      </c>
      <c r="B7" s="41">
        <v>5</v>
      </c>
      <c r="C7" s="41">
        <v>11</v>
      </c>
      <c r="D7" s="41">
        <v>1</v>
      </c>
      <c r="E7" s="41">
        <v>0</v>
      </c>
      <c r="F7" s="41">
        <v>0</v>
      </c>
      <c r="G7" s="41">
        <v>15</v>
      </c>
      <c r="H7" s="41">
        <v>3</v>
      </c>
      <c r="I7" s="41">
        <v>1</v>
      </c>
      <c r="J7" s="41">
        <v>2</v>
      </c>
      <c r="K7" s="41">
        <v>38</v>
      </c>
      <c r="L7"/>
      <c r="M7"/>
      <c r="N7"/>
      <c r="O7"/>
      <c r="P7" t="s">
        <v>1149</v>
      </c>
      <c r="Q7"/>
      <c r="R7">
        <v>2</v>
      </c>
      <c r="S7">
        <v>3</v>
      </c>
      <c r="T7"/>
      <c r="U7"/>
      <c r="V7"/>
      <c r="W7">
        <v>88</v>
      </c>
      <c r="X7"/>
      <c r="Y7">
        <v>93</v>
      </c>
      <c r="Z7"/>
      <c r="AA7"/>
      <c r="AB7"/>
      <c r="AC7"/>
      <c r="AD7"/>
      <c r="AE7" s="6">
        <v>24</v>
      </c>
      <c r="AF7" s="41">
        <v>11</v>
      </c>
      <c r="AG7" s="41">
        <v>1</v>
      </c>
      <c r="AH7" s="41"/>
      <c r="AI7" s="41"/>
      <c r="AJ7" s="41">
        <v>3</v>
      </c>
      <c r="AK7" s="41">
        <v>1</v>
      </c>
      <c r="AL7" s="41">
        <v>2</v>
      </c>
      <c r="AM7" s="41">
        <v>18</v>
      </c>
      <c r="AN7"/>
      <c r="AO7" s="58"/>
      <c r="AP7" s="58"/>
      <c r="AQ7" s="58"/>
      <c r="AR7" s="58"/>
      <c r="AS7" s="58"/>
      <c r="AT7" s="58"/>
      <c r="AU7" s="58"/>
      <c r="AV7"/>
      <c r="AW7"/>
      <c r="AX7"/>
      <c r="AY7" s="6" t="s">
        <v>27</v>
      </c>
      <c r="AZ7" s="28">
        <v>5</v>
      </c>
      <c r="BA7" s="29">
        <v>47</v>
      </c>
      <c r="BB7" s="184">
        <v>56</v>
      </c>
      <c r="BC7" s="30">
        <v>8</v>
      </c>
      <c r="BD7" s="183">
        <v>116</v>
      </c>
      <c r="BE7"/>
      <c r="BF7"/>
      <c r="BG7"/>
      <c r="BH7"/>
      <c r="BI7"/>
      <c r="BJ7"/>
      <c r="BK7"/>
    </row>
    <row r="8" spans="1:63" s="23" customFormat="1" ht="21">
      <c r="A8" s="41">
        <v>23</v>
      </c>
      <c r="B8" s="41">
        <v>16</v>
      </c>
      <c r="C8" s="41">
        <v>29</v>
      </c>
      <c r="D8" s="41">
        <v>0</v>
      </c>
      <c r="E8" s="41">
        <v>1</v>
      </c>
      <c r="F8" s="41">
        <v>1</v>
      </c>
      <c r="G8" s="41">
        <v>24</v>
      </c>
      <c r="H8" s="41">
        <v>3</v>
      </c>
      <c r="I8" s="41">
        <v>0</v>
      </c>
      <c r="J8" s="41">
        <v>1</v>
      </c>
      <c r="K8" s="41">
        <v>75</v>
      </c>
      <c r="L8"/>
      <c r="M8"/>
      <c r="N8"/>
      <c r="O8"/>
      <c r="P8" t="s">
        <v>74</v>
      </c>
      <c r="Q8"/>
      <c r="R8"/>
      <c r="S8"/>
      <c r="T8"/>
      <c r="U8"/>
      <c r="V8"/>
      <c r="W8">
        <v>1</v>
      </c>
      <c r="X8"/>
      <c r="Y8">
        <v>1</v>
      </c>
      <c r="Z8"/>
      <c r="AA8"/>
      <c r="AB8"/>
      <c r="AC8"/>
      <c r="AD8"/>
      <c r="AE8" s="56" t="s">
        <v>36</v>
      </c>
      <c r="AF8" s="41">
        <v>6</v>
      </c>
      <c r="AG8" s="41"/>
      <c r="AH8" s="41"/>
      <c r="AI8" s="41"/>
      <c r="AJ8" s="41"/>
      <c r="AK8" s="41">
        <v>1</v>
      </c>
      <c r="AL8" s="41">
        <v>1</v>
      </c>
      <c r="AM8" s="41">
        <v>8</v>
      </c>
      <c r="AN8"/>
      <c r="AO8" s="58"/>
      <c r="AP8" s="58"/>
      <c r="AQ8" s="58"/>
      <c r="AR8" s="58"/>
      <c r="AS8" s="58"/>
      <c r="AT8" s="58"/>
      <c r="AU8" s="58"/>
      <c r="AV8"/>
      <c r="AW8"/>
      <c r="AX8"/>
      <c r="AY8" s="6" t="s">
        <v>246</v>
      </c>
      <c r="AZ8" s="28"/>
      <c r="BA8" s="29"/>
      <c r="BB8" s="184">
        <v>7</v>
      </c>
      <c r="BC8" s="30"/>
      <c r="BD8" s="183">
        <v>7</v>
      </c>
      <c r="BE8"/>
      <c r="BF8"/>
      <c r="BG8"/>
      <c r="BH8"/>
      <c r="BI8"/>
      <c r="BJ8"/>
      <c r="BK8"/>
    </row>
    <row r="9" spans="1:63" s="23" customFormat="1" ht="21">
      <c r="A9" s="41">
        <v>22</v>
      </c>
      <c r="B9" s="41">
        <v>11</v>
      </c>
      <c r="C9" s="41">
        <v>30</v>
      </c>
      <c r="D9" s="41">
        <v>0</v>
      </c>
      <c r="E9" s="41">
        <v>0</v>
      </c>
      <c r="F9" s="41">
        <v>0</v>
      </c>
      <c r="G9" s="41">
        <v>23</v>
      </c>
      <c r="H9" s="41">
        <v>1</v>
      </c>
      <c r="I9" s="41">
        <v>0</v>
      </c>
      <c r="J9" s="41">
        <v>1</v>
      </c>
      <c r="K9" s="41">
        <v>66</v>
      </c>
      <c r="L9"/>
      <c r="M9"/>
      <c r="N9"/>
      <c r="O9"/>
      <c r="P9" t="s">
        <v>72</v>
      </c>
      <c r="Q9"/>
      <c r="R9"/>
      <c r="S9"/>
      <c r="T9"/>
      <c r="U9"/>
      <c r="V9"/>
      <c r="W9">
        <v>1</v>
      </c>
      <c r="X9"/>
      <c r="Y9">
        <v>1</v>
      </c>
      <c r="Z9"/>
      <c r="AA9"/>
      <c r="AB9"/>
      <c r="AC9"/>
      <c r="AD9"/>
      <c r="AE9" s="56" t="s">
        <v>40</v>
      </c>
      <c r="AF9" s="41">
        <v>1</v>
      </c>
      <c r="AG9" s="41"/>
      <c r="AH9" s="41"/>
      <c r="AI9" s="41"/>
      <c r="AJ9" s="41"/>
      <c r="AK9" s="41"/>
      <c r="AL9" s="41"/>
      <c r="AM9" s="41">
        <v>1</v>
      </c>
      <c r="AN9"/>
      <c r="AO9" s="58"/>
      <c r="AP9" s="58"/>
      <c r="AQ9" s="58"/>
      <c r="AR9" s="58"/>
      <c r="AS9" s="58"/>
      <c r="AT9" s="58"/>
      <c r="AU9" s="58"/>
      <c r="AV9"/>
      <c r="AW9"/>
      <c r="AX9"/>
      <c r="AY9" s="6" t="s">
        <v>242</v>
      </c>
      <c r="AZ9" s="28"/>
      <c r="BA9" s="29">
        <v>1</v>
      </c>
      <c r="BB9" s="184">
        <v>2</v>
      </c>
      <c r="BC9" s="30"/>
      <c r="BD9" s="183">
        <v>3</v>
      </c>
      <c r="BE9"/>
      <c r="BF9"/>
      <c r="BG9"/>
      <c r="BH9"/>
      <c r="BI9"/>
      <c r="BJ9"/>
      <c r="BK9"/>
    </row>
    <row r="10" spans="1:63" s="23" customFormat="1" ht="21">
      <c r="A10" s="41">
        <v>21</v>
      </c>
      <c r="B10" s="41">
        <v>0</v>
      </c>
      <c r="C10" s="41">
        <v>2</v>
      </c>
      <c r="D10" s="41">
        <v>0</v>
      </c>
      <c r="E10" s="41">
        <v>0</v>
      </c>
      <c r="F10" s="41">
        <v>0</v>
      </c>
      <c r="G10" s="41">
        <v>5</v>
      </c>
      <c r="H10" s="41">
        <v>0</v>
      </c>
      <c r="I10" s="41">
        <v>0</v>
      </c>
      <c r="J10" s="41">
        <v>0</v>
      </c>
      <c r="K10" s="41">
        <v>7</v>
      </c>
      <c r="L10"/>
      <c r="M10"/>
      <c r="N10"/>
      <c r="O10"/>
      <c r="P10" t="s">
        <v>70</v>
      </c>
      <c r="Q10"/>
      <c r="R10"/>
      <c r="S10"/>
      <c r="T10"/>
      <c r="U10">
        <v>1</v>
      </c>
      <c r="V10"/>
      <c r="W10">
        <v>2</v>
      </c>
      <c r="X10"/>
      <c r="Y10">
        <v>3</v>
      </c>
      <c r="Z10"/>
      <c r="AA10"/>
      <c r="AB10"/>
      <c r="AC10"/>
      <c r="AD10"/>
      <c r="AE10" s="56" t="s">
        <v>41</v>
      </c>
      <c r="AF10" s="41">
        <v>1</v>
      </c>
      <c r="AG10" s="41"/>
      <c r="AH10" s="41"/>
      <c r="AI10" s="41"/>
      <c r="AJ10" s="41"/>
      <c r="AK10" s="41"/>
      <c r="AL10" s="41"/>
      <c r="AM10" s="41">
        <v>1</v>
      </c>
      <c r="AN10"/>
      <c r="AO10" s="58"/>
      <c r="AP10" s="58"/>
      <c r="AQ10" s="58"/>
      <c r="AR10" s="58"/>
      <c r="AS10" s="58"/>
      <c r="AT10" s="58"/>
      <c r="AU10" s="58"/>
      <c r="AV10"/>
      <c r="AW10"/>
      <c r="AX10"/>
      <c r="AY10" s="6" t="s">
        <v>25</v>
      </c>
      <c r="AZ10" s="28"/>
      <c r="BA10" s="29">
        <v>1</v>
      </c>
      <c r="BB10" s="184"/>
      <c r="BC10" s="30"/>
      <c r="BD10" s="183">
        <v>1</v>
      </c>
      <c r="BE10"/>
      <c r="BF10"/>
      <c r="BG10"/>
      <c r="BH10"/>
      <c r="BI10"/>
      <c r="BJ10"/>
      <c r="BK10"/>
    </row>
    <row r="11" spans="1:63" s="23" customFormat="1" ht="21">
      <c r="A11" s="41">
        <v>20</v>
      </c>
      <c r="B11" s="41">
        <v>5</v>
      </c>
      <c r="C11" s="41">
        <v>4</v>
      </c>
      <c r="D11" s="41">
        <v>0</v>
      </c>
      <c r="E11" s="41">
        <v>0</v>
      </c>
      <c r="F11" s="41">
        <v>0</v>
      </c>
      <c r="G11" s="41">
        <v>5</v>
      </c>
      <c r="H11" s="41">
        <v>0</v>
      </c>
      <c r="I11" s="41">
        <v>1</v>
      </c>
      <c r="J11" s="41">
        <v>0</v>
      </c>
      <c r="K11" s="41">
        <v>15</v>
      </c>
      <c r="L11"/>
      <c r="M11"/>
      <c r="N11"/>
      <c r="O11"/>
      <c r="P11" t="s">
        <v>69</v>
      </c>
      <c r="Q11"/>
      <c r="R11"/>
      <c r="S11"/>
      <c r="T11"/>
      <c r="U11"/>
      <c r="V11"/>
      <c r="W11">
        <v>1</v>
      </c>
      <c r="X11"/>
      <c r="Y11">
        <v>1</v>
      </c>
      <c r="Z11"/>
      <c r="AA11"/>
      <c r="AB11"/>
      <c r="AC11"/>
      <c r="AD11"/>
      <c r="AE11" s="56" t="s">
        <v>37</v>
      </c>
      <c r="AF11" s="41">
        <v>3</v>
      </c>
      <c r="AG11" s="41">
        <v>1</v>
      </c>
      <c r="AH11" s="41"/>
      <c r="AI11" s="41"/>
      <c r="AJ11" s="41">
        <v>3</v>
      </c>
      <c r="AK11" s="41"/>
      <c r="AL11" s="41">
        <v>1</v>
      </c>
      <c r="AM11" s="41">
        <v>8</v>
      </c>
      <c r="AN11"/>
      <c r="AO11" s="58"/>
      <c r="AP11" s="58"/>
      <c r="AQ11" s="58"/>
      <c r="AR11" s="58"/>
      <c r="AS11" s="58"/>
      <c r="AT11" s="58"/>
      <c r="AU11" s="58"/>
      <c r="AV11"/>
      <c r="AW11"/>
      <c r="AX11"/>
      <c r="AY11" s="6" t="s">
        <v>23</v>
      </c>
      <c r="AZ11" s="28"/>
      <c r="BA11" s="29">
        <v>3</v>
      </c>
      <c r="BB11" s="184">
        <v>5</v>
      </c>
      <c r="BC11" s="30"/>
      <c r="BD11" s="183">
        <v>8</v>
      </c>
      <c r="BE11"/>
      <c r="BF11"/>
      <c r="BG11"/>
      <c r="BH11"/>
      <c r="BI11"/>
      <c r="BJ11"/>
      <c r="BK11"/>
    </row>
    <row r="12" spans="1:63" s="23" customFormat="1" ht="21">
      <c r="A12" s="41">
        <v>19</v>
      </c>
      <c r="B12" s="41">
        <v>2</v>
      </c>
      <c r="C12" s="41">
        <v>4</v>
      </c>
      <c r="D12" s="41">
        <v>0</v>
      </c>
      <c r="E12" s="41">
        <v>0</v>
      </c>
      <c r="F12" s="41">
        <v>0</v>
      </c>
      <c r="G12" s="41">
        <v>15</v>
      </c>
      <c r="H12" s="41">
        <v>0</v>
      </c>
      <c r="I12" s="41">
        <v>0</v>
      </c>
      <c r="J12" s="41">
        <v>0</v>
      </c>
      <c r="K12" s="41">
        <v>21</v>
      </c>
      <c r="L12"/>
      <c r="M12"/>
      <c r="N12"/>
      <c r="O12"/>
      <c r="P12" t="s">
        <v>78</v>
      </c>
      <c r="Q12"/>
      <c r="R12"/>
      <c r="S12"/>
      <c r="T12"/>
      <c r="U12"/>
      <c r="V12"/>
      <c r="W12">
        <v>1</v>
      </c>
      <c r="X12"/>
      <c r="Y12">
        <v>1</v>
      </c>
      <c r="Z12"/>
      <c r="AA12"/>
      <c r="AB12"/>
      <c r="AC12"/>
      <c r="AD12"/>
      <c r="AE12" s="6">
        <v>23</v>
      </c>
      <c r="AF12" s="41">
        <v>29</v>
      </c>
      <c r="AG12" s="41"/>
      <c r="AH12" s="41">
        <v>1</v>
      </c>
      <c r="AI12" s="41">
        <v>1</v>
      </c>
      <c r="AJ12" s="41">
        <v>3</v>
      </c>
      <c r="AK12" s="41"/>
      <c r="AL12" s="41">
        <v>1</v>
      </c>
      <c r="AM12" s="41">
        <v>35</v>
      </c>
      <c r="AN12"/>
      <c r="AO12" s="58"/>
      <c r="AP12" s="58"/>
      <c r="AQ12" s="58"/>
      <c r="AR12" s="58"/>
      <c r="AS12" s="58"/>
      <c r="AT12" s="58"/>
      <c r="AU12" s="58"/>
      <c r="AV12"/>
      <c r="AW12"/>
      <c r="AX12"/>
      <c r="AY12" s="6" t="s">
        <v>51</v>
      </c>
      <c r="AZ12" s="28"/>
      <c r="BA12" s="29">
        <v>2</v>
      </c>
      <c r="BB12" s="184"/>
      <c r="BC12" s="30"/>
      <c r="BD12" s="183">
        <v>2</v>
      </c>
      <c r="BE12"/>
      <c r="BF12"/>
      <c r="BG12"/>
      <c r="BH12"/>
      <c r="BI12"/>
      <c r="BJ12"/>
      <c r="BK12"/>
    </row>
    <row r="13" spans="1:63" s="23" customFormat="1" ht="21">
      <c r="A13" s="41">
        <v>18</v>
      </c>
      <c r="B13" s="41">
        <v>1</v>
      </c>
      <c r="C13" s="41">
        <v>3</v>
      </c>
      <c r="D13" s="41">
        <v>0</v>
      </c>
      <c r="E13" s="41">
        <v>1</v>
      </c>
      <c r="F13" s="41">
        <v>0</v>
      </c>
      <c r="G13" s="41">
        <v>22</v>
      </c>
      <c r="H13" s="41">
        <v>0</v>
      </c>
      <c r="I13" s="41">
        <v>0</v>
      </c>
      <c r="J13" s="41">
        <v>0</v>
      </c>
      <c r="K13" s="41">
        <v>27</v>
      </c>
      <c r="L13"/>
      <c r="M13"/>
      <c r="N13"/>
      <c r="O13"/>
      <c r="P13" t="s">
        <v>66</v>
      </c>
      <c r="Q13"/>
      <c r="R13"/>
      <c r="S13"/>
      <c r="T13"/>
      <c r="U13"/>
      <c r="V13"/>
      <c r="W13">
        <v>9</v>
      </c>
      <c r="X13"/>
      <c r="Y13">
        <v>9</v>
      </c>
      <c r="Z13"/>
      <c r="AA13"/>
      <c r="AB13"/>
      <c r="AC13"/>
      <c r="AD13"/>
      <c r="AE13" s="56" t="s">
        <v>36</v>
      </c>
      <c r="AF13" s="41">
        <v>11</v>
      </c>
      <c r="AG13" s="41"/>
      <c r="AH13" s="41">
        <v>1</v>
      </c>
      <c r="AI13" s="41">
        <v>1</v>
      </c>
      <c r="AJ13" s="41">
        <v>2</v>
      </c>
      <c r="AK13" s="41"/>
      <c r="AL13" s="41"/>
      <c r="AM13" s="41">
        <v>15</v>
      </c>
      <c r="AN13"/>
      <c r="AO13" s="58"/>
      <c r="AP13" s="58"/>
      <c r="AQ13" s="58"/>
      <c r="AR13" s="58"/>
      <c r="AS13" s="58"/>
      <c r="AT13" s="58"/>
      <c r="AU13" s="58"/>
      <c r="AV13"/>
      <c r="AW13"/>
      <c r="AX13"/>
      <c r="AY13" s="6" t="s">
        <v>28</v>
      </c>
      <c r="AZ13" s="28"/>
      <c r="BA13" s="29">
        <v>2</v>
      </c>
      <c r="BB13" s="184">
        <v>7</v>
      </c>
      <c r="BC13" s="30"/>
      <c r="BD13" s="183">
        <v>9</v>
      </c>
      <c r="BE13"/>
      <c r="BF13"/>
      <c r="BG13"/>
      <c r="BH13"/>
      <c r="BI13"/>
      <c r="BJ13"/>
      <c r="BK13"/>
    </row>
    <row r="14" spans="1:63" s="23" customFormat="1" ht="21">
      <c r="A14" s="41">
        <v>17</v>
      </c>
      <c r="B14" s="41">
        <v>4</v>
      </c>
      <c r="C14" s="41">
        <v>1</v>
      </c>
      <c r="D14" s="41">
        <v>0</v>
      </c>
      <c r="E14" s="41">
        <v>0</v>
      </c>
      <c r="F14" s="41">
        <v>0</v>
      </c>
      <c r="G14" s="41">
        <v>14</v>
      </c>
      <c r="H14" s="41">
        <v>0</v>
      </c>
      <c r="I14" s="41">
        <v>0</v>
      </c>
      <c r="J14" s="41">
        <v>0</v>
      </c>
      <c r="K14" s="41">
        <v>19</v>
      </c>
      <c r="L14"/>
      <c r="M14"/>
      <c r="P14" t="s">
        <v>77</v>
      </c>
      <c r="Q14"/>
      <c r="R14"/>
      <c r="S14"/>
      <c r="T14"/>
      <c r="U14"/>
      <c r="V14"/>
      <c r="W14">
        <v>1</v>
      </c>
      <c r="X14"/>
      <c r="Y14">
        <v>1</v>
      </c>
      <c r="Z14"/>
      <c r="AA14"/>
      <c r="AB14"/>
      <c r="AE14" s="56" t="s">
        <v>40</v>
      </c>
      <c r="AF14" s="41">
        <v>2</v>
      </c>
      <c r="AG14" s="41"/>
      <c r="AH14" s="41"/>
      <c r="AI14" s="41"/>
      <c r="AJ14" s="41"/>
      <c r="AK14" s="41"/>
      <c r="AL14" s="41"/>
      <c r="AM14" s="41">
        <v>2</v>
      </c>
      <c r="AN14"/>
      <c r="AO14" s="58"/>
      <c r="AP14" s="58"/>
      <c r="AQ14" s="58"/>
      <c r="AR14" s="58"/>
      <c r="AS14" s="58"/>
      <c r="AT14" s="58"/>
      <c r="AU14" s="58"/>
      <c r="AV14"/>
      <c r="AW14"/>
      <c r="AX14"/>
      <c r="AY14" s="6" t="s">
        <v>1059</v>
      </c>
      <c r="AZ14" s="28">
        <v>5</v>
      </c>
      <c r="BA14" s="29">
        <v>56</v>
      </c>
      <c r="BB14" s="184">
        <v>77</v>
      </c>
      <c r="BC14" s="30">
        <v>8</v>
      </c>
      <c r="BD14" s="183">
        <v>146</v>
      </c>
    </row>
    <row r="15" spans="1:63">
      <c r="A15" s="41">
        <v>16</v>
      </c>
      <c r="B15" s="41">
        <v>10</v>
      </c>
      <c r="C15" s="41">
        <v>3</v>
      </c>
      <c r="D15" s="41">
        <v>4</v>
      </c>
      <c r="E15" s="41">
        <v>0</v>
      </c>
      <c r="F15" s="41">
        <v>0</v>
      </c>
      <c r="G15" s="41">
        <v>28</v>
      </c>
      <c r="H15" s="41">
        <v>0</v>
      </c>
      <c r="I15" s="41">
        <v>0</v>
      </c>
      <c r="J15" s="41">
        <v>0</v>
      </c>
      <c r="K15" s="41">
        <v>45</v>
      </c>
      <c r="P15" t="s">
        <v>79</v>
      </c>
      <c r="W15">
        <v>2</v>
      </c>
      <c r="Y15">
        <v>2</v>
      </c>
      <c r="AE15" s="56" t="s">
        <v>41</v>
      </c>
      <c r="AF15" s="41">
        <v>3</v>
      </c>
      <c r="AG15" s="41"/>
      <c r="AH15" s="41"/>
      <c r="AI15" s="41"/>
      <c r="AJ15" s="41"/>
      <c r="AK15" s="41"/>
      <c r="AL15" s="41"/>
      <c r="AM15" s="41">
        <v>3</v>
      </c>
      <c r="AO15" s="58"/>
      <c r="AP15" s="58"/>
      <c r="AQ15" s="58"/>
      <c r="AR15" s="58"/>
      <c r="AS15" s="58"/>
      <c r="AT15" s="58"/>
      <c r="AU15" s="58"/>
    </row>
    <row r="16" spans="1:63">
      <c r="A16" s="41">
        <v>25</v>
      </c>
      <c r="B16" s="41">
        <v>2</v>
      </c>
      <c r="C16" s="41">
        <v>29</v>
      </c>
      <c r="D16" s="41">
        <v>2</v>
      </c>
      <c r="E16" s="41">
        <v>1</v>
      </c>
      <c r="F16" s="41">
        <v>0</v>
      </c>
      <c r="G16" s="41">
        <v>7</v>
      </c>
      <c r="H16" s="41">
        <v>1</v>
      </c>
      <c r="I16" s="41">
        <v>0</v>
      </c>
      <c r="J16" s="41">
        <v>5</v>
      </c>
      <c r="K16" s="41">
        <v>47</v>
      </c>
      <c r="P16" t="s">
        <v>1150</v>
      </c>
      <c r="T16">
        <v>1</v>
      </c>
      <c r="W16">
        <v>1</v>
      </c>
      <c r="Y16">
        <v>2</v>
      </c>
      <c r="AE16" s="56" t="s">
        <v>37</v>
      </c>
      <c r="AF16" s="41">
        <v>13</v>
      </c>
      <c r="AG16" s="41"/>
      <c r="AH16" s="41"/>
      <c r="AI16" s="41"/>
      <c r="AJ16" s="41">
        <v>1</v>
      </c>
      <c r="AK16" s="41"/>
      <c r="AL16" s="41">
        <v>1</v>
      </c>
      <c r="AM16" s="41">
        <v>15</v>
      </c>
      <c r="AO16" s="58"/>
      <c r="AP16" s="58"/>
      <c r="AQ16" s="58"/>
      <c r="AR16" s="58"/>
      <c r="AS16" s="58"/>
      <c r="AT16" s="58"/>
      <c r="AU16" s="58"/>
    </row>
    <row r="17" spans="1:47">
      <c r="A17" s="150" t="s">
        <v>36</v>
      </c>
      <c r="B17" s="41">
        <v>0</v>
      </c>
      <c r="C17" s="41">
        <v>8</v>
      </c>
      <c r="D17" s="41">
        <v>0</v>
      </c>
      <c r="E17" s="41">
        <v>0</v>
      </c>
      <c r="F17" s="41">
        <v>0</v>
      </c>
      <c r="G17" s="41">
        <v>3</v>
      </c>
      <c r="H17" s="41">
        <v>0</v>
      </c>
      <c r="I17" s="41">
        <v>0</v>
      </c>
      <c r="J17" s="41">
        <v>1</v>
      </c>
      <c r="K17" s="41">
        <v>12</v>
      </c>
      <c r="P17" t="s">
        <v>1124</v>
      </c>
      <c r="Q17" t="s">
        <v>287</v>
      </c>
      <c r="W17">
        <v>2</v>
      </c>
      <c r="Y17">
        <v>2</v>
      </c>
      <c r="AE17" s="6">
        <v>22</v>
      </c>
      <c r="AF17" s="41">
        <v>30</v>
      </c>
      <c r="AG17" s="41"/>
      <c r="AH17" s="41"/>
      <c r="AI17" s="41"/>
      <c r="AJ17" s="41">
        <v>1</v>
      </c>
      <c r="AK17" s="41"/>
      <c r="AL17" s="41">
        <v>1</v>
      </c>
      <c r="AM17" s="41">
        <v>32</v>
      </c>
      <c r="AO17" s="58"/>
      <c r="AP17" s="58"/>
      <c r="AQ17" s="58"/>
      <c r="AR17" s="58"/>
      <c r="AS17" s="58"/>
      <c r="AT17" s="58"/>
      <c r="AU17" s="58"/>
    </row>
    <row r="18" spans="1:47">
      <c r="A18" s="150" t="s">
        <v>40</v>
      </c>
      <c r="B18" s="41">
        <v>1</v>
      </c>
      <c r="C18" s="41">
        <v>2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3</v>
      </c>
      <c r="Q18" t="s">
        <v>139</v>
      </c>
      <c r="R18">
        <v>5</v>
      </c>
      <c r="S18">
        <v>3</v>
      </c>
      <c r="T18">
        <v>1</v>
      </c>
      <c r="V18">
        <v>1</v>
      </c>
      <c r="W18">
        <v>6</v>
      </c>
      <c r="X18">
        <v>7</v>
      </c>
      <c r="Y18">
        <v>23</v>
      </c>
      <c r="AE18" s="56" t="s">
        <v>36</v>
      </c>
      <c r="AF18" s="41">
        <v>19</v>
      </c>
      <c r="AG18" s="41"/>
      <c r="AH18" s="41"/>
      <c r="AI18" s="41"/>
      <c r="AJ18" s="41">
        <v>1</v>
      </c>
      <c r="AK18" s="41"/>
      <c r="AL18" s="41"/>
      <c r="AM18" s="41">
        <v>20</v>
      </c>
      <c r="AO18" s="58"/>
      <c r="AP18" s="58"/>
      <c r="AQ18" s="58"/>
      <c r="AR18" s="58"/>
      <c r="AS18" s="58"/>
      <c r="AT18" s="58"/>
      <c r="AU18" s="58"/>
    </row>
    <row r="19" spans="1:47">
      <c r="A19" s="150" t="s">
        <v>41</v>
      </c>
      <c r="B19" s="41">
        <v>0</v>
      </c>
      <c r="C19" s="41">
        <v>1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1</v>
      </c>
      <c r="Q19" t="s">
        <v>132</v>
      </c>
      <c r="R19">
        <v>1</v>
      </c>
      <c r="S19">
        <v>1</v>
      </c>
      <c r="U19">
        <v>2</v>
      </c>
      <c r="W19">
        <v>1</v>
      </c>
      <c r="X19">
        <v>2</v>
      </c>
      <c r="Y19">
        <v>7</v>
      </c>
      <c r="AE19" s="56" t="s">
        <v>40</v>
      </c>
      <c r="AF19" s="41">
        <v>2</v>
      </c>
      <c r="AG19" s="41"/>
      <c r="AH19" s="41"/>
      <c r="AI19" s="41"/>
      <c r="AJ19" s="41"/>
      <c r="AK19" s="41"/>
      <c r="AL19" s="41"/>
      <c r="AM19" s="41">
        <v>2</v>
      </c>
      <c r="AO19" s="58"/>
      <c r="AP19" s="58"/>
      <c r="AQ19" s="58"/>
      <c r="AR19" s="58"/>
      <c r="AS19" s="58"/>
      <c r="AT19" s="58"/>
      <c r="AU19" s="58"/>
    </row>
    <row r="20" spans="1:47">
      <c r="A20" s="150" t="s">
        <v>37</v>
      </c>
      <c r="B20" s="41">
        <v>1</v>
      </c>
      <c r="C20" s="41">
        <v>18</v>
      </c>
      <c r="D20" s="41">
        <v>2</v>
      </c>
      <c r="E20" s="41">
        <v>1</v>
      </c>
      <c r="F20" s="41">
        <v>0</v>
      </c>
      <c r="G20" s="41">
        <v>4</v>
      </c>
      <c r="H20" s="41">
        <v>1</v>
      </c>
      <c r="I20" s="41">
        <v>0</v>
      </c>
      <c r="J20" s="41">
        <v>4</v>
      </c>
      <c r="K20" s="41">
        <v>31</v>
      </c>
      <c r="P20" t="s">
        <v>1151</v>
      </c>
      <c r="R20">
        <v>6</v>
      </c>
      <c r="S20">
        <v>4</v>
      </c>
      <c r="T20">
        <v>1</v>
      </c>
      <c r="U20">
        <v>2</v>
      </c>
      <c r="V20">
        <v>1</v>
      </c>
      <c r="W20">
        <v>9</v>
      </c>
      <c r="X20">
        <v>9</v>
      </c>
      <c r="Y20">
        <v>32</v>
      </c>
      <c r="AE20" s="56" t="s">
        <v>37</v>
      </c>
      <c r="AF20" s="41">
        <v>9</v>
      </c>
      <c r="AG20" s="41"/>
      <c r="AH20" s="41"/>
      <c r="AI20" s="41"/>
      <c r="AJ20" s="41"/>
      <c r="AK20" s="41"/>
      <c r="AL20" s="41">
        <v>1</v>
      </c>
      <c r="AM20" s="41">
        <v>10</v>
      </c>
      <c r="AO20" s="58"/>
      <c r="AP20" s="58"/>
      <c r="AQ20" s="58"/>
      <c r="AR20" s="58"/>
      <c r="AS20" s="58"/>
      <c r="AT20" s="58"/>
      <c r="AU20" s="58"/>
    </row>
    <row r="21" spans="1:47">
      <c r="A21" s="41" t="s">
        <v>29</v>
      </c>
      <c r="B21" s="41">
        <v>56</v>
      </c>
      <c r="C21" s="41">
        <v>116</v>
      </c>
      <c r="D21" s="41">
        <v>7</v>
      </c>
      <c r="E21" s="41">
        <v>3</v>
      </c>
      <c r="F21" s="41">
        <v>1</v>
      </c>
      <c r="G21" s="41">
        <v>158</v>
      </c>
      <c r="H21" s="41">
        <v>8</v>
      </c>
      <c r="I21" s="41">
        <v>2</v>
      </c>
      <c r="J21" s="41">
        <v>9</v>
      </c>
      <c r="K21" s="28">
        <v>360</v>
      </c>
      <c r="P21" t="s">
        <v>29</v>
      </c>
      <c r="R21">
        <v>8</v>
      </c>
      <c r="S21">
        <v>7</v>
      </c>
      <c r="T21">
        <v>2</v>
      </c>
      <c r="U21">
        <v>3</v>
      </c>
      <c r="V21">
        <v>1</v>
      </c>
      <c r="W21">
        <v>116</v>
      </c>
      <c r="X21">
        <v>9</v>
      </c>
      <c r="Y21">
        <v>146</v>
      </c>
      <c r="AE21" s="6">
        <v>21</v>
      </c>
      <c r="AF21" s="41">
        <v>2</v>
      </c>
      <c r="AG21" s="41"/>
      <c r="AH21" s="41"/>
      <c r="AI21" s="41"/>
      <c r="AJ21" s="41"/>
      <c r="AK21" s="41"/>
      <c r="AL21" s="41"/>
      <c r="AM21" s="41">
        <v>2</v>
      </c>
      <c r="AO21" s="58"/>
      <c r="AP21" s="58"/>
      <c r="AQ21" s="58"/>
      <c r="AR21" s="58"/>
      <c r="AS21" s="58"/>
      <c r="AT21" s="58"/>
      <c r="AU21" s="58"/>
    </row>
    <row r="22" spans="1:47">
      <c r="AE22" s="56" t="s">
        <v>37</v>
      </c>
      <c r="AF22" s="41">
        <v>2</v>
      </c>
      <c r="AG22" s="41"/>
      <c r="AH22" s="41"/>
      <c r="AI22" s="41"/>
      <c r="AJ22" s="41"/>
      <c r="AK22" s="41"/>
      <c r="AL22" s="41"/>
      <c r="AM22" s="41">
        <v>2</v>
      </c>
      <c r="AO22" s="58"/>
      <c r="AP22" s="58"/>
      <c r="AQ22" s="58"/>
      <c r="AR22" s="58"/>
      <c r="AS22" s="58"/>
      <c r="AT22" s="58"/>
      <c r="AU22" s="58"/>
    </row>
    <row r="23" spans="1:47">
      <c r="AE23" s="6">
        <v>20</v>
      </c>
      <c r="AF23" s="41">
        <v>4</v>
      </c>
      <c r="AG23" s="41"/>
      <c r="AH23" s="41"/>
      <c r="AI23" s="41"/>
      <c r="AJ23" s="41"/>
      <c r="AK23" s="41">
        <v>1</v>
      </c>
      <c r="AL23" s="41"/>
      <c r="AM23" s="41">
        <v>5</v>
      </c>
      <c r="AO23" s="58"/>
      <c r="AP23" s="58"/>
      <c r="AQ23" s="58"/>
      <c r="AR23" s="58"/>
      <c r="AS23" s="58"/>
      <c r="AT23" s="58"/>
      <c r="AU23" s="58"/>
    </row>
    <row r="24" spans="1:47">
      <c r="AE24" s="56" t="s">
        <v>36</v>
      </c>
      <c r="AF24" s="41">
        <v>1</v>
      </c>
      <c r="AG24" s="41"/>
      <c r="AH24" s="41"/>
      <c r="AI24" s="41"/>
      <c r="AJ24" s="41"/>
      <c r="AK24" s="41">
        <v>1</v>
      </c>
      <c r="AL24" s="41"/>
      <c r="AM24" s="41">
        <v>2</v>
      </c>
      <c r="AO24" s="58"/>
      <c r="AP24" s="58"/>
      <c r="AQ24" s="58"/>
      <c r="AR24" s="58"/>
      <c r="AS24" s="58"/>
      <c r="AT24" s="58"/>
      <c r="AU24" s="58"/>
    </row>
    <row r="25" spans="1:47">
      <c r="AE25" s="56" t="s">
        <v>37</v>
      </c>
      <c r="AF25" s="41">
        <v>3</v>
      </c>
      <c r="AG25" s="41"/>
      <c r="AH25" s="41"/>
      <c r="AI25" s="41"/>
      <c r="AJ25" s="41"/>
      <c r="AK25" s="41"/>
      <c r="AL25" s="41"/>
      <c r="AM25" s="41">
        <v>3</v>
      </c>
      <c r="AO25" s="58"/>
      <c r="AP25" s="58"/>
      <c r="AQ25" s="58"/>
      <c r="AR25" s="58"/>
      <c r="AS25" s="58"/>
      <c r="AT25" s="58"/>
      <c r="AU25" s="58"/>
    </row>
    <row r="26" spans="1:47">
      <c r="AE26" s="6">
        <v>19</v>
      </c>
      <c r="AF26" s="41">
        <v>4</v>
      </c>
      <c r="AG26" s="41"/>
      <c r="AH26" s="41"/>
      <c r="AI26" s="41"/>
      <c r="AJ26" s="41"/>
      <c r="AK26" s="41"/>
      <c r="AL26" s="41"/>
      <c r="AM26" s="41">
        <v>4</v>
      </c>
      <c r="AO26" s="58"/>
      <c r="AP26" s="58"/>
      <c r="AQ26" s="58"/>
      <c r="AR26" s="58"/>
      <c r="AS26" s="58"/>
      <c r="AT26" s="58"/>
      <c r="AU26" s="58"/>
    </row>
    <row r="27" spans="1:47">
      <c r="AE27" s="56" t="s">
        <v>40</v>
      </c>
      <c r="AF27" s="41">
        <v>1</v>
      </c>
      <c r="AG27" s="41"/>
      <c r="AH27" s="41"/>
      <c r="AI27" s="41"/>
      <c r="AJ27" s="41"/>
      <c r="AK27" s="41"/>
      <c r="AL27" s="41"/>
      <c r="AM27" s="41">
        <v>1</v>
      </c>
      <c r="AO27" s="58"/>
      <c r="AP27" s="58"/>
      <c r="AQ27" s="58"/>
      <c r="AR27" s="58"/>
      <c r="AS27" s="58"/>
      <c r="AT27" s="58"/>
      <c r="AU27" s="58"/>
    </row>
    <row r="28" spans="1:47">
      <c r="AE28" s="56" t="s">
        <v>37</v>
      </c>
      <c r="AF28" s="41">
        <v>3</v>
      </c>
      <c r="AG28" s="41"/>
      <c r="AH28" s="41"/>
      <c r="AI28" s="41"/>
      <c r="AJ28" s="41"/>
      <c r="AK28" s="41"/>
      <c r="AL28" s="41"/>
      <c r="AM28" s="41">
        <v>3</v>
      </c>
      <c r="AO28" s="58"/>
      <c r="AP28" s="58"/>
      <c r="AQ28" s="58"/>
      <c r="AR28" s="58"/>
      <c r="AS28" s="58"/>
      <c r="AT28" s="58"/>
      <c r="AU28" s="58"/>
    </row>
    <row r="29" spans="1:47">
      <c r="AE29" s="6">
        <v>18</v>
      </c>
      <c r="AF29" s="41">
        <v>3</v>
      </c>
      <c r="AG29" s="41"/>
      <c r="AH29" s="41">
        <v>1</v>
      </c>
      <c r="AI29" s="41"/>
      <c r="AJ29" s="41"/>
      <c r="AK29" s="41"/>
      <c r="AL29" s="41"/>
      <c r="AM29" s="41">
        <v>4</v>
      </c>
      <c r="AO29" s="58"/>
      <c r="AP29" s="58"/>
      <c r="AQ29" s="58"/>
      <c r="AR29" s="58"/>
      <c r="AS29" s="58"/>
      <c r="AT29" s="58"/>
      <c r="AU29" s="58"/>
    </row>
    <row r="30" spans="1:47">
      <c r="AE30" s="56" t="s">
        <v>37</v>
      </c>
      <c r="AF30" s="41">
        <v>3</v>
      </c>
      <c r="AG30" s="41"/>
      <c r="AH30" s="41">
        <v>1</v>
      </c>
      <c r="AI30" s="41"/>
      <c r="AJ30" s="41"/>
      <c r="AK30" s="41"/>
      <c r="AL30" s="41"/>
      <c r="AM30" s="41">
        <v>4</v>
      </c>
      <c r="AO30" s="58"/>
      <c r="AP30" s="58"/>
      <c r="AQ30" s="58"/>
      <c r="AR30" s="58"/>
      <c r="AS30" s="58"/>
      <c r="AT30" s="58"/>
      <c r="AU30" s="58"/>
    </row>
    <row r="31" spans="1:47">
      <c r="AE31" s="6">
        <v>17</v>
      </c>
      <c r="AF31" s="41">
        <v>1</v>
      </c>
      <c r="AG31" s="41"/>
      <c r="AH31" s="41"/>
      <c r="AI31" s="41"/>
      <c r="AJ31" s="41"/>
      <c r="AK31" s="41"/>
      <c r="AL31" s="41"/>
      <c r="AM31" s="41">
        <v>1</v>
      </c>
      <c r="AO31" s="58"/>
      <c r="AP31" s="58"/>
      <c r="AQ31" s="58"/>
      <c r="AR31" s="58"/>
      <c r="AS31" s="58"/>
      <c r="AT31" s="58"/>
      <c r="AU31" s="58"/>
    </row>
    <row r="32" spans="1:47">
      <c r="AE32" s="56" t="s">
        <v>36</v>
      </c>
      <c r="AF32" s="41">
        <v>1</v>
      </c>
      <c r="AG32" s="41"/>
      <c r="AH32" s="41"/>
      <c r="AI32" s="41"/>
      <c r="AJ32" s="41"/>
      <c r="AK32" s="41"/>
      <c r="AL32" s="41"/>
      <c r="AM32" s="41">
        <v>1</v>
      </c>
      <c r="AO32" s="58"/>
      <c r="AP32" s="58"/>
      <c r="AQ32" s="58"/>
      <c r="AR32" s="58"/>
      <c r="AS32" s="58"/>
      <c r="AT32" s="58"/>
      <c r="AU32" s="58"/>
    </row>
    <row r="33" spans="31:47">
      <c r="AE33" s="6">
        <v>16</v>
      </c>
      <c r="AF33" s="41">
        <v>3</v>
      </c>
      <c r="AG33" s="41">
        <v>4</v>
      </c>
      <c r="AH33" s="41"/>
      <c r="AI33" s="41"/>
      <c r="AJ33" s="41"/>
      <c r="AK33" s="41"/>
      <c r="AL33" s="41"/>
      <c r="AM33" s="41">
        <v>7</v>
      </c>
      <c r="AO33" s="58"/>
      <c r="AP33" s="58"/>
      <c r="AQ33" s="58"/>
      <c r="AR33" s="58"/>
      <c r="AS33" s="58"/>
      <c r="AT33" s="58"/>
      <c r="AU33" s="58"/>
    </row>
    <row r="34" spans="31:47">
      <c r="AE34" s="56" t="s">
        <v>36</v>
      </c>
      <c r="AF34" s="41">
        <v>1</v>
      </c>
      <c r="AG34" s="41"/>
      <c r="AH34" s="41"/>
      <c r="AI34" s="41"/>
      <c r="AJ34" s="41"/>
      <c r="AK34" s="41"/>
      <c r="AL34" s="41"/>
      <c r="AM34" s="41">
        <v>1</v>
      </c>
      <c r="AO34" s="58"/>
      <c r="AP34" s="58"/>
      <c r="AQ34" s="58"/>
      <c r="AR34" s="58"/>
      <c r="AS34" s="58"/>
      <c r="AT34" s="58"/>
      <c r="AU34" s="58"/>
    </row>
    <row r="35" spans="31:47">
      <c r="AE35" s="56" t="s">
        <v>37</v>
      </c>
      <c r="AF35" s="41">
        <v>2</v>
      </c>
      <c r="AG35" s="41">
        <v>4</v>
      </c>
      <c r="AH35" s="41"/>
      <c r="AI35" s="41"/>
      <c r="AJ35" s="41"/>
      <c r="AK35" s="41"/>
      <c r="AL35" s="41"/>
      <c r="AM35" s="41">
        <v>6</v>
      </c>
      <c r="AO35" s="58"/>
      <c r="AP35" s="58"/>
      <c r="AQ35" s="58"/>
      <c r="AR35" s="58"/>
      <c r="AS35" s="58"/>
      <c r="AT35" s="58"/>
      <c r="AU35" s="58"/>
    </row>
    <row r="36" spans="31:47">
      <c r="AE36" s="6">
        <v>25</v>
      </c>
      <c r="AF36" s="41">
        <v>29</v>
      </c>
      <c r="AG36" s="41">
        <v>2</v>
      </c>
      <c r="AH36" s="41">
        <v>1</v>
      </c>
      <c r="AI36" s="41"/>
      <c r="AJ36" s="41">
        <v>1</v>
      </c>
      <c r="AK36" s="41"/>
      <c r="AL36" s="41">
        <v>5</v>
      </c>
      <c r="AM36" s="41">
        <v>38</v>
      </c>
      <c r="AO36" s="58"/>
      <c r="AP36" s="58"/>
      <c r="AQ36" s="58"/>
      <c r="AR36" s="58"/>
      <c r="AS36" s="58"/>
      <c r="AT36" s="58"/>
      <c r="AU36" s="58"/>
    </row>
    <row r="37" spans="31:47">
      <c r="AE37" s="56" t="s">
        <v>36</v>
      </c>
      <c r="AF37" s="41">
        <v>8</v>
      </c>
      <c r="AG37" s="41"/>
      <c r="AH37" s="41"/>
      <c r="AI37" s="41"/>
      <c r="AJ37" s="41"/>
      <c r="AK37" s="41"/>
      <c r="AL37" s="41">
        <v>1</v>
      </c>
      <c r="AM37" s="41">
        <v>9</v>
      </c>
      <c r="AO37" s="58"/>
      <c r="AP37" s="58"/>
      <c r="AQ37" s="58"/>
      <c r="AR37" s="58"/>
      <c r="AS37" s="58"/>
      <c r="AT37" s="58"/>
      <c r="AU37" s="58"/>
    </row>
    <row r="38" spans="31:47">
      <c r="AE38" s="56" t="s">
        <v>40</v>
      </c>
      <c r="AF38" s="41">
        <v>2</v>
      </c>
      <c r="AG38" s="41"/>
      <c r="AH38" s="41"/>
      <c r="AI38" s="41"/>
      <c r="AJ38" s="41"/>
      <c r="AK38" s="41"/>
      <c r="AL38" s="41"/>
      <c r="AM38" s="41">
        <v>2</v>
      </c>
      <c r="AO38" s="58"/>
      <c r="AP38" s="58"/>
      <c r="AQ38" s="58"/>
      <c r="AR38" s="58"/>
      <c r="AS38" s="58"/>
      <c r="AT38" s="58"/>
      <c r="AU38" s="58"/>
    </row>
    <row r="39" spans="31:47">
      <c r="AE39" s="56" t="s">
        <v>41</v>
      </c>
      <c r="AF39" s="41">
        <v>1</v>
      </c>
      <c r="AG39" s="41"/>
      <c r="AH39" s="41"/>
      <c r="AI39" s="41"/>
      <c r="AJ39" s="41"/>
      <c r="AK39" s="41"/>
      <c r="AL39" s="41"/>
      <c r="AM39" s="41">
        <v>1</v>
      </c>
      <c r="AO39" s="58"/>
      <c r="AP39" s="58"/>
      <c r="AQ39" s="58"/>
      <c r="AR39" s="58"/>
      <c r="AS39" s="58"/>
      <c r="AT39" s="58"/>
      <c r="AU39" s="58"/>
    </row>
    <row r="40" spans="31:47">
      <c r="AE40" s="56" t="s">
        <v>37</v>
      </c>
      <c r="AF40" s="41">
        <v>18</v>
      </c>
      <c r="AG40" s="41">
        <v>2</v>
      </c>
      <c r="AH40" s="41">
        <v>1</v>
      </c>
      <c r="AI40" s="41"/>
      <c r="AJ40" s="41">
        <v>1</v>
      </c>
      <c r="AK40" s="41"/>
      <c r="AL40" s="41">
        <v>4</v>
      </c>
      <c r="AM40" s="41">
        <v>26</v>
      </c>
      <c r="AO40" s="148"/>
      <c r="AP40" s="148"/>
      <c r="AQ40" s="148"/>
      <c r="AR40" s="148"/>
      <c r="AS40" s="148"/>
      <c r="AT40" s="148"/>
      <c r="AU40" s="148"/>
    </row>
    <row r="41" spans="31:47">
      <c r="AE41" s="6" t="s">
        <v>29</v>
      </c>
      <c r="AF41" s="41">
        <v>116</v>
      </c>
      <c r="AG41" s="41">
        <v>7</v>
      </c>
      <c r="AH41" s="41">
        <v>3</v>
      </c>
      <c r="AI41" s="41">
        <v>1</v>
      </c>
      <c r="AJ41" s="41">
        <v>8</v>
      </c>
      <c r="AK41" s="41">
        <v>2</v>
      </c>
      <c r="AL41" s="41">
        <v>9</v>
      </c>
      <c r="AM41" s="185">
        <v>146</v>
      </c>
    </row>
  </sheetData>
  <mergeCells count="3">
    <mergeCell ref="P3:S3"/>
    <mergeCell ref="A3:I3"/>
    <mergeCell ref="AE3:AH3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5FAE-CCEC-443F-8FE8-E9D0179F468A}">
  <dimension ref="A2:B7"/>
  <sheetViews>
    <sheetView workbookViewId="0">
      <selection activeCell="B3" sqref="B3"/>
    </sheetView>
  </sheetViews>
  <sheetFormatPr defaultRowHeight="15"/>
  <cols>
    <col min="1" max="1" width="18.7109375" bestFit="1" customWidth="1"/>
    <col min="2" max="2" width="16.85546875" bestFit="1" customWidth="1"/>
  </cols>
  <sheetData>
    <row r="2" spans="1:2">
      <c r="A2" s="55" t="s">
        <v>1058</v>
      </c>
      <c r="B2" t="s">
        <v>1152</v>
      </c>
    </row>
    <row r="3" spans="1:2">
      <c r="A3" s="1" t="s">
        <v>11</v>
      </c>
      <c r="B3">
        <v>13</v>
      </c>
    </row>
    <row r="4" spans="1:2">
      <c r="A4" s="1" t="s">
        <v>12</v>
      </c>
      <c r="B4">
        <v>13</v>
      </c>
    </row>
    <row r="5" spans="1:2">
      <c r="A5" s="1" t="s">
        <v>10</v>
      </c>
      <c r="B5">
        <v>9</v>
      </c>
    </row>
    <row r="6" spans="1:2">
      <c r="A6" s="1" t="s">
        <v>13</v>
      </c>
      <c r="B6">
        <v>5</v>
      </c>
    </row>
    <row r="7" spans="1:2">
      <c r="A7" s="1" t="s">
        <v>29</v>
      </c>
      <c r="B7">
        <v>40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D7B9-D83F-4A71-B521-56E1086C99A3}">
  <dimension ref="A2:B7"/>
  <sheetViews>
    <sheetView workbookViewId="0">
      <selection activeCell="M11" sqref="M11"/>
    </sheetView>
  </sheetViews>
  <sheetFormatPr defaultRowHeight="15"/>
  <cols>
    <col min="1" max="1" width="18.7109375" bestFit="1" customWidth="1"/>
    <col min="2" max="2" width="16.85546875" bestFit="1" customWidth="1"/>
  </cols>
  <sheetData>
    <row r="2" spans="1:2">
      <c r="A2" s="55" t="s">
        <v>1058</v>
      </c>
      <c r="B2" t="s">
        <v>1152</v>
      </c>
    </row>
    <row r="3" spans="1:2">
      <c r="A3" s="1" t="s">
        <v>11</v>
      </c>
      <c r="B3">
        <v>13</v>
      </c>
    </row>
    <row r="4" spans="1:2">
      <c r="A4" s="1" t="s">
        <v>12</v>
      </c>
      <c r="B4">
        <v>13</v>
      </c>
    </row>
    <row r="5" spans="1:2">
      <c r="A5" s="1" t="s">
        <v>10</v>
      </c>
      <c r="B5">
        <v>8</v>
      </c>
    </row>
    <row r="6" spans="1:2">
      <c r="A6" s="1" t="s">
        <v>13</v>
      </c>
      <c r="B6">
        <v>6</v>
      </c>
    </row>
    <row r="7" spans="1:2">
      <c r="A7" s="1" t="s">
        <v>29</v>
      </c>
      <c r="B7">
        <v>40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095F8-66CD-4824-B9F6-2C5486DB9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Rodríguez Soriano</dc:creator>
  <cp:keywords/>
  <dc:description/>
  <cp:lastModifiedBy/>
  <cp:revision/>
  <dcterms:created xsi:type="dcterms:W3CDTF">2025-10-03T21:51:36Z</dcterms:created>
  <dcterms:modified xsi:type="dcterms:W3CDTF">2026-01-06T14:49:27Z</dcterms:modified>
  <cp:category/>
  <cp:contentStatus/>
</cp:coreProperties>
</file>